
<file path=[Content_Types].xml><?xml version="1.0" encoding="utf-8"?>
<Types xmlns="http://schemas.openxmlformats.org/package/2006/content-types">
  <Default Extension="08d481ce2e6378c8b3492a5438438208" ContentType="image/jpeg"/>
  <Default Extension="1a33b5115bfc290abc8869de29ebd567" ContentType="image/jpeg"/>
  <Default Extension="8p2k5lHoxkLkVFhhRavwz0TU1HJcwyyrphMGrCfxYiE" ContentType="image/jpeg"/>
  <Default Extension="bed9fc3690f3414a4850855fee332f1c" ContentType="image/jpeg"/>
  <Default Extension="bin" ContentType="application/vnd.openxmlformats-officedocument.spreadsheetml.printerSettings"/>
  <Default Extension="dQRnOlTKTXrhKm9OaxUUVBGNjKK1hL9mKy8jDit9INI" ContentType="image/jpeg"/>
  <Default Extension="IJoB2IAflCzjheZJfaz5mfzEWw5jRcoWEgDQz1yU2Yk" ContentType="image/jpeg"/>
  <Default Extension="jpeg" ContentType="image/jpeg"/>
  <Default Extension="mTs9AdlNDLziaMN3BIhJpWCGZaOOUwqIR2jN3FJEeTw" ContentType="image/png"/>
  <Default Extension="rels" ContentType="application/vnd.openxmlformats-package.relationships+xml"/>
  <Default Extension="xml" ContentType="application/xml"/>
  <Default Extension="YyStd3n6FeCyDWZVKn54i8IqezKRsFpq7XThd1PUiDk" ContentType="image/jpe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12"/>
  <workbookPr codeName="ThisWorkbook" defaultThemeVersion="166925"/>
  <mc:AlternateContent xmlns:mc="http://schemas.openxmlformats.org/markup-compatibility/2006">
    <mc:Choice Requires="x15">
      <x15ac:absPath xmlns:x15ac="http://schemas.microsoft.com/office/spreadsheetml/2010/11/ac" url="https://d.docs.live.net/CA259DB2FD48F2E6/Documents/"/>
    </mc:Choice>
  </mc:AlternateContent>
  <xr:revisionPtr revIDLastSave="0" documentId="8_{00101DDA-6A41-4B40-BB5F-4C9FD1A10F29}" xr6:coauthVersionLast="47" xr6:coauthVersionMax="47" xr10:uidLastSave="{00000000-0000-0000-0000-000000000000}"/>
  <bookViews>
    <workbookView xWindow="-120" yWindow="-120" windowWidth="29040" windowHeight="15720" tabRatio="828" firstSheet="3" activeTab="3" xr2:uid="{52B4874E-B772-4D36-A979-180131843531}"/>
  </bookViews>
  <sheets>
    <sheet name="Main Hub" sheetId="1" r:id="rId1"/>
    <sheet name="Parameters" sheetId="6" r:id="rId2"/>
    <sheet name="TT Qualifications" sheetId="3" r:id="rId3"/>
    <sheet name="TT Finals" sheetId="4" r:id="rId4"/>
    <sheet name="TT for Scoub" sheetId="25" r:id="rId5"/>
    <sheet name="BM Qualifications" sheetId="14" r:id="rId6"/>
    <sheet name="BM Finals" sheetId="15" r:id="rId7"/>
    <sheet name="MR Qualifications" sheetId="20" r:id="rId8"/>
    <sheet name="MR Finals" sheetId="21" r:id="rId9"/>
    <sheet name="GP Qualifications" sheetId="22" r:id="rId10"/>
    <sheet name="GP Finals" sheetId="23" r:id="rId11"/>
    <sheet name="Overall Ranking" sheetId="5" r:id="rId12"/>
  </sheets>
  <definedNames>
    <definedName name="_xlnm._FilterDatabase" localSheetId="0" hidden="1">'Main Hub'!#REF!</definedName>
    <definedName name="ScoreT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257" i="22" l="1"/>
  <c r="AD257" i="22"/>
  <c r="AE257" i="22"/>
  <c r="AC258" i="22"/>
  <c r="AD258" i="22"/>
  <c r="AE258" i="22"/>
  <c r="AC259" i="22"/>
  <c r="AD259" i="22"/>
  <c r="AE259" i="22"/>
  <c r="AC260" i="22"/>
  <c r="AD260" i="22"/>
  <c r="AE260" i="22"/>
  <c r="AC261" i="22"/>
  <c r="AD261" i="22"/>
  <c r="AE261" i="22"/>
  <c r="AC262" i="22"/>
  <c r="AD262" i="22"/>
  <c r="AE262" i="22"/>
  <c r="AC263" i="22"/>
  <c r="AD263" i="22"/>
  <c r="AE263" i="22"/>
  <c r="AC264" i="22"/>
  <c r="AD264" i="22"/>
  <c r="AE264" i="22"/>
  <c r="AC265" i="22"/>
  <c r="AD265" i="22"/>
  <c r="AE265" i="22"/>
  <c r="AC266" i="22"/>
  <c r="AD266" i="22"/>
  <c r="AE266" i="22"/>
  <c r="AC267" i="22"/>
  <c r="AD267" i="22"/>
  <c r="AE267" i="22"/>
  <c r="AC268" i="22"/>
  <c r="AD268" i="22"/>
  <c r="AE268" i="22"/>
  <c r="AC269" i="22"/>
  <c r="AD269" i="22"/>
  <c r="AE269" i="22"/>
  <c r="AC270" i="22"/>
  <c r="AD270" i="22"/>
  <c r="AE270" i="22"/>
  <c r="AC271" i="22"/>
  <c r="AD271" i="22"/>
  <c r="AE271" i="22"/>
  <c r="AC272" i="22"/>
  <c r="AD272" i="22"/>
  <c r="AE272" i="22"/>
  <c r="AC273" i="22"/>
  <c r="AD273" i="22"/>
  <c r="AE273" i="22"/>
  <c r="AC274" i="22"/>
  <c r="AD274" i="22"/>
  <c r="AE274" i="22"/>
  <c r="AC275" i="22"/>
  <c r="AD275" i="22"/>
  <c r="AE275" i="22"/>
  <c r="AC276" i="22"/>
  <c r="AD276" i="22"/>
  <c r="AE276" i="22"/>
  <c r="AC277" i="22"/>
  <c r="AD277" i="22"/>
  <c r="AE277" i="22"/>
  <c r="AC278" i="22"/>
  <c r="AD278" i="22"/>
  <c r="AE278" i="22"/>
  <c r="AC279" i="22"/>
  <c r="AD279" i="22"/>
  <c r="AE279" i="22"/>
  <c r="AC280" i="22"/>
  <c r="AD280" i="22"/>
  <c r="AE280" i="22"/>
  <c r="AC281" i="22"/>
  <c r="AD281" i="22"/>
  <c r="AE281" i="22"/>
  <c r="AC282" i="22"/>
  <c r="AD282" i="22"/>
  <c r="AE282" i="22"/>
  <c r="AC283" i="22"/>
  <c r="AD283" i="22"/>
  <c r="AE283" i="22"/>
  <c r="AC284" i="22"/>
  <c r="AD284" i="22"/>
  <c r="AE284" i="22"/>
  <c r="AC285" i="22"/>
  <c r="AD285" i="22"/>
  <c r="AE285" i="22"/>
  <c r="AC286" i="22"/>
  <c r="AD286" i="22"/>
  <c r="AE286" i="22"/>
  <c r="AC287" i="22"/>
  <c r="AD287" i="22"/>
  <c r="AE287" i="22"/>
  <c r="AC288" i="22"/>
  <c r="AD288" i="22"/>
  <c r="AE288" i="22"/>
  <c r="AC289" i="22"/>
  <c r="AD289" i="22"/>
  <c r="AE289" i="22"/>
  <c r="AC290" i="22"/>
  <c r="AD290" i="22"/>
  <c r="AE290" i="22"/>
  <c r="AC291" i="22"/>
  <c r="AD291" i="22"/>
  <c r="AE291" i="22"/>
  <c r="AC292" i="22"/>
  <c r="AD292" i="22"/>
  <c r="AE292" i="22"/>
  <c r="AC293" i="22"/>
  <c r="AD293" i="22"/>
  <c r="AE293" i="22"/>
  <c r="AC294" i="22"/>
  <c r="AD294" i="22"/>
  <c r="AE294" i="22"/>
  <c r="AC295" i="22"/>
  <c r="AD295" i="22"/>
  <c r="AE295" i="22"/>
  <c r="AC296" i="22"/>
  <c r="AD296" i="22"/>
  <c r="AE296" i="22"/>
  <c r="AC297" i="22"/>
  <c r="AD297" i="22"/>
  <c r="AE297" i="22"/>
  <c r="AC298" i="22"/>
  <c r="AD298" i="22"/>
  <c r="AE298" i="22"/>
  <c r="AC299" i="22"/>
  <c r="AD299" i="22"/>
  <c r="AE299" i="22"/>
  <c r="AC300" i="22"/>
  <c r="AD300" i="22"/>
  <c r="AE300" i="22"/>
  <c r="AC301" i="22"/>
  <c r="AD301" i="22"/>
  <c r="AE301" i="22"/>
  <c r="AC302" i="22"/>
  <c r="AD302" i="22"/>
  <c r="AE302" i="22"/>
  <c r="AC303" i="22"/>
  <c r="AD303" i="22"/>
  <c r="AE303" i="22"/>
  <c r="AC304" i="22"/>
  <c r="AD304" i="22"/>
  <c r="AE304" i="22"/>
  <c r="AC305" i="22"/>
  <c r="AD305" i="22"/>
  <c r="AE305" i="22"/>
  <c r="AC306" i="22"/>
  <c r="AD306" i="22"/>
  <c r="AE306" i="22"/>
  <c r="AC307" i="22"/>
  <c r="AD307" i="22"/>
  <c r="AE307" i="22"/>
  <c r="AC308" i="22"/>
  <c r="AD308" i="22"/>
  <c r="AE308" i="22"/>
  <c r="AC309" i="22"/>
  <c r="AD309" i="22"/>
  <c r="AE309" i="22"/>
  <c r="AC310" i="22"/>
  <c r="AD310" i="22"/>
  <c r="AE310" i="22"/>
  <c r="AC311" i="22"/>
  <c r="AD311" i="22"/>
  <c r="AE311" i="22"/>
  <c r="AC312" i="22"/>
  <c r="AD312" i="22"/>
  <c r="AE312" i="22"/>
  <c r="AC313" i="22"/>
  <c r="AD313" i="22"/>
  <c r="AE313" i="22"/>
  <c r="AC314" i="22"/>
  <c r="AD314" i="22"/>
  <c r="AE314" i="22"/>
  <c r="AC315" i="22"/>
  <c r="AD315" i="22"/>
  <c r="AE315" i="22"/>
  <c r="AC316" i="22"/>
  <c r="AD316" i="22"/>
  <c r="AE316" i="22"/>
  <c r="AC317" i="22"/>
  <c r="AD317" i="22"/>
  <c r="AE317" i="22"/>
  <c r="AC318" i="22"/>
  <c r="AD318" i="22"/>
  <c r="AE318" i="22"/>
  <c r="AC319" i="22"/>
  <c r="AD319" i="22"/>
  <c r="AE319" i="22"/>
  <c r="AC320" i="22"/>
  <c r="AD320" i="22"/>
  <c r="AE320" i="22"/>
  <c r="AC321" i="22"/>
  <c r="AD321" i="22"/>
  <c r="AE321" i="22"/>
  <c r="AC322" i="22"/>
  <c r="AD322" i="22"/>
  <c r="AE322" i="22"/>
  <c r="AC323" i="22"/>
  <c r="AD323" i="22"/>
  <c r="AE323" i="22"/>
  <c r="AC324" i="22"/>
  <c r="AD324" i="22"/>
  <c r="AE324" i="22"/>
  <c r="AC325" i="22"/>
  <c r="AD325" i="22"/>
  <c r="AE325" i="22"/>
  <c r="AC326" i="22"/>
  <c r="AD326" i="22"/>
  <c r="AE326" i="22"/>
  <c r="AC327" i="22"/>
  <c r="AD327" i="22"/>
  <c r="AE327" i="22"/>
  <c r="AC328" i="22"/>
  <c r="AD328" i="22"/>
  <c r="AE328" i="22"/>
  <c r="AC329" i="22"/>
  <c r="AD329" i="22"/>
  <c r="AE329" i="22"/>
  <c r="AC330" i="22"/>
  <c r="AD330" i="22"/>
  <c r="AE330" i="22"/>
  <c r="AC331" i="22"/>
  <c r="AD331" i="22"/>
  <c r="AE331" i="22"/>
  <c r="AC332" i="22"/>
  <c r="AD332" i="22"/>
  <c r="AE332" i="22"/>
  <c r="AC333" i="22"/>
  <c r="AD333" i="22"/>
  <c r="AE333" i="22"/>
  <c r="AC334" i="22"/>
  <c r="AD334" i="22"/>
  <c r="AE334" i="22"/>
  <c r="AC335" i="22"/>
  <c r="AD335" i="22"/>
  <c r="AE335" i="22"/>
  <c r="AC336" i="22"/>
  <c r="AD336" i="22"/>
  <c r="AE336" i="22"/>
  <c r="AC337" i="22"/>
  <c r="AD337" i="22"/>
  <c r="AE337" i="22"/>
  <c r="AC338" i="22"/>
  <c r="AD338" i="22"/>
  <c r="AE338" i="22"/>
  <c r="AC339" i="22"/>
  <c r="AD339" i="22"/>
  <c r="AE339" i="22"/>
  <c r="AC340" i="22"/>
  <c r="AD340" i="22"/>
  <c r="AE340" i="22"/>
  <c r="AC341" i="22"/>
  <c r="AD341" i="22"/>
  <c r="AE341" i="22"/>
  <c r="AC342" i="22"/>
  <c r="AD342" i="22"/>
  <c r="AE342" i="22"/>
  <c r="AC343" i="22"/>
  <c r="AD343" i="22"/>
  <c r="AE343" i="22"/>
  <c r="AC344" i="22"/>
  <c r="AD344" i="22"/>
  <c r="AE344" i="22"/>
  <c r="AC345" i="22"/>
  <c r="AD345" i="22"/>
  <c r="AE345" i="22"/>
  <c r="AC346" i="22"/>
  <c r="AD346" i="22"/>
  <c r="AE346" i="22"/>
  <c r="AC347" i="22"/>
  <c r="AD347" i="22"/>
  <c r="AE347" i="22"/>
  <c r="AC348" i="22"/>
  <c r="AD348" i="22"/>
  <c r="AE348" i="22"/>
  <c r="AC349" i="22"/>
  <c r="AD349" i="22"/>
  <c r="AE349" i="22"/>
  <c r="AC350" i="22"/>
  <c r="AD350" i="22"/>
  <c r="AE350" i="22"/>
  <c r="AC351" i="22"/>
  <c r="AD351" i="22"/>
  <c r="AE351" i="22"/>
  <c r="AC352" i="22"/>
  <c r="AD352" i="22"/>
  <c r="AE352" i="22"/>
  <c r="AC353" i="22"/>
  <c r="AD353" i="22"/>
  <c r="AE353" i="22"/>
  <c r="AC354" i="22"/>
  <c r="AD354" i="22"/>
  <c r="AE354" i="22"/>
  <c r="AC355" i="22"/>
  <c r="AD355" i="22"/>
  <c r="AE355" i="22"/>
  <c r="AC356" i="22"/>
  <c r="AD356" i="22"/>
  <c r="AE356" i="22"/>
  <c r="AC357" i="22"/>
  <c r="AD357" i="22"/>
  <c r="AE357" i="22"/>
  <c r="AC358" i="22"/>
  <c r="AD358" i="22"/>
  <c r="AE358" i="22"/>
  <c r="AC359" i="22"/>
  <c r="AD359" i="22"/>
  <c r="AE359" i="22"/>
  <c r="AC360" i="22"/>
  <c r="AD360" i="22"/>
  <c r="AE360" i="22"/>
  <c r="AC361" i="22"/>
  <c r="AD361" i="22"/>
  <c r="AE361" i="22"/>
  <c r="AC362" i="22"/>
  <c r="AD362" i="22"/>
  <c r="AE362" i="22"/>
  <c r="AC363" i="22"/>
  <c r="AD363" i="22"/>
  <c r="AE363" i="22"/>
  <c r="AC364" i="22"/>
  <c r="AD364" i="22"/>
  <c r="AE364" i="22"/>
  <c r="AC365" i="22"/>
  <c r="AD365" i="22"/>
  <c r="AE365" i="22"/>
  <c r="AC366" i="22"/>
  <c r="AD366" i="22"/>
  <c r="AE366" i="22"/>
  <c r="AC367" i="22"/>
  <c r="AD367" i="22"/>
  <c r="AE367" i="22"/>
  <c r="AC368" i="22"/>
  <c r="AD368" i="22"/>
  <c r="AE368" i="22"/>
  <c r="AC369" i="22"/>
  <c r="AD369" i="22"/>
  <c r="AE369" i="22"/>
  <c r="AC370" i="22"/>
  <c r="AD370" i="22"/>
  <c r="AE370" i="22"/>
  <c r="AC371" i="22"/>
  <c r="AD371" i="22"/>
  <c r="AE371" i="22"/>
  <c r="AC372" i="22"/>
  <c r="AD372" i="22"/>
  <c r="AE372" i="22"/>
  <c r="AC373" i="22"/>
  <c r="AD373" i="22"/>
  <c r="AE373" i="22"/>
  <c r="AC374" i="22"/>
  <c r="AD374" i="22"/>
  <c r="AE374" i="22"/>
  <c r="AC375" i="22"/>
  <c r="AD375" i="22"/>
  <c r="AE375" i="22"/>
  <c r="AC376" i="22"/>
  <c r="AD376" i="22"/>
  <c r="AE376" i="22"/>
  <c r="AC377" i="22"/>
  <c r="AD377" i="22"/>
  <c r="AE377" i="22"/>
  <c r="AC378" i="22"/>
  <c r="AD378" i="22"/>
  <c r="AE378" i="22"/>
  <c r="AC379" i="22"/>
  <c r="AD379" i="22"/>
  <c r="AE379" i="22"/>
  <c r="AC380" i="22"/>
  <c r="AD380" i="22"/>
  <c r="AE380" i="22"/>
  <c r="AC381" i="22"/>
  <c r="AD381" i="22"/>
  <c r="AE381" i="22"/>
  <c r="AC382" i="22"/>
  <c r="AD382" i="22"/>
  <c r="AE382" i="22"/>
  <c r="AC383" i="22"/>
  <c r="AD383" i="22"/>
  <c r="AE383" i="22"/>
  <c r="AC384" i="22"/>
  <c r="AD384" i="22"/>
  <c r="AE384" i="22"/>
  <c r="AC385" i="22"/>
  <c r="AD385" i="22"/>
  <c r="AE385" i="22"/>
  <c r="AC386" i="22"/>
  <c r="AD386" i="22"/>
  <c r="AE386" i="22"/>
  <c r="AC387" i="22"/>
  <c r="AD387" i="22"/>
  <c r="AE387" i="22"/>
  <c r="AC388" i="22"/>
  <c r="AD388" i="22"/>
  <c r="AE388" i="22"/>
  <c r="AC389" i="22"/>
  <c r="AD389" i="22"/>
  <c r="AE389" i="22"/>
  <c r="AC390" i="22"/>
  <c r="AD390" i="22"/>
  <c r="AE390" i="22"/>
  <c r="AC391" i="22"/>
  <c r="AD391" i="22"/>
  <c r="AE391" i="22"/>
  <c r="AC392" i="22"/>
  <c r="AD392" i="22"/>
  <c r="AE392" i="22"/>
  <c r="AC393" i="22"/>
  <c r="AD393" i="22"/>
  <c r="AE393" i="22"/>
  <c r="AC394" i="22"/>
  <c r="AD394" i="22"/>
  <c r="AE394" i="22"/>
  <c r="AC395" i="22"/>
  <c r="AD395" i="22"/>
  <c r="AE395" i="22"/>
  <c r="AC396" i="22"/>
  <c r="AD396" i="22"/>
  <c r="AE396" i="22"/>
  <c r="AC397" i="22"/>
  <c r="AD397" i="22"/>
  <c r="AE397" i="22"/>
  <c r="AC398" i="22"/>
  <c r="AD398" i="22"/>
  <c r="AE398" i="22"/>
  <c r="AC399" i="22"/>
  <c r="AD399" i="22"/>
  <c r="AE399" i="22"/>
  <c r="AC400" i="22"/>
  <c r="AD400" i="22"/>
  <c r="AE400" i="22"/>
  <c r="AC401" i="22"/>
  <c r="AD401" i="22"/>
  <c r="AE401" i="22"/>
  <c r="AC402" i="22"/>
  <c r="AD402" i="22"/>
  <c r="AE402" i="22"/>
  <c r="AC403" i="22"/>
  <c r="AD403" i="22"/>
  <c r="AE403" i="22"/>
  <c r="AC404" i="22"/>
  <c r="AD404" i="22"/>
  <c r="AE404" i="22"/>
  <c r="AC405" i="22"/>
  <c r="AD405" i="22"/>
  <c r="AE405" i="22"/>
  <c r="AC406" i="22"/>
  <c r="AD406" i="22"/>
  <c r="AE406" i="22"/>
  <c r="AC407" i="22"/>
  <c r="AD407" i="22"/>
  <c r="AE407" i="22"/>
  <c r="AC408" i="22"/>
  <c r="AD408" i="22"/>
  <c r="AE408" i="22"/>
  <c r="AC409" i="22"/>
  <c r="AD409" i="22"/>
  <c r="AE409" i="22"/>
  <c r="AC410" i="22"/>
  <c r="AD410" i="22"/>
  <c r="AE410" i="22"/>
  <c r="AC411" i="22"/>
  <c r="AD411" i="22"/>
  <c r="AE411" i="22"/>
  <c r="AC412" i="22"/>
  <c r="AD412" i="22"/>
  <c r="AE412" i="22"/>
  <c r="AC413" i="22"/>
  <c r="AD413" i="22"/>
  <c r="AE413" i="22"/>
  <c r="AC414" i="22"/>
  <c r="AD414" i="22"/>
  <c r="AE414" i="22"/>
  <c r="AC415" i="22"/>
  <c r="AD415" i="22"/>
  <c r="AE415" i="22"/>
  <c r="AC416" i="22"/>
  <c r="AD416" i="22"/>
  <c r="AE416" i="22"/>
  <c r="AC417" i="22"/>
  <c r="AD417" i="22"/>
  <c r="AE417" i="22"/>
  <c r="AC418" i="22"/>
  <c r="AD418" i="22"/>
  <c r="AE418" i="22"/>
  <c r="AC419" i="22"/>
  <c r="AD419" i="22"/>
  <c r="AE419" i="22"/>
  <c r="AC420" i="22"/>
  <c r="AD420" i="22"/>
  <c r="AE420" i="22"/>
  <c r="AC421" i="22"/>
  <c r="AD421" i="22"/>
  <c r="AE421" i="22"/>
  <c r="AC422" i="22"/>
  <c r="AD422" i="22"/>
  <c r="AE422" i="22"/>
  <c r="AC423" i="22"/>
  <c r="AD423" i="22"/>
  <c r="AE423" i="22"/>
  <c r="AC424" i="22"/>
  <c r="AD424" i="22"/>
  <c r="AE424" i="22"/>
  <c r="AC425" i="22"/>
  <c r="AD425" i="22"/>
  <c r="AE425" i="22"/>
  <c r="AC426" i="22"/>
  <c r="AD426" i="22"/>
  <c r="AE426" i="22"/>
  <c r="AC427" i="22"/>
  <c r="AD427" i="22"/>
  <c r="AE427" i="22"/>
  <c r="AC428" i="22"/>
  <c r="AD428" i="22"/>
  <c r="AE428" i="22"/>
  <c r="AC429" i="22"/>
  <c r="AD429" i="22"/>
  <c r="AE429" i="22"/>
  <c r="AC430" i="22"/>
  <c r="AD430" i="22"/>
  <c r="AE430" i="22"/>
  <c r="AC431" i="22"/>
  <c r="AD431" i="22"/>
  <c r="AE431" i="22"/>
  <c r="AC432" i="22"/>
  <c r="AD432" i="22"/>
  <c r="AE432" i="22"/>
  <c r="AC433" i="22"/>
  <c r="AD433" i="22"/>
  <c r="AE433" i="22"/>
  <c r="AC434" i="22"/>
  <c r="AD434" i="22"/>
  <c r="AE434" i="22"/>
  <c r="AC435" i="22"/>
  <c r="AD435" i="22"/>
  <c r="AE435" i="22"/>
  <c r="AC436" i="22"/>
  <c r="AD436" i="22"/>
  <c r="AE436" i="22"/>
  <c r="AC437" i="22"/>
  <c r="AD437" i="22"/>
  <c r="AE437" i="22"/>
  <c r="AC438" i="22"/>
  <c r="AD438" i="22"/>
  <c r="AE438" i="22"/>
  <c r="AC439" i="22"/>
  <c r="AD439" i="22"/>
  <c r="AE439" i="22"/>
  <c r="AC440" i="22"/>
  <c r="AD440" i="22"/>
  <c r="AE440" i="22"/>
  <c r="AC441" i="22"/>
  <c r="AD441" i="22"/>
  <c r="AE441" i="22"/>
  <c r="AC442" i="22"/>
  <c r="AD442" i="22"/>
  <c r="AE442" i="22"/>
  <c r="AC443" i="22"/>
  <c r="AD443" i="22"/>
  <c r="AE443" i="22"/>
  <c r="AC444" i="22"/>
  <c r="AD444" i="22"/>
  <c r="AE444" i="22"/>
  <c r="AC445" i="22"/>
  <c r="AD445" i="22"/>
  <c r="AE445" i="22"/>
  <c r="AC446" i="22"/>
  <c r="AD446" i="22"/>
  <c r="AE446" i="22"/>
  <c r="AC447" i="22"/>
  <c r="AD447" i="22"/>
  <c r="AE447" i="22"/>
  <c r="AC448" i="22"/>
  <c r="AD448" i="22"/>
  <c r="AE448" i="22"/>
  <c r="AC449" i="22"/>
  <c r="AD449" i="22"/>
  <c r="AE449" i="22"/>
  <c r="AC450" i="22"/>
  <c r="AD450" i="22"/>
  <c r="AE450" i="22"/>
  <c r="AC451" i="22"/>
  <c r="AD451" i="22"/>
  <c r="AE451" i="22"/>
  <c r="AC452" i="22"/>
  <c r="AD452" i="22"/>
  <c r="AE452" i="22"/>
  <c r="AC453" i="22"/>
  <c r="AD453" i="22"/>
  <c r="AE453" i="22"/>
  <c r="AC454" i="22"/>
  <c r="AD454" i="22"/>
  <c r="AE454" i="22"/>
  <c r="AC455" i="22"/>
  <c r="AD455" i="22"/>
  <c r="AE455" i="22"/>
  <c r="AC456" i="22"/>
  <c r="AD456" i="22"/>
  <c r="AE456" i="22"/>
  <c r="AC457" i="22"/>
  <c r="AD457" i="22"/>
  <c r="AE457" i="22"/>
  <c r="AC458" i="22"/>
  <c r="AD458" i="22"/>
  <c r="AE458" i="22"/>
  <c r="AC459" i="22"/>
  <c r="AD459" i="22"/>
  <c r="AE459" i="22"/>
  <c r="AC460" i="22"/>
  <c r="AD460" i="22"/>
  <c r="AE460" i="22"/>
  <c r="AC461" i="22"/>
  <c r="AD461" i="22"/>
  <c r="AE461" i="22"/>
  <c r="AC462" i="22"/>
  <c r="AD462" i="22"/>
  <c r="AE462" i="22"/>
  <c r="AC463" i="22"/>
  <c r="AD463" i="22"/>
  <c r="AE463" i="22"/>
  <c r="AC464" i="22"/>
  <c r="AD464" i="22"/>
  <c r="AE464" i="22"/>
  <c r="AC465" i="22"/>
  <c r="AD465" i="22"/>
  <c r="AE465" i="22"/>
  <c r="AC466" i="22"/>
  <c r="AD466" i="22"/>
  <c r="AE466" i="22"/>
  <c r="AC467" i="22"/>
  <c r="AD467" i="22"/>
  <c r="AE467" i="22"/>
  <c r="AC468" i="22"/>
  <c r="AD468" i="22"/>
  <c r="AE468" i="22"/>
  <c r="AC469" i="22"/>
  <c r="AD469" i="22"/>
  <c r="AE469" i="22"/>
  <c r="AC470" i="22"/>
  <c r="AD470" i="22"/>
  <c r="AE470" i="22"/>
  <c r="AC471" i="22"/>
  <c r="AD471" i="22"/>
  <c r="AE471" i="22"/>
  <c r="AC472" i="22"/>
  <c r="AD472" i="22"/>
  <c r="AE472" i="22"/>
  <c r="AC473" i="22"/>
  <c r="AD473" i="22"/>
  <c r="AE473" i="22"/>
  <c r="AC474" i="22"/>
  <c r="AD474" i="22"/>
  <c r="AE474" i="22"/>
  <c r="AC475" i="22"/>
  <c r="AD475" i="22"/>
  <c r="AE475" i="22"/>
  <c r="AC476" i="22"/>
  <c r="AD476" i="22"/>
  <c r="AE476" i="22"/>
  <c r="AC477" i="22"/>
  <c r="AD477" i="22"/>
  <c r="AE477" i="22"/>
  <c r="AC478" i="22"/>
  <c r="AD478" i="22"/>
  <c r="AE478" i="22"/>
  <c r="AC479" i="22"/>
  <c r="AD479" i="22"/>
  <c r="AE479" i="22"/>
  <c r="AC480" i="22"/>
  <c r="AD480" i="22"/>
  <c r="AE480" i="22"/>
  <c r="AC481" i="22"/>
  <c r="AD481" i="22"/>
  <c r="AE481" i="22"/>
  <c r="AC482" i="22"/>
  <c r="AD482" i="22"/>
  <c r="AE482" i="22"/>
  <c r="AC483" i="22"/>
  <c r="AD483" i="22"/>
  <c r="AE483" i="22"/>
  <c r="AC484" i="22"/>
  <c r="AD484" i="22"/>
  <c r="AE484" i="22"/>
  <c r="AC485" i="22"/>
  <c r="AD485" i="22"/>
  <c r="AE485" i="22"/>
  <c r="AC486" i="22"/>
  <c r="AD486" i="22"/>
  <c r="AE486" i="22"/>
  <c r="AC487" i="22"/>
  <c r="AD487" i="22"/>
  <c r="AE487" i="22"/>
  <c r="AC488" i="22"/>
  <c r="AD488" i="22"/>
  <c r="AE488" i="22"/>
  <c r="AC489" i="22"/>
  <c r="AD489" i="22"/>
  <c r="AE489" i="22"/>
  <c r="AC490" i="22"/>
  <c r="AD490" i="22"/>
  <c r="AE490" i="22"/>
  <c r="AC491" i="22"/>
  <c r="AD491" i="22"/>
  <c r="AE491" i="22"/>
  <c r="AC492" i="22"/>
  <c r="AD492" i="22"/>
  <c r="AE492" i="22"/>
  <c r="AC493" i="22"/>
  <c r="AD493" i="22"/>
  <c r="AE493" i="22"/>
  <c r="AC494" i="22"/>
  <c r="AD494" i="22"/>
  <c r="AE494" i="22"/>
  <c r="AC495" i="22"/>
  <c r="AD495" i="22"/>
  <c r="AE495" i="22"/>
  <c r="AC496" i="22"/>
  <c r="AD496" i="22"/>
  <c r="AE496" i="22"/>
  <c r="AC497" i="22"/>
  <c r="AD497" i="22"/>
  <c r="AE497" i="22"/>
  <c r="AC498" i="22"/>
  <c r="AD498" i="22"/>
  <c r="AE498" i="22"/>
  <c r="AC499" i="22"/>
  <c r="AD499" i="22"/>
  <c r="AE499" i="22"/>
  <c r="AC500" i="22"/>
  <c r="AD500" i="22"/>
  <c r="AE500" i="22"/>
  <c r="AC501" i="22"/>
  <c r="AD501" i="22"/>
  <c r="AE501" i="22"/>
  <c r="AC502" i="22"/>
  <c r="AD502" i="22"/>
  <c r="AE502" i="22"/>
  <c r="AC503" i="22"/>
  <c r="AD503" i="22"/>
  <c r="AE503" i="22"/>
  <c r="AC504" i="22"/>
  <c r="AD504" i="22"/>
  <c r="AE504" i="22"/>
  <c r="AC505" i="22"/>
  <c r="AD505" i="22"/>
  <c r="AE505" i="22"/>
  <c r="AC506" i="22"/>
  <c r="AD506" i="22"/>
  <c r="AE506" i="22"/>
  <c r="AC507" i="22"/>
  <c r="AD507" i="22"/>
  <c r="AE507" i="22"/>
  <c r="AC508" i="22"/>
  <c r="AD508" i="22"/>
  <c r="AE508" i="22"/>
  <c r="AC509" i="22"/>
  <c r="AD509" i="22"/>
  <c r="AE509" i="22"/>
  <c r="AC510" i="22"/>
  <c r="AD510" i="22"/>
  <c r="AE510" i="22"/>
  <c r="AC511" i="22"/>
  <c r="AD511" i="22"/>
  <c r="AE511" i="22"/>
  <c r="AC512" i="22"/>
  <c r="AD512" i="22"/>
  <c r="AE512" i="22"/>
  <c r="AC513" i="22"/>
  <c r="AD513" i="22"/>
  <c r="AE513" i="22"/>
  <c r="AC514" i="22"/>
  <c r="AD514" i="22"/>
  <c r="AE514" i="22"/>
  <c r="AC515" i="22"/>
  <c r="AD515" i="22"/>
  <c r="AE515" i="22"/>
  <c r="AC516" i="22"/>
  <c r="AD516" i="22"/>
  <c r="AE516" i="22"/>
  <c r="AC517" i="22"/>
  <c r="AD517" i="22"/>
  <c r="AE517" i="22"/>
  <c r="AC518" i="22"/>
  <c r="AD518" i="22"/>
  <c r="AE518" i="22"/>
  <c r="AC519" i="22"/>
  <c r="AD519" i="22"/>
  <c r="AE519" i="22"/>
  <c r="AC520" i="22"/>
  <c r="AD520" i="22"/>
  <c r="AE520" i="22"/>
  <c r="AC521" i="22"/>
  <c r="AD521" i="22"/>
  <c r="AE521" i="22"/>
  <c r="AC522" i="22"/>
  <c r="AD522" i="22"/>
  <c r="AE522" i="22"/>
  <c r="AC523" i="22"/>
  <c r="AD523" i="22"/>
  <c r="AE523" i="22"/>
  <c r="AC524" i="22"/>
  <c r="AD524" i="22"/>
  <c r="AE524" i="22"/>
  <c r="AC525" i="22"/>
  <c r="AD525" i="22"/>
  <c r="AE525" i="22"/>
  <c r="AC526" i="22"/>
  <c r="AD526" i="22"/>
  <c r="AE526" i="22"/>
  <c r="AC527" i="22"/>
  <c r="AD527" i="22"/>
  <c r="AE527" i="22"/>
  <c r="AC528" i="22"/>
  <c r="AD528" i="22"/>
  <c r="AE528" i="22"/>
  <c r="AC529" i="22"/>
  <c r="AD529" i="22"/>
  <c r="AE529" i="22"/>
  <c r="AC530" i="22"/>
  <c r="AD530" i="22"/>
  <c r="AE530" i="22"/>
  <c r="AC531" i="22"/>
  <c r="AD531" i="22"/>
  <c r="AE531" i="22"/>
  <c r="AC532" i="22"/>
  <c r="AD532" i="22"/>
  <c r="AE532" i="22"/>
  <c r="AC533" i="22"/>
  <c r="AD533" i="22"/>
  <c r="AE533" i="22"/>
  <c r="AC534" i="22"/>
  <c r="AD534" i="22"/>
  <c r="AE534" i="22"/>
  <c r="AC535" i="22"/>
  <c r="AD535" i="22"/>
  <c r="AE535" i="22"/>
  <c r="AC536" i="22"/>
  <c r="AD536" i="22"/>
  <c r="AE536" i="22"/>
  <c r="AC537" i="22"/>
  <c r="AD537" i="22"/>
  <c r="AE537" i="22"/>
  <c r="AC538" i="22"/>
  <c r="AD538" i="22"/>
  <c r="AE538" i="22"/>
  <c r="AC539" i="22"/>
  <c r="AD539" i="22"/>
  <c r="AE539" i="22"/>
  <c r="AC540" i="22"/>
  <c r="AD540" i="22"/>
  <c r="AE540" i="22"/>
  <c r="AC541" i="22"/>
  <c r="AD541" i="22"/>
  <c r="AE541" i="22"/>
  <c r="AC542" i="22"/>
  <c r="AD542" i="22"/>
  <c r="AE542" i="22"/>
  <c r="AC543" i="22"/>
  <c r="AD543" i="22"/>
  <c r="AE543" i="22"/>
  <c r="AC544" i="22"/>
  <c r="AD544" i="22"/>
  <c r="AE544" i="22"/>
  <c r="AC545" i="22"/>
  <c r="AD545" i="22"/>
  <c r="AE545" i="22"/>
  <c r="AC546" i="22"/>
  <c r="AD546" i="22"/>
  <c r="AE546" i="22"/>
  <c r="AC547" i="22"/>
  <c r="AD547" i="22"/>
  <c r="AE547" i="22"/>
  <c r="AC548" i="22"/>
  <c r="AD548" i="22"/>
  <c r="AE548" i="22"/>
  <c r="AC549" i="22"/>
  <c r="AD549" i="22"/>
  <c r="AE549" i="22"/>
  <c r="AC550" i="22"/>
  <c r="AD550" i="22"/>
  <c r="AE550" i="22"/>
  <c r="AC551" i="22"/>
  <c r="AD551" i="22"/>
  <c r="AE551" i="22"/>
  <c r="AC552" i="22"/>
  <c r="AD552" i="22"/>
  <c r="AE552" i="22"/>
  <c r="AC553" i="22"/>
  <c r="AD553" i="22"/>
  <c r="AE553" i="22"/>
  <c r="AC554" i="22"/>
  <c r="AD554" i="22"/>
  <c r="AE554" i="22"/>
  <c r="AC555" i="22"/>
  <c r="AD555" i="22"/>
  <c r="AE555" i="22"/>
  <c r="AC556" i="22"/>
  <c r="AD556" i="22"/>
  <c r="AE556" i="22"/>
  <c r="AC557" i="22"/>
  <c r="AD557" i="22"/>
  <c r="AE557" i="22"/>
  <c r="AC558" i="22"/>
  <c r="AD558" i="22"/>
  <c r="AE558" i="22"/>
  <c r="AC559" i="22"/>
  <c r="AD559" i="22"/>
  <c r="AE559" i="22"/>
  <c r="AC560" i="22"/>
  <c r="AD560" i="22"/>
  <c r="AE560" i="22"/>
  <c r="AC561" i="22"/>
  <c r="AD561" i="22"/>
  <c r="AE561" i="22"/>
  <c r="AC562" i="22"/>
  <c r="AD562" i="22"/>
  <c r="AE562" i="22"/>
  <c r="AC563" i="22"/>
  <c r="AD563" i="22"/>
  <c r="AE563" i="22"/>
  <c r="AC564" i="22"/>
  <c r="AD564" i="22"/>
  <c r="AE564" i="22"/>
  <c r="AC565" i="22"/>
  <c r="AD565" i="22"/>
  <c r="AE565" i="22"/>
  <c r="AC566" i="22"/>
  <c r="AD566" i="22"/>
  <c r="AE566" i="22"/>
  <c r="AC567" i="22"/>
  <c r="AD567" i="22"/>
  <c r="AE567" i="22"/>
  <c r="AC568" i="22"/>
  <c r="AD568" i="22"/>
  <c r="AE568" i="22"/>
  <c r="AC569" i="22"/>
  <c r="AD569" i="22"/>
  <c r="AE569" i="22"/>
  <c r="AC570" i="22"/>
  <c r="AD570" i="22"/>
  <c r="AE570" i="22"/>
  <c r="AC571" i="22"/>
  <c r="AD571" i="22"/>
  <c r="AE571" i="22"/>
  <c r="AC572" i="22"/>
  <c r="AD572" i="22"/>
  <c r="AE572" i="22"/>
  <c r="AC573" i="22"/>
  <c r="AD573" i="22"/>
  <c r="AE573" i="22"/>
  <c r="AC574" i="22"/>
  <c r="AD574" i="22"/>
  <c r="AE574" i="22"/>
  <c r="AC575" i="22"/>
  <c r="AD575" i="22"/>
  <c r="AE575" i="22"/>
  <c r="AC576" i="22"/>
  <c r="AD576" i="22"/>
  <c r="AE576" i="22"/>
  <c r="AC577" i="22"/>
  <c r="AD577" i="22"/>
  <c r="AE577" i="22"/>
  <c r="AC578" i="22"/>
  <c r="AD578" i="22"/>
  <c r="AE578" i="22"/>
  <c r="AC579" i="22"/>
  <c r="AD579" i="22"/>
  <c r="AE579" i="22"/>
  <c r="AC580" i="22"/>
  <c r="AD580" i="22"/>
  <c r="AE580" i="22"/>
  <c r="AC581" i="22"/>
  <c r="AD581" i="22"/>
  <c r="AE581" i="22"/>
  <c r="AC582" i="22"/>
  <c r="AD582" i="22"/>
  <c r="AE582" i="22"/>
  <c r="AC583" i="22"/>
  <c r="AD583" i="22"/>
  <c r="AE583" i="22"/>
  <c r="AC584" i="22"/>
  <c r="AD584" i="22"/>
  <c r="AE584" i="22"/>
  <c r="AC585" i="22"/>
  <c r="AD585" i="22"/>
  <c r="AE585" i="22"/>
  <c r="AC586" i="22"/>
  <c r="AD586" i="22"/>
  <c r="AE586" i="22"/>
  <c r="AC587" i="22"/>
  <c r="AD587" i="22"/>
  <c r="AE587" i="22"/>
  <c r="AC588" i="22"/>
  <c r="AD588" i="22"/>
  <c r="AE588" i="22"/>
  <c r="AC589" i="22"/>
  <c r="AD589" i="22"/>
  <c r="AE589" i="22"/>
  <c r="AC590" i="22"/>
  <c r="AD590" i="22"/>
  <c r="AE590" i="22"/>
  <c r="AC591" i="22"/>
  <c r="AD591" i="22"/>
  <c r="AE591" i="22"/>
  <c r="AC592" i="22"/>
  <c r="AD592" i="22"/>
  <c r="AE592" i="22"/>
  <c r="AC593" i="22"/>
  <c r="AD593" i="22"/>
  <c r="AE593" i="22"/>
  <c r="AC594" i="22"/>
  <c r="AD594" i="22"/>
  <c r="AE594" i="22"/>
  <c r="AC595" i="22"/>
  <c r="AD595" i="22"/>
  <c r="AE595" i="22"/>
  <c r="AC596" i="22"/>
  <c r="AD596" i="22"/>
  <c r="AE596" i="22"/>
  <c r="AC597" i="22"/>
  <c r="AD597" i="22"/>
  <c r="AE597" i="22"/>
  <c r="AC598" i="22"/>
  <c r="AD598" i="22"/>
  <c r="AE598" i="22"/>
  <c r="AC599" i="22"/>
  <c r="AD599" i="22"/>
  <c r="AE599" i="22"/>
  <c r="AC600" i="22"/>
  <c r="AD600" i="22"/>
  <c r="AE600" i="22"/>
  <c r="AC601" i="22"/>
  <c r="AD601" i="22"/>
  <c r="AE601" i="22"/>
  <c r="AC602" i="22"/>
  <c r="AD602" i="22"/>
  <c r="AE602" i="22"/>
  <c r="AC603" i="22"/>
  <c r="AD603" i="22"/>
  <c r="AE603" i="22"/>
  <c r="AC604" i="22"/>
  <c r="AD604" i="22"/>
  <c r="AE604" i="22"/>
  <c r="AC605" i="22"/>
  <c r="AD605" i="22"/>
  <c r="AE605" i="22"/>
  <c r="AC606" i="22"/>
  <c r="AD606" i="22"/>
  <c r="AE606" i="22"/>
  <c r="AC607" i="22"/>
  <c r="AD607" i="22"/>
  <c r="AE607" i="22"/>
  <c r="AC608" i="22"/>
  <c r="AD608" i="22"/>
  <c r="AE608" i="22"/>
  <c r="AC609" i="22"/>
  <c r="AD609" i="22"/>
  <c r="AE609" i="22"/>
  <c r="AC610" i="22"/>
  <c r="AD610" i="22"/>
  <c r="AE610" i="22"/>
  <c r="AC611" i="22"/>
  <c r="AD611" i="22"/>
  <c r="AE611" i="22"/>
  <c r="AC612" i="22"/>
  <c r="AD612" i="22"/>
  <c r="AE612" i="22"/>
  <c r="AC613" i="22"/>
  <c r="AD613" i="22"/>
  <c r="AE613" i="22"/>
  <c r="AC614" i="22"/>
  <c r="AD614" i="22"/>
  <c r="AE614" i="22"/>
  <c r="AC615" i="22"/>
  <c r="AD615" i="22"/>
  <c r="AE615" i="22"/>
  <c r="AC616" i="22"/>
  <c r="AD616" i="22"/>
  <c r="AE616" i="22"/>
  <c r="AC617" i="22"/>
  <c r="AD617" i="22"/>
  <c r="AE617" i="22"/>
  <c r="AC618" i="22"/>
  <c r="AD618" i="22"/>
  <c r="AE618" i="22"/>
  <c r="AC619" i="22"/>
  <c r="AD619" i="22"/>
  <c r="AE619" i="22"/>
  <c r="AC620" i="22"/>
  <c r="AD620" i="22"/>
  <c r="AE620" i="22"/>
  <c r="AC621" i="22"/>
  <c r="AD621" i="22"/>
  <c r="AE621" i="22"/>
  <c r="AC622" i="22"/>
  <c r="AD622" i="22"/>
  <c r="AE622" i="22"/>
  <c r="AC623" i="22"/>
  <c r="AD623" i="22"/>
  <c r="AE623" i="22"/>
  <c r="AC624" i="22"/>
  <c r="AD624" i="22"/>
  <c r="AE624" i="22"/>
  <c r="AC625" i="22"/>
  <c r="AD625" i="22"/>
  <c r="AE625" i="22"/>
  <c r="AC626" i="22"/>
  <c r="AD626" i="22"/>
  <c r="AE626" i="22"/>
  <c r="AC627" i="22"/>
  <c r="AD627" i="22"/>
  <c r="AE627" i="22"/>
  <c r="AC628" i="22"/>
  <c r="AD628" i="22"/>
  <c r="AE628" i="22"/>
  <c r="AC629" i="22"/>
  <c r="AD629" i="22"/>
  <c r="AE629" i="22"/>
  <c r="AC630" i="22"/>
  <c r="AD630" i="22"/>
  <c r="AE630" i="22"/>
  <c r="AC631" i="22"/>
  <c r="AD631" i="22"/>
  <c r="AE631" i="22"/>
  <c r="AC632" i="22"/>
  <c r="AD632" i="22"/>
  <c r="AE632" i="22"/>
  <c r="AC633" i="22"/>
  <c r="AD633" i="22"/>
  <c r="AE633" i="22"/>
  <c r="AC634" i="22"/>
  <c r="AD634" i="22"/>
  <c r="AE634" i="22"/>
  <c r="AC635" i="22"/>
  <c r="AD635" i="22"/>
  <c r="AE635" i="22"/>
  <c r="AC636" i="22"/>
  <c r="AD636" i="22"/>
  <c r="AE636" i="22"/>
  <c r="AC637" i="22"/>
  <c r="AD637" i="22"/>
  <c r="AE637" i="22"/>
  <c r="AC638" i="22"/>
  <c r="AD638" i="22"/>
  <c r="AE638" i="22"/>
  <c r="AC639" i="22"/>
  <c r="AD639" i="22"/>
  <c r="AE639" i="22"/>
  <c r="AC640" i="22"/>
  <c r="AD640" i="22"/>
  <c r="AE640" i="22"/>
  <c r="AC641" i="22"/>
  <c r="AD641" i="22"/>
  <c r="AE641" i="22"/>
  <c r="AC642" i="22"/>
  <c r="AD642" i="22"/>
  <c r="AE642" i="22"/>
  <c r="AC643" i="22"/>
  <c r="AD643" i="22"/>
  <c r="AE643" i="22"/>
  <c r="AC644" i="22"/>
  <c r="AD644" i="22"/>
  <c r="AE644" i="22"/>
  <c r="AC645" i="22"/>
  <c r="AD645" i="22"/>
  <c r="AE645" i="22"/>
  <c r="AC646" i="22"/>
  <c r="AD646" i="22"/>
  <c r="AE646" i="22"/>
  <c r="AC647" i="22"/>
  <c r="AD647" i="22"/>
  <c r="AE647" i="22"/>
  <c r="AC648" i="22"/>
  <c r="AD648" i="22"/>
  <c r="AE648" i="22"/>
  <c r="AC649" i="22"/>
  <c r="AD649" i="22"/>
  <c r="AE649" i="22"/>
  <c r="AC650" i="22"/>
  <c r="AD650" i="22"/>
  <c r="AE650" i="22"/>
  <c r="AC651" i="22"/>
  <c r="AD651" i="22"/>
  <c r="AE651" i="22"/>
  <c r="AC652" i="22"/>
  <c r="AD652" i="22"/>
  <c r="AE652" i="22"/>
  <c r="AC653" i="22"/>
  <c r="AD653" i="22"/>
  <c r="AE653" i="22"/>
  <c r="AC654" i="22"/>
  <c r="AD654" i="22"/>
  <c r="AE654" i="22"/>
  <c r="AC655" i="22"/>
  <c r="AD655" i="22"/>
  <c r="AE655" i="22"/>
  <c r="AC656" i="22"/>
  <c r="AD656" i="22"/>
  <c r="AE656" i="22"/>
  <c r="AC657" i="22"/>
  <c r="AD657" i="22"/>
  <c r="AE657" i="22"/>
  <c r="AC658" i="22"/>
  <c r="AD658" i="22"/>
  <c r="AE658" i="22"/>
  <c r="AC659" i="22"/>
  <c r="AD659" i="22"/>
  <c r="AE659" i="22"/>
  <c r="AC660" i="22"/>
  <c r="AD660" i="22"/>
  <c r="AE660" i="22"/>
  <c r="AC661" i="22"/>
  <c r="AD661" i="22"/>
  <c r="AE661" i="22"/>
  <c r="AC662" i="22"/>
  <c r="AD662" i="22"/>
  <c r="AE662" i="22"/>
  <c r="AC663" i="22"/>
  <c r="AD663" i="22"/>
  <c r="AE663" i="22"/>
  <c r="AC664" i="22"/>
  <c r="AD664" i="22"/>
  <c r="AE664" i="22"/>
  <c r="AC665" i="22"/>
  <c r="AD665" i="22"/>
  <c r="AE665" i="22"/>
  <c r="AC666" i="22"/>
  <c r="AD666" i="22"/>
  <c r="AE666" i="22"/>
  <c r="AC667" i="22"/>
  <c r="AD667" i="22"/>
  <c r="AE667" i="22"/>
  <c r="AC668" i="22"/>
  <c r="AD668" i="22"/>
  <c r="AE668" i="22"/>
  <c r="AC669" i="22"/>
  <c r="AD669" i="22"/>
  <c r="AE669" i="22"/>
  <c r="AC670" i="22"/>
  <c r="AD670" i="22"/>
  <c r="AE670" i="22"/>
  <c r="AC671" i="22"/>
  <c r="AD671" i="22"/>
  <c r="AE671" i="22"/>
  <c r="AC672" i="22"/>
  <c r="AD672" i="22"/>
  <c r="AE672" i="22"/>
  <c r="AC673" i="22"/>
  <c r="AD673" i="22"/>
  <c r="AE673" i="22"/>
  <c r="AC674" i="22"/>
  <c r="AD674" i="22"/>
  <c r="AE674" i="22"/>
  <c r="AC675" i="22"/>
  <c r="AD675" i="22"/>
  <c r="AE675" i="22"/>
  <c r="AC676" i="22"/>
  <c r="AD676" i="22"/>
  <c r="AE676" i="22"/>
  <c r="AC677" i="22"/>
  <c r="AD677" i="22"/>
  <c r="AE677" i="22"/>
  <c r="AC678" i="22"/>
  <c r="AD678" i="22"/>
  <c r="AE678" i="22"/>
  <c r="AC679" i="22"/>
  <c r="AD679" i="22"/>
  <c r="AE679" i="22"/>
  <c r="AC680" i="22"/>
  <c r="AD680" i="22"/>
  <c r="AE680" i="22"/>
  <c r="AC681" i="22"/>
  <c r="AD681" i="22"/>
  <c r="AE681" i="22"/>
  <c r="AC682" i="22"/>
  <c r="AD682" i="22"/>
  <c r="AE682" i="22"/>
  <c r="AC683" i="22"/>
  <c r="AD683" i="22"/>
  <c r="AE683" i="22"/>
  <c r="AC684" i="22"/>
  <c r="AD684" i="22"/>
  <c r="AE684" i="22"/>
  <c r="AC685" i="22"/>
  <c r="AD685" i="22"/>
  <c r="AE685" i="22"/>
  <c r="AC686" i="22"/>
  <c r="AD686" i="22"/>
  <c r="AE686" i="22"/>
  <c r="AC687" i="22"/>
  <c r="AD687" i="22"/>
  <c r="AE687" i="22"/>
  <c r="AC688" i="22"/>
  <c r="AD688" i="22"/>
  <c r="AE688" i="22"/>
  <c r="AC689" i="22"/>
  <c r="AD689" i="22"/>
  <c r="AE689" i="22"/>
  <c r="AC690" i="22"/>
  <c r="AD690" i="22"/>
  <c r="AE690" i="22"/>
  <c r="AC691" i="22"/>
  <c r="AD691" i="22"/>
  <c r="AE691" i="22"/>
  <c r="AC692" i="22"/>
  <c r="AD692" i="22"/>
  <c r="AE692" i="22"/>
  <c r="AC693" i="22"/>
  <c r="AD693" i="22"/>
  <c r="AE693" i="22"/>
  <c r="AC694" i="22"/>
  <c r="AD694" i="22"/>
  <c r="AE694" i="22"/>
  <c r="AC695" i="22"/>
  <c r="AD695" i="22"/>
  <c r="AE695" i="22"/>
  <c r="AC696" i="22"/>
  <c r="AD696" i="22"/>
  <c r="AE696" i="22"/>
  <c r="AC697" i="22"/>
  <c r="AD697" i="22"/>
  <c r="AE697" i="22"/>
  <c r="AC698" i="22"/>
  <c r="AD698" i="22"/>
  <c r="AE698" i="22"/>
  <c r="AC699" i="22"/>
  <c r="AD699" i="22"/>
  <c r="AE699" i="22"/>
  <c r="AC700" i="22"/>
  <c r="AD700" i="22"/>
  <c r="AE700" i="22"/>
  <c r="AC701" i="22"/>
  <c r="AD701" i="22"/>
  <c r="AE701" i="22"/>
  <c r="AC702" i="22"/>
  <c r="AD702" i="22"/>
  <c r="AE702" i="22"/>
  <c r="AC703" i="22"/>
  <c r="AD703" i="22"/>
  <c r="AE703" i="22"/>
  <c r="AC704" i="22"/>
  <c r="AD704" i="22"/>
  <c r="AE704" i="22"/>
  <c r="AC705" i="22"/>
  <c r="AD705" i="22"/>
  <c r="AE705" i="22"/>
  <c r="AC706" i="22"/>
  <c r="AD706" i="22"/>
  <c r="AE706" i="22"/>
  <c r="AC707" i="22"/>
  <c r="AD707" i="22"/>
  <c r="AE707" i="22"/>
  <c r="AC708" i="22"/>
  <c r="AD708" i="22"/>
  <c r="AE708" i="22"/>
  <c r="AC709" i="22"/>
  <c r="AD709" i="22"/>
  <c r="AE709" i="22"/>
  <c r="AC710" i="22"/>
  <c r="AD710" i="22"/>
  <c r="AE710" i="22"/>
  <c r="AC711" i="22"/>
  <c r="AD711" i="22"/>
  <c r="AE711" i="22"/>
  <c r="AC712" i="22"/>
  <c r="AD712" i="22"/>
  <c r="AE712" i="22"/>
  <c r="AC713" i="22"/>
  <c r="AD713" i="22"/>
  <c r="AE713" i="22"/>
  <c r="AC714" i="22"/>
  <c r="AD714" i="22"/>
  <c r="AE714" i="22"/>
  <c r="AC715" i="22"/>
  <c r="AD715" i="22"/>
  <c r="AE715" i="22"/>
  <c r="AC716" i="22"/>
  <c r="AD716" i="22"/>
  <c r="AE716" i="22"/>
  <c r="AC717" i="22"/>
  <c r="AD717" i="22"/>
  <c r="AE717" i="22"/>
  <c r="AC718" i="22"/>
  <c r="AD718" i="22"/>
  <c r="AE718" i="22"/>
  <c r="AC719" i="22"/>
  <c r="AD719" i="22"/>
  <c r="AE719" i="22"/>
  <c r="AC720" i="22"/>
  <c r="AD720" i="22"/>
  <c r="AE720" i="22"/>
  <c r="AC721" i="22"/>
  <c r="AD721" i="22"/>
  <c r="AE721" i="22"/>
  <c r="AC722" i="22"/>
  <c r="AD722" i="22"/>
  <c r="AE722" i="22"/>
  <c r="AC723" i="22"/>
  <c r="AD723" i="22"/>
  <c r="AE723" i="22"/>
  <c r="AC724" i="22"/>
  <c r="AD724" i="22"/>
  <c r="AE724" i="22"/>
  <c r="AC725" i="22"/>
  <c r="AD725" i="22"/>
  <c r="AE725" i="22"/>
  <c r="AC726" i="22"/>
  <c r="AD726" i="22"/>
  <c r="AE726" i="22"/>
  <c r="AC727" i="22"/>
  <c r="AD727" i="22"/>
  <c r="AE727" i="22"/>
  <c r="AC728" i="22"/>
  <c r="AD728" i="22"/>
  <c r="AE728" i="22"/>
  <c r="AC729" i="22"/>
  <c r="AD729" i="22"/>
  <c r="AE729" i="22"/>
  <c r="AC730" i="22"/>
  <c r="AD730" i="22"/>
  <c r="AE730" i="22"/>
  <c r="AC731" i="22"/>
  <c r="AD731" i="22"/>
  <c r="AE731" i="22"/>
  <c r="AC732" i="22"/>
  <c r="AD732" i="22"/>
  <c r="AE732" i="22"/>
  <c r="AC733" i="22"/>
  <c r="AD733" i="22"/>
  <c r="AE733" i="22"/>
  <c r="AC734" i="22"/>
  <c r="AD734" i="22"/>
  <c r="AE734" i="22"/>
  <c r="AC735" i="22"/>
  <c r="AD735" i="22"/>
  <c r="AE735" i="22"/>
  <c r="AC736" i="22"/>
  <c r="AD736" i="22"/>
  <c r="AE736" i="22"/>
  <c r="AC737" i="22"/>
  <c r="AD737" i="22"/>
  <c r="AE737" i="22"/>
  <c r="AC738" i="22"/>
  <c r="AD738" i="22"/>
  <c r="AE738" i="22"/>
  <c r="AC739" i="22"/>
  <c r="AD739" i="22"/>
  <c r="AE739" i="22"/>
  <c r="AC740" i="22"/>
  <c r="AD740" i="22"/>
  <c r="AE740" i="22"/>
  <c r="AC741" i="22"/>
  <c r="AD741" i="22"/>
  <c r="AE741" i="22"/>
  <c r="AC742" i="22"/>
  <c r="AD742" i="22"/>
  <c r="AE742" i="22"/>
  <c r="AC743" i="22"/>
  <c r="AD743" i="22"/>
  <c r="AE743" i="22"/>
  <c r="AC744" i="22"/>
  <c r="AD744" i="22"/>
  <c r="AE744" i="22"/>
  <c r="AC745" i="22"/>
  <c r="AD745" i="22"/>
  <c r="AE745" i="22"/>
  <c r="AC746" i="22"/>
  <c r="AD746" i="22"/>
  <c r="AE746" i="22"/>
  <c r="AC747" i="22"/>
  <c r="AD747" i="22"/>
  <c r="AE747" i="22"/>
  <c r="AC748" i="22"/>
  <c r="AD748" i="22"/>
  <c r="AE748" i="22"/>
  <c r="AC749" i="22"/>
  <c r="AD749" i="22"/>
  <c r="AE749" i="22"/>
  <c r="AC750" i="22"/>
  <c r="AD750" i="22"/>
  <c r="AE750" i="22"/>
  <c r="AC751" i="22"/>
  <c r="AD751" i="22"/>
  <c r="AE751" i="22"/>
  <c r="AC752" i="22"/>
  <c r="AD752" i="22"/>
  <c r="AE752" i="22"/>
  <c r="AC753" i="22"/>
  <c r="AD753" i="22"/>
  <c r="AE753" i="22"/>
  <c r="AC754" i="22"/>
  <c r="AD754" i="22"/>
  <c r="AE754" i="22"/>
  <c r="AC755" i="22"/>
  <c r="AD755" i="22"/>
  <c r="AE755" i="22"/>
  <c r="AC756" i="22"/>
  <c r="AD756" i="22"/>
  <c r="AE756" i="22"/>
  <c r="AC757" i="22"/>
  <c r="AD757" i="22"/>
  <c r="AE757" i="22"/>
  <c r="AC758" i="22"/>
  <c r="AD758" i="22"/>
  <c r="AE758" i="22"/>
  <c r="AC759" i="22"/>
  <c r="AD759" i="22"/>
  <c r="AE759" i="22"/>
  <c r="AC760" i="22"/>
  <c r="AD760" i="22"/>
  <c r="AE760" i="22"/>
  <c r="AC761" i="22"/>
  <c r="AD761" i="22"/>
  <c r="AE761" i="22"/>
  <c r="AC762" i="22"/>
  <c r="AD762" i="22"/>
  <c r="AE762" i="22"/>
  <c r="AC763" i="22"/>
  <c r="AD763" i="22"/>
  <c r="AE763" i="22"/>
  <c r="AC764" i="22"/>
  <c r="AD764" i="22"/>
  <c r="AE764" i="22"/>
  <c r="AC765" i="22"/>
  <c r="AD765" i="22"/>
  <c r="AE765" i="22"/>
  <c r="AC766" i="22"/>
  <c r="AD766" i="22"/>
  <c r="AE766" i="22"/>
  <c r="AC767" i="22"/>
  <c r="AD767" i="22"/>
  <c r="AE767" i="22"/>
  <c r="AC768" i="22"/>
  <c r="AD768" i="22"/>
  <c r="AE768" i="22"/>
  <c r="AC2" i="22"/>
  <c r="AD2" i="22"/>
  <c r="AE2" i="22"/>
  <c r="AC3" i="22"/>
  <c r="AD3" i="22"/>
  <c r="AE3" i="22"/>
  <c r="AC4" i="22"/>
  <c r="AD4" i="22"/>
  <c r="AE4" i="22"/>
  <c r="AC5" i="22"/>
  <c r="AD5" i="22"/>
  <c r="AE5" i="22"/>
  <c r="AC6" i="22"/>
  <c r="AD6" i="22"/>
  <c r="AE6" i="22"/>
  <c r="AC7" i="22"/>
  <c r="AD7" i="22"/>
  <c r="AE7" i="22"/>
  <c r="AC8" i="22"/>
  <c r="AD8" i="22"/>
  <c r="AE8" i="22"/>
  <c r="AC9" i="22"/>
  <c r="AD9" i="22"/>
  <c r="AE9" i="22"/>
  <c r="AC10" i="22"/>
  <c r="AD10" i="22"/>
  <c r="AE10" i="22"/>
  <c r="AC11" i="22"/>
  <c r="AD11" i="22"/>
  <c r="AE11" i="22"/>
  <c r="AC12" i="22"/>
  <c r="AD12" i="22"/>
  <c r="AE12" i="22"/>
  <c r="AC13" i="22"/>
  <c r="AD13" i="22"/>
  <c r="AE13" i="22"/>
  <c r="AC14" i="22"/>
  <c r="AD14" i="22"/>
  <c r="AE14" i="22"/>
  <c r="AC15" i="22"/>
  <c r="AD15" i="22"/>
  <c r="AE15" i="22"/>
  <c r="AC16" i="22"/>
  <c r="AD16" i="22"/>
  <c r="AE16" i="22"/>
  <c r="AC17" i="22"/>
  <c r="AD17" i="22"/>
  <c r="AE17" i="22"/>
  <c r="AC18" i="22"/>
  <c r="AD18" i="22"/>
  <c r="AE18" i="22"/>
  <c r="AC19" i="22"/>
  <c r="AD19" i="22"/>
  <c r="AE19" i="22"/>
  <c r="AC20" i="22"/>
  <c r="AD20" i="22"/>
  <c r="AE20" i="22"/>
  <c r="AC21" i="22"/>
  <c r="AD21" i="22"/>
  <c r="AE21" i="22"/>
  <c r="AC22" i="22"/>
  <c r="AD22" i="22"/>
  <c r="AE22" i="22"/>
  <c r="AC23" i="22"/>
  <c r="AD23" i="22"/>
  <c r="AE23" i="22"/>
  <c r="AC24" i="22"/>
  <c r="AD24" i="22"/>
  <c r="AE24" i="22"/>
  <c r="AC25" i="22"/>
  <c r="AD25" i="22"/>
  <c r="AE25" i="22"/>
  <c r="AC26" i="22"/>
  <c r="AD26" i="22"/>
  <c r="AE26" i="22"/>
  <c r="AC27" i="22"/>
  <c r="AD27" i="22"/>
  <c r="AE27" i="22"/>
  <c r="AC28" i="22"/>
  <c r="AD28" i="22"/>
  <c r="AE28" i="22"/>
  <c r="AC29" i="22"/>
  <c r="AD29" i="22"/>
  <c r="AE29" i="22"/>
  <c r="AC30" i="22"/>
  <c r="AD30" i="22"/>
  <c r="AE30" i="22"/>
  <c r="AC31" i="22"/>
  <c r="AD31" i="22"/>
  <c r="AE31" i="22"/>
  <c r="AC32" i="22"/>
  <c r="AD32" i="22"/>
  <c r="AE32" i="22"/>
  <c r="AC33" i="22"/>
  <c r="AD33" i="22"/>
  <c r="AE33" i="22"/>
  <c r="AC34" i="22"/>
  <c r="AD34" i="22"/>
  <c r="AE34" i="22"/>
  <c r="AC35" i="22"/>
  <c r="AD35" i="22"/>
  <c r="AE35" i="22"/>
  <c r="AC36" i="22"/>
  <c r="AD36" i="22"/>
  <c r="AE36" i="22"/>
  <c r="AC37" i="22"/>
  <c r="AD37" i="22"/>
  <c r="AE37" i="22"/>
  <c r="AC38" i="22"/>
  <c r="AD38" i="22"/>
  <c r="AE38" i="22"/>
  <c r="AC39" i="22"/>
  <c r="AD39" i="22"/>
  <c r="AE39" i="22"/>
  <c r="AC40" i="22"/>
  <c r="AD40" i="22"/>
  <c r="AE40" i="22"/>
  <c r="AC41" i="22"/>
  <c r="AD41" i="22"/>
  <c r="AE41" i="22"/>
  <c r="AC42" i="22"/>
  <c r="AD42" i="22"/>
  <c r="AE42" i="22"/>
  <c r="AC43" i="22"/>
  <c r="AD43" i="22"/>
  <c r="AE43" i="22"/>
  <c r="AC44" i="22"/>
  <c r="AD44" i="22"/>
  <c r="AE44" i="22"/>
  <c r="AC45" i="22"/>
  <c r="AD45" i="22"/>
  <c r="AE45" i="22"/>
  <c r="AC46" i="22"/>
  <c r="AD46" i="22"/>
  <c r="AE46" i="22"/>
  <c r="AC47" i="22"/>
  <c r="AD47" i="22"/>
  <c r="AE47" i="22"/>
  <c r="AC48" i="22"/>
  <c r="AD48" i="22"/>
  <c r="AE48" i="22"/>
  <c r="AC49" i="22"/>
  <c r="AD49" i="22"/>
  <c r="AE49" i="22"/>
  <c r="AC50" i="22"/>
  <c r="AD50" i="22"/>
  <c r="AE50" i="22"/>
  <c r="AC51" i="22"/>
  <c r="AD51" i="22"/>
  <c r="AE51" i="22"/>
  <c r="AC52" i="22"/>
  <c r="AD52" i="22"/>
  <c r="AE52" i="22"/>
  <c r="AC53" i="22"/>
  <c r="AD53" i="22"/>
  <c r="AE53" i="22"/>
  <c r="AC54" i="22"/>
  <c r="AD54" i="22"/>
  <c r="AE54" i="22"/>
  <c r="AC55" i="22"/>
  <c r="AD55" i="22"/>
  <c r="AE55" i="22"/>
  <c r="AC56" i="22"/>
  <c r="AD56" i="22"/>
  <c r="AE56" i="22"/>
  <c r="AC57" i="22"/>
  <c r="AD57" i="22"/>
  <c r="AE57" i="22"/>
  <c r="AC58" i="22"/>
  <c r="AD58" i="22"/>
  <c r="AE58" i="22"/>
  <c r="AC59" i="22"/>
  <c r="AD59" i="22"/>
  <c r="AE59" i="22"/>
  <c r="AC60" i="22"/>
  <c r="AD60" i="22"/>
  <c r="AE60" i="22"/>
  <c r="AC61" i="22"/>
  <c r="AD61" i="22"/>
  <c r="AE61" i="22"/>
  <c r="AC62" i="22"/>
  <c r="AD62" i="22"/>
  <c r="AE62" i="22"/>
  <c r="AC63" i="22"/>
  <c r="AD63" i="22"/>
  <c r="AE63" i="22"/>
  <c r="AC64" i="22"/>
  <c r="AD64" i="22"/>
  <c r="AE64" i="22"/>
  <c r="AC65" i="22"/>
  <c r="AD65" i="22"/>
  <c r="AE65" i="22"/>
  <c r="AC66" i="22"/>
  <c r="AD66" i="22"/>
  <c r="AE66" i="22"/>
  <c r="AC67" i="22"/>
  <c r="AD67" i="22"/>
  <c r="AE67" i="22"/>
  <c r="AC68" i="22"/>
  <c r="AD68" i="22"/>
  <c r="AE68" i="22"/>
  <c r="AC69" i="22"/>
  <c r="AD69" i="22"/>
  <c r="AE69" i="22"/>
  <c r="AC70" i="22"/>
  <c r="AD70" i="22"/>
  <c r="AE70" i="22"/>
  <c r="AC71" i="22"/>
  <c r="AD71" i="22"/>
  <c r="AE71" i="22"/>
  <c r="AC72" i="22"/>
  <c r="AD72" i="22"/>
  <c r="AE72" i="22"/>
  <c r="AC73" i="22"/>
  <c r="AD73" i="22"/>
  <c r="AE73" i="22"/>
  <c r="AC74" i="22"/>
  <c r="AD74" i="22"/>
  <c r="AE74" i="22"/>
  <c r="AC75" i="22"/>
  <c r="AD75" i="22"/>
  <c r="AE75" i="22"/>
  <c r="AC76" i="22"/>
  <c r="AD76" i="22"/>
  <c r="AE76" i="22"/>
  <c r="AC77" i="22"/>
  <c r="AD77" i="22"/>
  <c r="AE77" i="22"/>
  <c r="AC78" i="22"/>
  <c r="AD78" i="22"/>
  <c r="AE78" i="22"/>
  <c r="AC79" i="22"/>
  <c r="AD79" i="22"/>
  <c r="AE79" i="22"/>
  <c r="AC80" i="22"/>
  <c r="AD80" i="22"/>
  <c r="AE80" i="22"/>
  <c r="AC81" i="22"/>
  <c r="AD81" i="22"/>
  <c r="AE81" i="22"/>
  <c r="AC82" i="22"/>
  <c r="AD82" i="22"/>
  <c r="AE82" i="22"/>
  <c r="AC83" i="22"/>
  <c r="AD83" i="22"/>
  <c r="AE83" i="22"/>
  <c r="AC84" i="22"/>
  <c r="AD84" i="22"/>
  <c r="AE84" i="22"/>
  <c r="AC85" i="22"/>
  <c r="AD85" i="22"/>
  <c r="AE85" i="22"/>
  <c r="AC86" i="22"/>
  <c r="AD86" i="22"/>
  <c r="AE86" i="22"/>
  <c r="AC87" i="22"/>
  <c r="AD87" i="22"/>
  <c r="AE87" i="22"/>
  <c r="AC88" i="22"/>
  <c r="AD88" i="22"/>
  <c r="AE88" i="22"/>
  <c r="AC89" i="22"/>
  <c r="AD89" i="22"/>
  <c r="AE89" i="22"/>
  <c r="AC90" i="22"/>
  <c r="AD90" i="22"/>
  <c r="AE90" i="22"/>
  <c r="AC91" i="22"/>
  <c r="AD91" i="22"/>
  <c r="AE91" i="22"/>
  <c r="AC92" i="22"/>
  <c r="AD92" i="22"/>
  <c r="AE92" i="22"/>
  <c r="AC93" i="22"/>
  <c r="AD93" i="22"/>
  <c r="AE93" i="22"/>
  <c r="AC94" i="22"/>
  <c r="AD94" i="22"/>
  <c r="AE94" i="22"/>
  <c r="AC95" i="22"/>
  <c r="AD95" i="22"/>
  <c r="AE95" i="22"/>
  <c r="AC96" i="22"/>
  <c r="AD96" i="22"/>
  <c r="AE96" i="22"/>
  <c r="AC97" i="22"/>
  <c r="AD97" i="22"/>
  <c r="AE97" i="22"/>
  <c r="AC98" i="22"/>
  <c r="AD98" i="22"/>
  <c r="AE98" i="22"/>
  <c r="AC99" i="22"/>
  <c r="AD99" i="22"/>
  <c r="AE99" i="22"/>
  <c r="AC100" i="22"/>
  <c r="AD100" i="22"/>
  <c r="AE100" i="22"/>
  <c r="AC101" i="22"/>
  <c r="AD101" i="22"/>
  <c r="AE101" i="22"/>
  <c r="AC102" i="22"/>
  <c r="AD102" i="22"/>
  <c r="AE102" i="22"/>
  <c r="AC103" i="22"/>
  <c r="AD103" i="22"/>
  <c r="AE103" i="22"/>
  <c r="AC104" i="22"/>
  <c r="AD104" i="22"/>
  <c r="AE104" i="22"/>
  <c r="AC105" i="22"/>
  <c r="AD105" i="22"/>
  <c r="AE105" i="22"/>
  <c r="AC106" i="22"/>
  <c r="AD106" i="22"/>
  <c r="AE106" i="22"/>
  <c r="AC107" i="22"/>
  <c r="AD107" i="22"/>
  <c r="AE107" i="22"/>
  <c r="AC108" i="22"/>
  <c r="AD108" i="22"/>
  <c r="AE108" i="22"/>
  <c r="AC109" i="22"/>
  <c r="AD109" i="22"/>
  <c r="AE109" i="22"/>
  <c r="AC110" i="22"/>
  <c r="AD110" i="22"/>
  <c r="AE110" i="22"/>
  <c r="AC111" i="22"/>
  <c r="AD111" i="22"/>
  <c r="AE111" i="22"/>
  <c r="AC112" i="22"/>
  <c r="AD112" i="22"/>
  <c r="AE112" i="22"/>
  <c r="AC113" i="22"/>
  <c r="AD113" i="22"/>
  <c r="AE113" i="22"/>
  <c r="AC114" i="22"/>
  <c r="AD114" i="22"/>
  <c r="AE114" i="22"/>
  <c r="AC115" i="22"/>
  <c r="AD115" i="22"/>
  <c r="AE115" i="22"/>
  <c r="AC116" i="22"/>
  <c r="AD116" i="22"/>
  <c r="AE116" i="22"/>
  <c r="AC117" i="22"/>
  <c r="AD117" i="22"/>
  <c r="AE117" i="22"/>
  <c r="AC118" i="22"/>
  <c r="AD118" i="22"/>
  <c r="AE118" i="22"/>
  <c r="AC119" i="22"/>
  <c r="AD119" i="22"/>
  <c r="AE119" i="22"/>
  <c r="AC120" i="22"/>
  <c r="AD120" i="22"/>
  <c r="AE120" i="22"/>
  <c r="AC121" i="22"/>
  <c r="AD121" i="22"/>
  <c r="AE121" i="22"/>
  <c r="AC122" i="22"/>
  <c r="AD122" i="22"/>
  <c r="AE122" i="22"/>
  <c r="AC123" i="22"/>
  <c r="AD123" i="22"/>
  <c r="AE123" i="22"/>
  <c r="AC124" i="22"/>
  <c r="AD124" i="22"/>
  <c r="AE124" i="22"/>
  <c r="AC125" i="22"/>
  <c r="AD125" i="22"/>
  <c r="AE125" i="22"/>
  <c r="AC126" i="22"/>
  <c r="AD126" i="22"/>
  <c r="AE126" i="22"/>
  <c r="AC127" i="22"/>
  <c r="AD127" i="22"/>
  <c r="AE127" i="22"/>
  <c r="AC128" i="22"/>
  <c r="AD128" i="22"/>
  <c r="AE128" i="22"/>
  <c r="AC129" i="22"/>
  <c r="AD129" i="22"/>
  <c r="AE129" i="22"/>
  <c r="AC130" i="22"/>
  <c r="AD130" i="22"/>
  <c r="AE130" i="22"/>
  <c r="AC131" i="22"/>
  <c r="AD131" i="22"/>
  <c r="AE131" i="22"/>
  <c r="AC132" i="22"/>
  <c r="AD132" i="22"/>
  <c r="AE132" i="22"/>
  <c r="AC133" i="22"/>
  <c r="AD133" i="22"/>
  <c r="AE133" i="22"/>
  <c r="AC134" i="22"/>
  <c r="AD134" i="22"/>
  <c r="AE134" i="22"/>
  <c r="AC135" i="22"/>
  <c r="AD135" i="22"/>
  <c r="AE135" i="22"/>
  <c r="AC136" i="22"/>
  <c r="AD136" i="22"/>
  <c r="AE136" i="22"/>
  <c r="AC137" i="22"/>
  <c r="AD137" i="22"/>
  <c r="AE137" i="22"/>
  <c r="AC138" i="22"/>
  <c r="AD138" i="22"/>
  <c r="AE138" i="22"/>
  <c r="AC139" i="22"/>
  <c r="AD139" i="22"/>
  <c r="AE139" i="22"/>
  <c r="AC140" i="22"/>
  <c r="AD140" i="22"/>
  <c r="AE140" i="22"/>
  <c r="AC141" i="22"/>
  <c r="AD141" i="22"/>
  <c r="AE141" i="22"/>
  <c r="AC142" i="22"/>
  <c r="AD142" i="22"/>
  <c r="AE142" i="22"/>
  <c r="AC143" i="22"/>
  <c r="AD143" i="22"/>
  <c r="AE143" i="22"/>
  <c r="AC144" i="22"/>
  <c r="AD144" i="22"/>
  <c r="AE144" i="22"/>
  <c r="AC145" i="22"/>
  <c r="AD145" i="22"/>
  <c r="AE145" i="22"/>
  <c r="AC146" i="22"/>
  <c r="AD146" i="22"/>
  <c r="AE146" i="22"/>
  <c r="AC147" i="22"/>
  <c r="AD147" i="22"/>
  <c r="AE147" i="22"/>
  <c r="AC148" i="22"/>
  <c r="AD148" i="22"/>
  <c r="AE148" i="22"/>
  <c r="AC149" i="22"/>
  <c r="AD149" i="22"/>
  <c r="AE149" i="22"/>
  <c r="AC150" i="22"/>
  <c r="AD150" i="22"/>
  <c r="AE150" i="22"/>
  <c r="AC151" i="22"/>
  <c r="AD151" i="22"/>
  <c r="AE151" i="22"/>
  <c r="AC152" i="22"/>
  <c r="AD152" i="22"/>
  <c r="AE152" i="22"/>
  <c r="AC153" i="22"/>
  <c r="AD153" i="22"/>
  <c r="AE153" i="22"/>
  <c r="AC154" i="22"/>
  <c r="AD154" i="22"/>
  <c r="AE154" i="22"/>
  <c r="AC155" i="22"/>
  <c r="AD155" i="22"/>
  <c r="AE155" i="22"/>
  <c r="AC156" i="22"/>
  <c r="AD156" i="22"/>
  <c r="AE156" i="22"/>
  <c r="AC157" i="22"/>
  <c r="AD157" i="22"/>
  <c r="AE157" i="22"/>
  <c r="AC158" i="22"/>
  <c r="AD158" i="22"/>
  <c r="AE158" i="22"/>
  <c r="AC159" i="22"/>
  <c r="AD159" i="22"/>
  <c r="AE159" i="22"/>
  <c r="AC160" i="22"/>
  <c r="AD160" i="22"/>
  <c r="AE160" i="22"/>
  <c r="AC161" i="22"/>
  <c r="AD161" i="22"/>
  <c r="AE161" i="22"/>
  <c r="AC162" i="22"/>
  <c r="AD162" i="22"/>
  <c r="AE162" i="22"/>
  <c r="AC163" i="22"/>
  <c r="AD163" i="22"/>
  <c r="AE163" i="22"/>
  <c r="AC164" i="22"/>
  <c r="AD164" i="22"/>
  <c r="AE164" i="22"/>
  <c r="AC165" i="22"/>
  <c r="AD165" i="22"/>
  <c r="AE165" i="22"/>
  <c r="AC166" i="22"/>
  <c r="AD166" i="22"/>
  <c r="AE166" i="22"/>
  <c r="AC167" i="22"/>
  <c r="AD167" i="22"/>
  <c r="AE167" i="22"/>
  <c r="AC168" i="22"/>
  <c r="AD168" i="22"/>
  <c r="AE168" i="22"/>
  <c r="AC169" i="22"/>
  <c r="AD169" i="22"/>
  <c r="AE169" i="22"/>
  <c r="AC170" i="22"/>
  <c r="AD170" i="22"/>
  <c r="AE170" i="22"/>
  <c r="AC171" i="22"/>
  <c r="AD171" i="22"/>
  <c r="AE171" i="22"/>
  <c r="AC172" i="22"/>
  <c r="AD172" i="22"/>
  <c r="AE172" i="22"/>
  <c r="AC173" i="22"/>
  <c r="AD173" i="22"/>
  <c r="AE173" i="22"/>
  <c r="AC174" i="22"/>
  <c r="AD174" i="22"/>
  <c r="AE174" i="22"/>
  <c r="AC175" i="22"/>
  <c r="AD175" i="22"/>
  <c r="AE175" i="22"/>
  <c r="AC176" i="22"/>
  <c r="AD176" i="22"/>
  <c r="AE176" i="22"/>
  <c r="AC177" i="22"/>
  <c r="AD177" i="22"/>
  <c r="AE177" i="22"/>
  <c r="AC178" i="22"/>
  <c r="AD178" i="22"/>
  <c r="AE178" i="22"/>
  <c r="AC179" i="22"/>
  <c r="AD179" i="22"/>
  <c r="AE179" i="22"/>
  <c r="AC180" i="22"/>
  <c r="AD180" i="22"/>
  <c r="AE180" i="22"/>
  <c r="AC181" i="22"/>
  <c r="AD181" i="22"/>
  <c r="AE181" i="22"/>
  <c r="AC182" i="22"/>
  <c r="AD182" i="22"/>
  <c r="AE182" i="22"/>
  <c r="AC183" i="22"/>
  <c r="AD183" i="22"/>
  <c r="AE183" i="22"/>
  <c r="AC184" i="22"/>
  <c r="AD184" i="22"/>
  <c r="AE184" i="22"/>
  <c r="AC185" i="22"/>
  <c r="AD185" i="22"/>
  <c r="AE185" i="22"/>
  <c r="AC186" i="22"/>
  <c r="AD186" i="22"/>
  <c r="AE186" i="22"/>
  <c r="AC187" i="22"/>
  <c r="AD187" i="22"/>
  <c r="AE187" i="22"/>
  <c r="AC188" i="22"/>
  <c r="AD188" i="22"/>
  <c r="AE188" i="22"/>
  <c r="AC189" i="22"/>
  <c r="AD189" i="22"/>
  <c r="AE189" i="22"/>
  <c r="AC190" i="22"/>
  <c r="AD190" i="22"/>
  <c r="AE190" i="22"/>
  <c r="AC191" i="22"/>
  <c r="AD191" i="22"/>
  <c r="AE191" i="22"/>
  <c r="AC192" i="22"/>
  <c r="AD192" i="22"/>
  <c r="AE192" i="22"/>
  <c r="AC193" i="22"/>
  <c r="AD193" i="22"/>
  <c r="AE193" i="22"/>
  <c r="AC194" i="22"/>
  <c r="AD194" i="22"/>
  <c r="AE194" i="22"/>
  <c r="AC195" i="22"/>
  <c r="AD195" i="22"/>
  <c r="AE195" i="22"/>
  <c r="AC196" i="22"/>
  <c r="AD196" i="22"/>
  <c r="AE196" i="22"/>
  <c r="AC197" i="22"/>
  <c r="AD197" i="22"/>
  <c r="AE197" i="22"/>
  <c r="AC198" i="22"/>
  <c r="AD198" i="22"/>
  <c r="AE198" i="22"/>
  <c r="AC199" i="22"/>
  <c r="AD199" i="22"/>
  <c r="AE199" i="22"/>
  <c r="AC200" i="22"/>
  <c r="AD200" i="22"/>
  <c r="AE200" i="22"/>
  <c r="AC201" i="22"/>
  <c r="AD201" i="22"/>
  <c r="AE201" i="22"/>
  <c r="AC202" i="22"/>
  <c r="AD202" i="22"/>
  <c r="AE202" i="22"/>
  <c r="AC203" i="22"/>
  <c r="AD203" i="22"/>
  <c r="AE203" i="22"/>
  <c r="AC204" i="22"/>
  <c r="AD204" i="22"/>
  <c r="AE204" i="22"/>
  <c r="AC205" i="22"/>
  <c r="AD205" i="22"/>
  <c r="AE205" i="22"/>
  <c r="AC206" i="22"/>
  <c r="AD206" i="22"/>
  <c r="AE206" i="22"/>
  <c r="AC207" i="22"/>
  <c r="AD207" i="22"/>
  <c r="AE207" i="22"/>
  <c r="AC208" i="22"/>
  <c r="AD208" i="22"/>
  <c r="AE208" i="22"/>
  <c r="AC209" i="22"/>
  <c r="AD209" i="22"/>
  <c r="AE209" i="22"/>
  <c r="AC210" i="22"/>
  <c r="AD210" i="22"/>
  <c r="AE210" i="22"/>
  <c r="AC211" i="22"/>
  <c r="AD211" i="22"/>
  <c r="AE211" i="22"/>
  <c r="AC212" i="22"/>
  <c r="AD212" i="22"/>
  <c r="AE212" i="22"/>
  <c r="AC213" i="22"/>
  <c r="AD213" i="22"/>
  <c r="AE213" i="22"/>
  <c r="AC214" i="22"/>
  <c r="AD214" i="22"/>
  <c r="AE214" i="22"/>
  <c r="AC215" i="22"/>
  <c r="AD215" i="22"/>
  <c r="AE215" i="22"/>
  <c r="AC216" i="22"/>
  <c r="AD216" i="22"/>
  <c r="AE216" i="22"/>
  <c r="AC217" i="22"/>
  <c r="AD217" i="22"/>
  <c r="AE217" i="22"/>
  <c r="AC218" i="22"/>
  <c r="AD218" i="22"/>
  <c r="AE218" i="22"/>
  <c r="AC219" i="22"/>
  <c r="AD219" i="22"/>
  <c r="AE219" i="22"/>
  <c r="AC220" i="22"/>
  <c r="AD220" i="22"/>
  <c r="AE220" i="22"/>
  <c r="AC221" i="22"/>
  <c r="AD221" i="22"/>
  <c r="AE221" i="22"/>
  <c r="AC222" i="22"/>
  <c r="AD222" i="22"/>
  <c r="AE222" i="22"/>
  <c r="AC223" i="22"/>
  <c r="AD223" i="22"/>
  <c r="AE223" i="22"/>
  <c r="AC224" i="22"/>
  <c r="AD224" i="22"/>
  <c r="AE224" i="22"/>
  <c r="AC225" i="22"/>
  <c r="AD225" i="22"/>
  <c r="AE225" i="22"/>
  <c r="AC226" i="22"/>
  <c r="AD226" i="22"/>
  <c r="AE226" i="22"/>
  <c r="AC227" i="22"/>
  <c r="AD227" i="22"/>
  <c r="AE227" i="22"/>
  <c r="AC228" i="22"/>
  <c r="AD228" i="22"/>
  <c r="AE228" i="22"/>
  <c r="AC229" i="22"/>
  <c r="AD229" i="22"/>
  <c r="AE229" i="22"/>
  <c r="AC230" i="22"/>
  <c r="AD230" i="22"/>
  <c r="AE230" i="22"/>
  <c r="AC231" i="22"/>
  <c r="AD231" i="22"/>
  <c r="AE231" i="22"/>
  <c r="AC232" i="22"/>
  <c r="AD232" i="22"/>
  <c r="AE232" i="22"/>
  <c r="AC233" i="22"/>
  <c r="AD233" i="22"/>
  <c r="AE233" i="22"/>
  <c r="AC234" i="22"/>
  <c r="AD234" i="22"/>
  <c r="AE234" i="22"/>
  <c r="AC235" i="22"/>
  <c r="AD235" i="22"/>
  <c r="AE235" i="22"/>
  <c r="AC236" i="22"/>
  <c r="AD236" i="22"/>
  <c r="AE236" i="22"/>
  <c r="AC237" i="22"/>
  <c r="AD237" i="22"/>
  <c r="AE237" i="22"/>
  <c r="AC238" i="22"/>
  <c r="AD238" i="22"/>
  <c r="AE238" i="22"/>
  <c r="AC239" i="22"/>
  <c r="AD239" i="22"/>
  <c r="AE239" i="22"/>
  <c r="AC240" i="22"/>
  <c r="AD240" i="22"/>
  <c r="AE240" i="22"/>
  <c r="AC241" i="22"/>
  <c r="AD241" i="22"/>
  <c r="AE241" i="22"/>
  <c r="AC242" i="22"/>
  <c r="AD242" i="22"/>
  <c r="AE242" i="22"/>
  <c r="AC243" i="22"/>
  <c r="AD243" i="22"/>
  <c r="AE243" i="22"/>
  <c r="AC244" i="22"/>
  <c r="AD244" i="22"/>
  <c r="AE244" i="22"/>
  <c r="AC245" i="22"/>
  <c r="AD245" i="22"/>
  <c r="AE245" i="22"/>
  <c r="AC246" i="22"/>
  <c r="AD246" i="22"/>
  <c r="AE246" i="22"/>
  <c r="AC247" i="22"/>
  <c r="AD247" i="22"/>
  <c r="AE247" i="22"/>
  <c r="AC248" i="22"/>
  <c r="AD248" i="22"/>
  <c r="AE248" i="22"/>
  <c r="AC249" i="22"/>
  <c r="AD249" i="22"/>
  <c r="AE249" i="22"/>
  <c r="AC250" i="22"/>
  <c r="AD250" i="22"/>
  <c r="AE250" i="22"/>
  <c r="AC251" i="22"/>
  <c r="AD251" i="22"/>
  <c r="AE251" i="22"/>
  <c r="AC252" i="22"/>
  <c r="AD252" i="22"/>
  <c r="AE252" i="22"/>
  <c r="AC253" i="22"/>
  <c r="AD253" i="22"/>
  <c r="AE253" i="22"/>
  <c r="AC254" i="22"/>
  <c r="AD254" i="22"/>
  <c r="AE254" i="22"/>
  <c r="AC255" i="22"/>
  <c r="AD255" i="22"/>
  <c r="AE255" i="22"/>
  <c r="AC256" i="22"/>
  <c r="AD256" i="22"/>
  <c r="AE256" i="22"/>
  <c r="AF257" i="20"/>
  <c r="AG257" i="20"/>
  <c r="AH257" i="20"/>
  <c r="AF273" i="20"/>
  <c r="AG273" i="20"/>
  <c r="AH273" i="20"/>
  <c r="AF289" i="20"/>
  <c r="AG289" i="20"/>
  <c r="AH289" i="20"/>
  <c r="AF305" i="20"/>
  <c r="AG305" i="20"/>
  <c r="AH305" i="20"/>
  <c r="AF321" i="20"/>
  <c r="AG321" i="20"/>
  <c r="AH321" i="20"/>
  <c r="AF337" i="20"/>
  <c r="AG337" i="20"/>
  <c r="AH337" i="20"/>
  <c r="AF353" i="20"/>
  <c r="AG353" i="20"/>
  <c r="AH353" i="20"/>
  <c r="AF369" i="20"/>
  <c r="AG369" i="20"/>
  <c r="AH369" i="20"/>
  <c r="AF385" i="20"/>
  <c r="AG385" i="20"/>
  <c r="AH385" i="20"/>
  <c r="AF401" i="20"/>
  <c r="AG401" i="20"/>
  <c r="AH401" i="20"/>
  <c r="AF417" i="20"/>
  <c r="AG417" i="20"/>
  <c r="AH417" i="20"/>
  <c r="AF433" i="20"/>
  <c r="AG433" i="20"/>
  <c r="AH433" i="20"/>
  <c r="AF449" i="20"/>
  <c r="AG449" i="20"/>
  <c r="AH449" i="20"/>
  <c r="AF465" i="20"/>
  <c r="AG465" i="20"/>
  <c r="AH465" i="20"/>
  <c r="AF481" i="20"/>
  <c r="AG481" i="20"/>
  <c r="AH481" i="20"/>
  <c r="AF497" i="20"/>
  <c r="AG497" i="20"/>
  <c r="AH497" i="20"/>
  <c r="AF513" i="20"/>
  <c r="AG513" i="20"/>
  <c r="AH513" i="20"/>
  <c r="AF529" i="20"/>
  <c r="AG529" i="20"/>
  <c r="AH529" i="20"/>
  <c r="AF545" i="20"/>
  <c r="AG545" i="20"/>
  <c r="AH545" i="20"/>
  <c r="AF561" i="20"/>
  <c r="AG561" i="20"/>
  <c r="AH561" i="20"/>
  <c r="AF577" i="20"/>
  <c r="AG577" i="20"/>
  <c r="AH577" i="20"/>
  <c r="AF593" i="20"/>
  <c r="AG593" i="20"/>
  <c r="AH593" i="20"/>
  <c r="AF609" i="20"/>
  <c r="AG609" i="20"/>
  <c r="AH609" i="20"/>
  <c r="AF625" i="20"/>
  <c r="AG625" i="20"/>
  <c r="AH625" i="20"/>
  <c r="AF641" i="20"/>
  <c r="AG641" i="20"/>
  <c r="AH641" i="20"/>
  <c r="AF657" i="20"/>
  <c r="AG657" i="20"/>
  <c r="AH657" i="20"/>
  <c r="AF673" i="20"/>
  <c r="AG673" i="20"/>
  <c r="AH673" i="20"/>
  <c r="AF689" i="20"/>
  <c r="AG689" i="20"/>
  <c r="AH689" i="20"/>
  <c r="AF705" i="20"/>
  <c r="AG705" i="20"/>
  <c r="AH705" i="20"/>
  <c r="AF721" i="20"/>
  <c r="AG721" i="20"/>
  <c r="AH721" i="20"/>
  <c r="AF737" i="20"/>
  <c r="AG737" i="20"/>
  <c r="AH737" i="20"/>
  <c r="AF753" i="20"/>
  <c r="AG753" i="20"/>
  <c r="AH753" i="20"/>
  <c r="Y768" i="20"/>
  <c r="Y767" i="20"/>
  <c r="Y766" i="20"/>
  <c r="Y765" i="20"/>
  <c r="Y764" i="20"/>
  <c r="Y763" i="20"/>
  <c r="Y762" i="20"/>
  <c r="Y761" i="20"/>
  <c r="Y760" i="20"/>
  <c r="Y759" i="20"/>
  <c r="Y758" i="20"/>
  <c r="Y757" i="20"/>
  <c r="Y756" i="20"/>
  <c r="Y755" i="20"/>
  <c r="Y754" i="20"/>
  <c r="Y752" i="20"/>
  <c r="Y751" i="20"/>
  <c r="Y750" i="20"/>
  <c r="Y749" i="20"/>
  <c r="Y748" i="20"/>
  <c r="Y747" i="20"/>
  <c r="Y746" i="20"/>
  <c r="Y745" i="20"/>
  <c r="Y744" i="20"/>
  <c r="Y743" i="20"/>
  <c r="Y742" i="20"/>
  <c r="Y741" i="20"/>
  <c r="Y740" i="20"/>
  <c r="Y739" i="20"/>
  <c r="Y738" i="20"/>
  <c r="Y736" i="20"/>
  <c r="Y735" i="20"/>
  <c r="Y734" i="20"/>
  <c r="Y733" i="20"/>
  <c r="Y732" i="20"/>
  <c r="Y731" i="20"/>
  <c r="Y730" i="20"/>
  <c r="Y729" i="20"/>
  <c r="Y728" i="20"/>
  <c r="Y727" i="20"/>
  <c r="Y726" i="20"/>
  <c r="Y725" i="20"/>
  <c r="Y724" i="20"/>
  <c r="Y723" i="20"/>
  <c r="Y722" i="20"/>
  <c r="Y720" i="20"/>
  <c r="Y719" i="20"/>
  <c r="Y718" i="20"/>
  <c r="Y717" i="20"/>
  <c r="Y716" i="20"/>
  <c r="Y715" i="20"/>
  <c r="Y714" i="20"/>
  <c r="Y713" i="20"/>
  <c r="Y712" i="20"/>
  <c r="Y711" i="20"/>
  <c r="Y710" i="20"/>
  <c r="Y709" i="20"/>
  <c r="Y708" i="20"/>
  <c r="Y707" i="20"/>
  <c r="Y706" i="20"/>
  <c r="Y704" i="20"/>
  <c r="Y703" i="20"/>
  <c r="Y702" i="20"/>
  <c r="Y701" i="20"/>
  <c r="Y700" i="20"/>
  <c r="Y699" i="20"/>
  <c r="Y698" i="20"/>
  <c r="Y697" i="20"/>
  <c r="Y696" i="20"/>
  <c r="Y695" i="20"/>
  <c r="Y694" i="20"/>
  <c r="Y693" i="20"/>
  <c r="Y692" i="20"/>
  <c r="Y691" i="20"/>
  <c r="Y690" i="20"/>
  <c r="Y688" i="20"/>
  <c r="Y687" i="20"/>
  <c r="Y686" i="20"/>
  <c r="Y685" i="20"/>
  <c r="Y684" i="20"/>
  <c r="Y683" i="20"/>
  <c r="Y682" i="20"/>
  <c r="Y681" i="20"/>
  <c r="Y680" i="20"/>
  <c r="Y679" i="20"/>
  <c r="Y678" i="20"/>
  <c r="Y677" i="20"/>
  <c r="Y676" i="20"/>
  <c r="Y675" i="20"/>
  <c r="Y674" i="20"/>
  <c r="Y672" i="20"/>
  <c r="Y671" i="20"/>
  <c r="Y670" i="20"/>
  <c r="Y669" i="20"/>
  <c r="Y668" i="20"/>
  <c r="Y667" i="20"/>
  <c r="Y666" i="20"/>
  <c r="Y665" i="20"/>
  <c r="Y664" i="20"/>
  <c r="Y663" i="20"/>
  <c r="Y662" i="20"/>
  <c r="Y661" i="20"/>
  <c r="Y660" i="20"/>
  <c r="Y659" i="20"/>
  <c r="Y658" i="20"/>
  <c r="Y656" i="20"/>
  <c r="Y655" i="20"/>
  <c r="Y654" i="20"/>
  <c r="Y653" i="20"/>
  <c r="Y652" i="20"/>
  <c r="Y651" i="20"/>
  <c r="Y650" i="20"/>
  <c r="Y649" i="20"/>
  <c r="Y648" i="20"/>
  <c r="Y647" i="20"/>
  <c r="Y646" i="20"/>
  <c r="Y645" i="20"/>
  <c r="Y644" i="20"/>
  <c r="Y643" i="20"/>
  <c r="Y642" i="20"/>
  <c r="Y640" i="20"/>
  <c r="Y639" i="20"/>
  <c r="Y638" i="20"/>
  <c r="Y637" i="20"/>
  <c r="Y636" i="20"/>
  <c r="Y635" i="20"/>
  <c r="Y634" i="20"/>
  <c r="Y633" i="20"/>
  <c r="Y632" i="20"/>
  <c r="Y631" i="20"/>
  <c r="Y630" i="20"/>
  <c r="Y629" i="20"/>
  <c r="Y628" i="20"/>
  <c r="Y627" i="20"/>
  <c r="Y626" i="20"/>
  <c r="Y624" i="20"/>
  <c r="Y623" i="20"/>
  <c r="Y622" i="20"/>
  <c r="Y621" i="20"/>
  <c r="Y620" i="20"/>
  <c r="Y619" i="20"/>
  <c r="Y618" i="20"/>
  <c r="Y617" i="20"/>
  <c r="Y616" i="20"/>
  <c r="Y615" i="20"/>
  <c r="Y614" i="20"/>
  <c r="Y613" i="20"/>
  <c r="Y612" i="20"/>
  <c r="Y611" i="20"/>
  <c r="Y610" i="20"/>
  <c r="Y608" i="20"/>
  <c r="Y607" i="20"/>
  <c r="Y606" i="20"/>
  <c r="Y605" i="20"/>
  <c r="Y604" i="20"/>
  <c r="Y603" i="20"/>
  <c r="Y602" i="20"/>
  <c r="Y601" i="20"/>
  <c r="Y600" i="20"/>
  <c r="Y599" i="20"/>
  <c r="Y598" i="20"/>
  <c r="Y597" i="20"/>
  <c r="Y596" i="20"/>
  <c r="Y595" i="20"/>
  <c r="Y594" i="20"/>
  <c r="Y592" i="20"/>
  <c r="Y591" i="20"/>
  <c r="Y590" i="20"/>
  <c r="Y589" i="20"/>
  <c r="Y588" i="20"/>
  <c r="Y587" i="20"/>
  <c r="Y586" i="20"/>
  <c r="Y585" i="20"/>
  <c r="Y584" i="20"/>
  <c r="Y583" i="20"/>
  <c r="Y582" i="20"/>
  <c r="Y581" i="20"/>
  <c r="Y580" i="20"/>
  <c r="Y579" i="20"/>
  <c r="Y578" i="20"/>
  <c r="Y576" i="20"/>
  <c r="Y575" i="20"/>
  <c r="Y574" i="20"/>
  <c r="Y573" i="20"/>
  <c r="Y572" i="20"/>
  <c r="Y571" i="20"/>
  <c r="Y570" i="20"/>
  <c r="Y569" i="20"/>
  <c r="Y568" i="20"/>
  <c r="Y567" i="20"/>
  <c r="Y566" i="20"/>
  <c r="Y565" i="20"/>
  <c r="Y564" i="20"/>
  <c r="Y563" i="20"/>
  <c r="Y562" i="20"/>
  <c r="Y560" i="20"/>
  <c r="Y559" i="20"/>
  <c r="Y558" i="20"/>
  <c r="Y557" i="20"/>
  <c r="Y556" i="20"/>
  <c r="Y555" i="20"/>
  <c r="Y554" i="20"/>
  <c r="Y553" i="20"/>
  <c r="Y552" i="20"/>
  <c r="Y551" i="20"/>
  <c r="Y550" i="20"/>
  <c r="Y549" i="20"/>
  <c r="Y548" i="20"/>
  <c r="Y547" i="20"/>
  <c r="Y546" i="20"/>
  <c r="Y544" i="20"/>
  <c r="Y543" i="20"/>
  <c r="Y542" i="20"/>
  <c r="Y541" i="20"/>
  <c r="Y540" i="20"/>
  <c r="Y539" i="20"/>
  <c r="Y538" i="20"/>
  <c r="Y537" i="20"/>
  <c r="Y536" i="20"/>
  <c r="Y535" i="20"/>
  <c r="Y534" i="20"/>
  <c r="Y533" i="20"/>
  <c r="Y532" i="20"/>
  <c r="Y531" i="20"/>
  <c r="Y530" i="20"/>
  <c r="Y528" i="20"/>
  <c r="Y527" i="20"/>
  <c r="Y526" i="20"/>
  <c r="Y525" i="20"/>
  <c r="Y524" i="20"/>
  <c r="Y523" i="20"/>
  <c r="Y522" i="20"/>
  <c r="Y521" i="20"/>
  <c r="Y520" i="20"/>
  <c r="Y519" i="20"/>
  <c r="Y518" i="20"/>
  <c r="Y517" i="20"/>
  <c r="Y516" i="20"/>
  <c r="Y515" i="20"/>
  <c r="Y514" i="20"/>
  <c r="Y512" i="20"/>
  <c r="Y511" i="20"/>
  <c r="Y510" i="20"/>
  <c r="Y509" i="20"/>
  <c r="Y508" i="20"/>
  <c r="Y507" i="20"/>
  <c r="Y506" i="20"/>
  <c r="Y505" i="20"/>
  <c r="Y504" i="20"/>
  <c r="Y503" i="20"/>
  <c r="Y502" i="20"/>
  <c r="Y501" i="20"/>
  <c r="Y500" i="20"/>
  <c r="Y499" i="20"/>
  <c r="Y498" i="20"/>
  <c r="Y496" i="20"/>
  <c r="Y495" i="20"/>
  <c r="Y494" i="20"/>
  <c r="Y493" i="20"/>
  <c r="Y492" i="20"/>
  <c r="Y491" i="20"/>
  <c r="Y490" i="20"/>
  <c r="Y489" i="20"/>
  <c r="Y488" i="20"/>
  <c r="Y487" i="20"/>
  <c r="Y486" i="20"/>
  <c r="Y485" i="20"/>
  <c r="Y484" i="20"/>
  <c r="Y483" i="20"/>
  <c r="Y482" i="20"/>
  <c r="Y480" i="20"/>
  <c r="Y479" i="20"/>
  <c r="Y478" i="20"/>
  <c r="Y477" i="20"/>
  <c r="Y476" i="20"/>
  <c r="Y475" i="20"/>
  <c r="Y474" i="20"/>
  <c r="Y473" i="20"/>
  <c r="Y472" i="20"/>
  <c r="Y471" i="20"/>
  <c r="Y470" i="20"/>
  <c r="Y469" i="20"/>
  <c r="Y468" i="20"/>
  <c r="Y467" i="20"/>
  <c r="Y466" i="20"/>
  <c r="Y464" i="20"/>
  <c r="Y463" i="20"/>
  <c r="Y462" i="20"/>
  <c r="Y461" i="20"/>
  <c r="Y460" i="20"/>
  <c r="Y459" i="20"/>
  <c r="Y458" i="20"/>
  <c r="Y457" i="20"/>
  <c r="Y456" i="20"/>
  <c r="Y455" i="20"/>
  <c r="Y454" i="20"/>
  <c r="Y453" i="20"/>
  <c r="Y452" i="20"/>
  <c r="Y451" i="20"/>
  <c r="Y450" i="20"/>
  <c r="Y448" i="20"/>
  <c r="Y447" i="20"/>
  <c r="Y446" i="20"/>
  <c r="Y445" i="20"/>
  <c r="Y444" i="20"/>
  <c r="Y443" i="20"/>
  <c r="Y442" i="20"/>
  <c r="Y441" i="20"/>
  <c r="Y440" i="20"/>
  <c r="Y439" i="20"/>
  <c r="Y438" i="20"/>
  <c r="Y437" i="20"/>
  <c r="Y436" i="20"/>
  <c r="Y435" i="20"/>
  <c r="Y434" i="20"/>
  <c r="Y432" i="20"/>
  <c r="Y431" i="20"/>
  <c r="Y430" i="20"/>
  <c r="Y429" i="20"/>
  <c r="Y428" i="20"/>
  <c r="Y427" i="20"/>
  <c r="Y426" i="20"/>
  <c r="Y425" i="20"/>
  <c r="Y424" i="20"/>
  <c r="Y423" i="20"/>
  <c r="Y422" i="20"/>
  <c r="Y421" i="20"/>
  <c r="Y420" i="20"/>
  <c r="Y419" i="20"/>
  <c r="Y418" i="20"/>
  <c r="Y416" i="20"/>
  <c r="Y415" i="20"/>
  <c r="Y414" i="20"/>
  <c r="Y413" i="20"/>
  <c r="Y412" i="20"/>
  <c r="Y411" i="20"/>
  <c r="Y410" i="20"/>
  <c r="Y409" i="20"/>
  <c r="Y408" i="20"/>
  <c r="Y407" i="20"/>
  <c r="Y406" i="20"/>
  <c r="Y405" i="20"/>
  <c r="Y404" i="20"/>
  <c r="Y403" i="20"/>
  <c r="Y402" i="20"/>
  <c r="Y400" i="20"/>
  <c r="Y399" i="20"/>
  <c r="Y398" i="20"/>
  <c r="Y397" i="20"/>
  <c r="Y396" i="20"/>
  <c r="Y395" i="20"/>
  <c r="Y394" i="20"/>
  <c r="Y393" i="20"/>
  <c r="Y392" i="20"/>
  <c r="Y391" i="20"/>
  <c r="Y390" i="20"/>
  <c r="Y389" i="20"/>
  <c r="Y388" i="20"/>
  <c r="Y387" i="20"/>
  <c r="Y386" i="20"/>
  <c r="Y384" i="20"/>
  <c r="Y383" i="20"/>
  <c r="Y382" i="20"/>
  <c r="Y381" i="20"/>
  <c r="Y380" i="20"/>
  <c r="Y379" i="20"/>
  <c r="Y378" i="20"/>
  <c r="Y377" i="20"/>
  <c r="Y376" i="20"/>
  <c r="Y375" i="20"/>
  <c r="Y374" i="20"/>
  <c r="Y373" i="20"/>
  <c r="Y372" i="20"/>
  <c r="Y371" i="20"/>
  <c r="Y370" i="20"/>
  <c r="Y368" i="20"/>
  <c r="Y367" i="20"/>
  <c r="Y366" i="20"/>
  <c r="Y365" i="20"/>
  <c r="Y364" i="20"/>
  <c r="Y363" i="20"/>
  <c r="Y362" i="20"/>
  <c r="Y361" i="20"/>
  <c r="Y360" i="20"/>
  <c r="Y359" i="20"/>
  <c r="Y358" i="20"/>
  <c r="Y357" i="20"/>
  <c r="Y356" i="20"/>
  <c r="Y355" i="20"/>
  <c r="Y354" i="20"/>
  <c r="Y352" i="20"/>
  <c r="Y351" i="20"/>
  <c r="Y350" i="20"/>
  <c r="Y349" i="20"/>
  <c r="Y348" i="20"/>
  <c r="Y347" i="20"/>
  <c r="Y346" i="20"/>
  <c r="Y345" i="20"/>
  <c r="Y344" i="20"/>
  <c r="Y343" i="20"/>
  <c r="Y342" i="20"/>
  <c r="Y341" i="20"/>
  <c r="Y340" i="20"/>
  <c r="Y339" i="20"/>
  <c r="Y338" i="20"/>
  <c r="Y336" i="20"/>
  <c r="Y335" i="20"/>
  <c r="Y334" i="20"/>
  <c r="Y333" i="20"/>
  <c r="Y332" i="20"/>
  <c r="Y331" i="20"/>
  <c r="Y330" i="20"/>
  <c r="Y329" i="20"/>
  <c r="Y328" i="20"/>
  <c r="Y327" i="20"/>
  <c r="Y326" i="20"/>
  <c r="Y325" i="20"/>
  <c r="Y324" i="20"/>
  <c r="Y323" i="20"/>
  <c r="Y322" i="20"/>
  <c r="Y320" i="20"/>
  <c r="Y319" i="20"/>
  <c r="Y318" i="20"/>
  <c r="Y317" i="20"/>
  <c r="Y316" i="20"/>
  <c r="Y315" i="20"/>
  <c r="Y314" i="20"/>
  <c r="Y313" i="20"/>
  <c r="Y312" i="20"/>
  <c r="Y311" i="20"/>
  <c r="Y310" i="20"/>
  <c r="Y309" i="20"/>
  <c r="Y308" i="20"/>
  <c r="Y307" i="20"/>
  <c r="Y306" i="20"/>
  <c r="Y304" i="20"/>
  <c r="Y303" i="20"/>
  <c r="Y302" i="20"/>
  <c r="Y301" i="20"/>
  <c r="Y300" i="20"/>
  <c r="Y299" i="20"/>
  <c r="Y298" i="20"/>
  <c r="Y297" i="20"/>
  <c r="Y296" i="20"/>
  <c r="Y295" i="20"/>
  <c r="Y294" i="20"/>
  <c r="Y293" i="20"/>
  <c r="Y292" i="20"/>
  <c r="Y291" i="20"/>
  <c r="Y290" i="20"/>
  <c r="Y288" i="20"/>
  <c r="Y287" i="20"/>
  <c r="Y286" i="20"/>
  <c r="Y285" i="20"/>
  <c r="Y284" i="20"/>
  <c r="Y283" i="20"/>
  <c r="Y282" i="20"/>
  <c r="Y281" i="20"/>
  <c r="Y280" i="20"/>
  <c r="Y279" i="20"/>
  <c r="Y278" i="20"/>
  <c r="Y277" i="20"/>
  <c r="Y276" i="20"/>
  <c r="Y275" i="20"/>
  <c r="Y274" i="20"/>
  <c r="Y272" i="20"/>
  <c r="Y271" i="20"/>
  <c r="Y270" i="20"/>
  <c r="Y269" i="20"/>
  <c r="Y268" i="20"/>
  <c r="Y267" i="20"/>
  <c r="Y266" i="20"/>
  <c r="Y265" i="20"/>
  <c r="Y264" i="20"/>
  <c r="Y263" i="20"/>
  <c r="Y262" i="20"/>
  <c r="Y261" i="20"/>
  <c r="Y260" i="20"/>
  <c r="Y259" i="20"/>
  <c r="Y258" i="20"/>
  <c r="Y256" i="20"/>
  <c r="Y255" i="20"/>
  <c r="Y254" i="20"/>
  <c r="Y253" i="20"/>
  <c r="Y252" i="20"/>
  <c r="Y251" i="20"/>
  <c r="Y250" i="20"/>
  <c r="Y249" i="20"/>
  <c r="Y248" i="20"/>
  <c r="Y247" i="20"/>
  <c r="Y246" i="20"/>
  <c r="Y245" i="20"/>
  <c r="Y244" i="20"/>
  <c r="Y243" i="20"/>
  <c r="Y242" i="20"/>
  <c r="Y240" i="20"/>
  <c r="Y239" i="20"/>
  <c r="Y238" i="20"/>
  <c r="Y237" i="20"/>
  <c r="Y236" i="20"/>
  <c r="Y235" i="20"/>
  <c r="Y234" i="20"/>
  <c r="Y233" i="20"/>
  <c r="Y232" i="20"/>
  <c r="Y231" i="20"/>
  <c r="Y230" i="20"/>
  <c r="Y229" i="20"/>
  <c r="Y228" i="20"/>
  <c r="Y227" i="20"/>
  <c r="Y226" i="20"/>
  <c r="Y224" i="20"/>
  <c r="Y223" i="20"/>
  <c r="Y222" i="20"/>
  <c r="Y221" i="20"/>
  <c r="Y220" i="20"/>
  <c r="Y219" i="20"/>
  <c r="Y218" i="20"/>
  <c r="Y217" i="20"/>
  <c r="Y216" i="20"/>
  <c r="Y215" i="20"/>
  <c r="Y214" i="20"/>
  <c r="Y213" i="20"/>
  <c r="Y212" i="20"/>
  <c r="Y211" i="20"/>
  <c r="Y210" i="20"/>
  <c r="Y208" i="20"/>
  <c r="Y207" i="20"/>
  <c r="Y206" i="20"/>
  <c r="Y205" i="20"/>
  <c r="Y204" i="20"/>
  <c r="Y203" i="20"/>
  <c r="Y202" i="20"/>
  <c r="Y201" i="20"/>
  <c r="Y200" i="20"/>
  <c r="Y199" i="20"/>
  <c r="Y198" i="20"/>
  <c r="Y197" i="20"/>
  <c r="Y196" i="20"/>
  <c r="Y195" i="20"/>
  <c r="Y194" i="20"/>
  <c r="Y192" i="20"/>
  <c r="Y191" i="20"/>
  <c r="Y190" i="20"/>
  <c r="Y189" i="20"/>
  <c r="Y188" i="20"/>
  <c r="Y187" i="20"/>
  <c r="Y186" i="20"/>
  <c r="Y185" i="20"/>
  <c r="Y184" i="20"/>
  <c r="Y183" i="20"/>
  <c r="Y182" i="20"/>
  <c r="Y181" i="20"/>
  <c r="Y180" i="20"/>
  <c r="Y179" i="20"/>
  <c r="Y178" i="20"/>
  <c r="Y176" i="20"/>
  <c r="Y175" i="20"/>
  <c r="Y174" i="20"/>
  <c r="Y173" i="20"/>
  <c r="Y172" i="20"/>
  <c r="Y171" i="20"/>
  <c r="Y170" i="20"/>
  <c r="Y169" i="20"/>
  <c r="Y168" i="20"/>
  <c r="Y167" i="20"/>
  <c r="Y166" i="20"/>
  <c r="Y165" i="20"/>
  <c r="Y164" i="20"/>
  <c r="Y163" i="20"/>
  <c r="Y162" i="20"/>
  <c r="Y160" i="20"/>
  <c r="Y159" i="20"/>
  <c r="Y158" i="20"/>
  <c r="Y157" i="20"/>
  <c r="Y156" i="20"/>
  <c r="Y155" i="20"/>
  <c r="Y154" i="20"/>
  <c r="Y153" i="20"/>
  <c r="Y152" i="20"/>
  <c r="Y151" i="20"/>
  <c r="Y150" i="20"/>
  <c r="Y149" i="20"/>
  <c r="Y148" i="20"/>
  <c r="Y147" i="20"/>
  <c r="Y146" i="20"/>
  <c r="Y144" i="20"/>
  <c r="Y143" i="20"/>
  <c r="Y142" i="20"/>
  <c r="Y141" i="20"/>
  <c r="Y140" i="20"/>
  <c r="Y139" i="20"/>
  <c r="Y138" i="20"/>
  <c r="Y137" i="20"/>
  <c r="Y136" i="20"/>
  <c r="Y135" i="20"/>
  <c r="Y134" i="20"/>
  <c r="Y133" i="20"/>
  <c r="Y132" i="20"/>
  <c r="Y131" i="20"/>
  <c r="Y130" i="20"/>
  <c r="Y128" i="20"/>
  <c r="Y127" i="20"/>
  <c r="Y126" i="20"/>
  <c r="Y125" i="20"/>
  <c r="Y124" i="20"/>
  <c r="Y123" i="20"/>
  <c r="Y122" i="20"/>
  <c r="Y121" i="20"/>
  <c r="Y120" i="20"/>
  <c r="Y119" i="20"/>
  <c r="Y118" i="20"/>
  <c r="Y117" i="20"/>
  <c r="Y116" i="20"/>
  <c r="Y115" i="20"/>
  <c r="Y114" i="20"/>
  <c r="Y112" i="20"/>
  <c r="Y111" i="20"/>
  <c r="Y110" i="20"/>
  <c r="Y109" i="20"/>
  <c r="Y108" i="20"/>
  <c r="Y107" i="20"/>
  <c r="Y106" i="20"/>
  <c r="Y105" i="20"/>
  <c r="Y104" i="20"/>
  <c r="Y103" i="20"/>
  <c r="Y102" i="20"/>
  <c r="Y101" i="20"/>
  <c r="Y100" i="20"/>
  <c r="Y99" i="20"/>
  <c r="Y98" i="20"/>
  <c r="Y96" i="20"/>
  <c r="Y95" i="20"/>
  <c r="Y94" i="20"/>
  <c r="Y93" i="20"/>
  <c r="Y92" i="20"/>
  <c r="Y91" i="20"/>
  <c r="Y90" i="20"/>
  <c r="Y89" i="20"/>
  <c r="Y88" i="20"/>
  <c r="Y87" i="20"/>
  <c r="Y86" i="20"/>
  <c r="Y85" i="20"/>
  <c r="Y84" i="20"/>
  <c r="Y83" i="20"/>
  <c r="Y82" i="20"/>
  <c r="Y80" i="20"/>
  <c r="Y79" i="20"/>
  <c r="Y78" i="20"/>
  <c r="Y77" i="20"/>
  <c r="Y76" i="20"/>
  <c r="Y75" i="20"/>
  <c r="Y74" i="20"/>
  <c r="Y73" i="20"/>
  <c r="Y72" i="20"/>
  <c r="Y71" i="20"/>
  <c r="Y70" i="20"/>
  <c r="Y69" i="20"/>
  <c r="Y68" i="20"/>
  <c r="Y67" i="20"/>
  <c r="Y66" i="20"/>
  <c r="Y64" i="20"/>
  <c r="Y63" i="20"/>
  <c r="Y62" i="20"/>
  <c r="Y61" i="20"/>
  <c r="Y60" i="20"/>
  <c r="Y59" i="20"/>
  <c r="Y58" i="20"/>
  <c r="Y57" i="20"/>
  <c r="Y56" i="20"/>
  <c r="Y55" i="20"/>
  <c r="Y54" i="20"/>
  <c r="Y53" i="20"/>
  <c r="Y52" i="20"/>
  <c r="Y51" i="20"/>
  <c r="Y50" i="20"/>
  <c r="Y48" i="20"/>
  <c r="Y47" i="20"/>
  <c r="Y46" i="20"/>
  <c r="Y45" i="20"/>
  <c r="Y44" i="20"/>
  <c r="Y43" i="20"/>
  <c r="Y42" i="20"/>
  <c r="Y41" i="20"/>
  <c r="Y40" i="20"/>
  <c r="Y39" i="20"/>
  <c r="Y38" i="20"/>
  <c r="Y37" i="20"/>
  <c r="Y36" i="20"/>
  <c r="Y35" i="20"/>
  <c r="Y34" i="20"/>
  <c r="Y32" i="20"/>
  <c r="Y31" i="20"/>
  <c r="Y30" i="20"/>
  <c r="Y29" i="20"/>
  <c r="Y28" i="20"/>
  <c r="Y27" i="20"/>
  <c r="Y26" i="20"/>
  <c r="Y25" i="20"/>
  <c r="Y24" i="20"/>
  <c r="Y23" i="20"/>
  <c r="Y22" i="20"/>
  <c r="Y21" i="20"/>
  <c r="Y20" i="20"/>
  <c r="Y19" i="20"/>
  <c r="Y18" i="20"/>
  <c r="Y16" i="20"/>
  <c r="Y15" i="20"/>
  <c r="Y14" i="20"/>
  <c r="Y13" i="20"/>
  <c r="Y12" i="20"/>
  <c r="Y11" i="20"/>
  <c r="Y10" i="20"/>
  <c r="Y9" i="20"/>
  <c r="Y8" i="20"/>
  <c r="Y7" i="20"/>
  <c r="Y6" i="20"/>
  <c r="Y5" i="20"/>
  <c r="Y4" i="20"/>
  <c r="Y3" i="20"/>
  <c r="Y2" i="20"/>
  <c r="AF2" i="20"/>
  <c r="AF3" i="20"/>
  <c r="AF4" i="20"/>
  <c r="AF5" i="20"/>
  <c r="AF6" i="20"/>
  <c r="AF7" i="20"/>
  <c r="AF8" i="20"/>
  <c r="AF9" i="20"/>
  <c r="AF10" i="20"/>
  <c r="AF11" i="20"/>
  <c r="AF12" i="20"/>
  <c r="AF13" i="20"/>
  <c r="AF14" i="20"/>
  <c r="AF15" i="20"/>
  <c r="AF16" i="20"/>
  <c r="AF17" i="20"/>
  <c r="AF18" i="20"/>
  <c r="AF19" i="20"/>
  <c r="AF20" i="20"/>
  <c r="AF21" i="20"/>
  <c r="AF22" i="20"/>
  <c r="AF23" i="20"/>
  <c r="AF24" i="20"/>
  <c r="AF25" i="20"/>
  <c r="AF26" i="20"/>
  <c r="AF27" i="20"/>
  <c r="AF28" i="20"/>
  <c r="AF29" i="20"/>
  <c r="AF30" i="20"/>
  <c r="AF31" i="20"/>
  <c r="AF32" i="20"/>
  <c r="AF33" i="20"/>
  <c r="AF34" i="20"/>
  <c r="AF35" i="20"/>
  <c r="AF36" i="20"/>
  <c r="AF37" i="20"/>
  <c r="AF38" i="20"/>
  <c r="AF39" i="20"/>
  <c r="AF40" i="20"/>
  <c r="AF41" i="20"/>
  <c r="AF42" i="20"/>
  <c r="AF43" i="20"/>
  <c r="AF44" i="20"/>
  <c r="AF45" i="20"/>
  <c r="AF46" i="20"/>
  <c r="AF47" i="20"/>
  <c r="AF48" i="20"/>
  <c r="AF49" i="20"/>
  <c r="AF50" i="20"/>
  <c r="AF51" i="20"/>
  <c r="AF52" i="20"/>
  <c r="AF53" i="20"/>
  <c r="AF54" i="20"/>
  <c r="AF55" i="20"/>
  <c r="AF56" i="20"/>
  <c r="AF57" i="20"/>
  <c r="AF58" i="20"/>
  <c r="AF59" i="20"/>
  <c r="AF60" i="20"/>
  <c r="AF61" i="20"/>
  <c r="AF62" i="20"/>
  <c r="AF63" i="20"/>
  <c r="AF64" i="20"/>
  <c r="AF65" i="20"/>
  <c r="AF66" i="20"/>
  <c r="AF67" i="20"/>
  <c r="AF68" i="20"/>
  <c r="AF69" i="20"/>
  <c r="AF70" i="20"/>
  <c r="AF71" i="20"/>
  <c r="AF72" i="20"/>
  <c r="AF73" i="20"/>
  <c r="AF74" i="20"/>
  <c r="AF75" i="20"/>
  <c r="AF76" i="20"/>
  <c r="AF77" i="20"/>
  <c r="AF78" i="20"/>
  <c r="AF79" i="20"/>
  <c r="AF80" i="20"/>
  <c r="AF81" i="20"/>
  <c r="AF82" i="20"/>
  <c r="AF83" i="20"/>
  <c r="AF84" i="20"/>
  <c r="AF85" i="20"/>
  <c r="AF86" i="20"/>
  <c r="AF87" i="20"/>
  <c r="AF88" i="20"/>
  <c r="AF89" i="20"/>
  <c r="AF90" i="20"/>
  <c r="AF91" i="20"/>
  <c r="AF92" i="20"/>
  <c r="AF93" i="20"/>
  <c r="AF94" i="20"/>
  <c r="AF95" i="20"/>
  <c r="AF96" i="20"/>
  <c r="AF97" i="20"/>
  <c r="AF98" i="20"/>
  <c r="AF99" i="20"/>
  <c r="AF100" i="20"/>
  <c r="AF101" i="20"/>
  <c r="AF102" i="20"/>
  <c r="AF103" i="20"/>
  <c r="AF104" i="20"/>
  <c r="AF105" i="20"/>
  <c r="AF106" i="20"/>
  <c r="AF107" i="20"/>
  <c r="AF108" i="20"/>
  <c r="AF109" i="20"/>
  <c r="AF110" i="20"/>
  <c r="AF111" i="20"/>
  <c r="AF112" i="20"/>
  <c r="AF113" i="20"/>
  <c r="AF114" i="20"/>
  <c r="AF115" i="20"/>
  <c r="AF116" i="20"/>
  <c r="AF117" i="20"/>
  <c r="AF118" i="20"/>
  <c r="AF119" i="20"/>
  <c r="AF120" i="20"/>
  <c r="AF121" i="20"/>
  <c r="AF122" i="20"/>
  <c r="AF123" i="20"/>
  <c r="AF124" i="20"/>
  <c r="AF125" i="20"/>
  <c r="AF126" i="20"/>
  <c r="AF127" i="20"/>
  <c r="AF128" i="20"/>
  <c r="AF129" i="20"/>
  <c r="AF130" i="20"/>
  <c r="AF131" i="20"/>
  <c r="AF132" i="20"/>
  <c r="AF133" i="20"/>
  <c r="AF134" i="20"/>
  <c r="AF135" i="20"/>
  <c r="AF136" i="20"/>
  <c r="AF137" i="20"/>
  <c r="AF138" i="20"/>
  <c r="AF139" i="20"/>
  <c r="AF140" i="20"/>
  <c r="AF141" i="20"/>
  <c r="AF142" i="20"/>
  <c r="AF143" i="20"/>
  <c r="AF144" i="20"/>
  <c r="AF145" i="20"/>
  <c r="AF146" i="20"/>
  <c r="AF147" i="20"/>
  <c r="AF148" i="20"/>
  <c r="AF149" i="20"/>
  <c r="AF150" i="20"/>
  <c r="AF151" i="20"/>
  <c r="AF152" i="20"/>
  <c r="AF153" i="20"/>
  <c r="AF154" i="20"/>
  <c r="AF155" i="20"/>
  <c r="AF156" i="20"/>
  <c r="AF157" i="20"/>
  <c r="AF158" i="20"/>
  <c r="AF159" i="20"/>
  <c r="AF160" i="20"/>
  <c r="AF161" i="20"/>
  <c r="AF162" i="20"/>
  <c r="AF163" i="20"/>
  <c r="AF164" i="20"/>
  <c r="AF165" i="20"/>
  <c r="AF166" i="20"/>
  <c r="AF167" i="20"/>
  <c r="AF168" i="20"/>
  <c r="AF169" i="20"/>
  <c r="AF170" i="20"/>
  <c r="AF171" i="20"/>
  <c r="AF172" i="20"/>
  <c r="AF173" i="20"/>
  <c r="AF174" i="20"/>
  <c r="AF175" i="20"/>
  <c r="AF176" i="20"/>
  <c r="AF177" i="20"/>
  <c r="AF178" i="20"/>
  <c r="AF179" i="20"/>
  <c r="AF180" i="20"/>
  <c r="AF181" i="20"/>
  <c r="AF182" i="20"/>
  <c r="AF183" i="20"/>
  <c r="AF184" i="20"/>
  <c r="AF185" i="20"/>
  <c r="AF186" i="20"/>
  <c r="AF187" i="20"/>
  <c r="AF188" i="20"/>
  <c r="AF189" i="20"/>
  <c r="AF190" i="20"/>
  <c r="AF191" i="20"/>
  <c r="AF192" i="20"/>
  <c r="AF193" i="20"/>
  <c r="AF194" i="20"/>
  <c r="AF195" i="20"/>
  <c r="AF196" i="20"/>
  <c r="AF197" i="20"/>
  <c r="AF198" i="20"/>
  <c r="AF199" i="20"/>
  <c r="AF200" i="20"/>
  <c r="AF201" i="20"/>
  <c r="AF202" i="20"/>
  <c r="AF203" i="20"/>
  <c r="AF204" i="20"/>
  <c r="AF205" i="20"/>
  <c r="AF206" i="20"/>
  <c r="AF207" i="20"/>
  <c r="AF208" i="20"/>
  <c r="AF209" i="20"/>
  <c r="AF210" i="20"/>
  <c r="AF211" i="20"/>
  <c r="AF212" i="20"/>
  <c r="AF213" i="20"/>
  <c r="AF214" i="20"/>
  <c r="AF215" i="20"/>
  <c r="AF216" i="20"/>
  <c r="AF217" i="20"/>
  <c r="AF218" i="20"/>
  <c r="AF219" i="20"/>
  <c r="AF220" i="20"/>
  <c r="AF221" i="20"/>
  <c r="AF222" i="20"/>
  <c r="AF223" i="20"/>
  <c r="AF224" i="20"/>
  <c r="AF225" i="20"/>
  <c r="AF226" i="20"/>
  <c r="AF227" i="20"/>
  <c r="AF228" i="20"/>
  <c r="AF229" i="20"/>
  <c r="AF230" i="20"/>
  <c r="AF231" i="20"/>
  <c r="AF232" i="20"/>
  <c r="AF233" i="20"/>
  <c r="AF234" i="20"/>
  <c r="AF235" i="20"/>
  <c r="AF236" i="20"/>
  <c r="AF237" i="20"/>
  <c r="AF238" i="20"/>
  <c r="AF239" i="20"/>
  <c r="AF240" i="20"/>
  <c r="AF241" i="20"/>
  <c r="AF242" i="20"/>
  <c r="AF243" i="20"/>
  <c r="AF244" i="20"/>
  <c r="AF245" i="20"/>
  <c r="AF246" i="20"/>
  <c r="AF247" i="20"/>
  <c r="AF248" i="20"/>
  <c r="AF249" i="20"/>
  <c r="AF250" i="20"/>
  <c r="AF251" i="20"/>
  <c r="AF252" i="20"/>
  <c r="AF253" i="20"/>
  <c r="AF254" i="20"/>
  <c r="AF255" i="20"/>
  <c r="AF256" i="20"/>
  <c r="A40" i="1"/>
  <c r="AB257" i="14"/>
  <c r="AC257" i="14"/>
  <c r="AD257" i="14"/>
  <c r="AB258" i="14"/>
  <c r="AC258" i="14"/>
  <c r="AD258" i="14"/>
  <c r="AB259" i="14"/>
  <c r="AC259" i="14"/>
  <c r="AD259" i="14"/>
  <c r="AB260" i="14"/>
  <c r="AC260" i="14"/>
  <c r="AD260" i="14"/>
  <c r="AB261" i="14"/>
  <c r="AC261" i="14"/>
  <c r="AD261" i="14"/>
  <c r="AB262" i="14"/>
  <c r="AC262" i="14"/>
  <c r="AD262" i="14"/>
  <c r="AB263" i="14"/>
  <c r="AC263" i="14"/>
  <c r="AD263" i="14"/>
  <c r="AB264" i="14"/>
  <c r="AC264" i="14"/>
  <c r="AD264" i="14"/>
  <c r="AB265" i="14"/>
  <c r="AC265" i="14"/>
  <c r="AD265" i="14"/>
  <c r="AB266" i="14"/>
  <c r="AC266" i="14"/>
  <c r="AD266" i="14"/>
  <c r="AB267" i="14"/>
  <c r="AC267" i="14"/>
  <c r="AD267" i="14"/>
  <c r="AB268" i="14"/>
  <c r="AC268" i="14"/>
  <c r="AD268" i="14"/>
  <c r="AB269" i="14"/>
  <c r="AC269" i="14"/>
  <c r="AD269" i="14"/>
  <c r="AB270" i="14"/>
  <c r="AC270" i="14"/>
  <c r="AD270" i="14"/>
  <c r="AB271" i="14"/>
  <c r="AC271" i="14"/>
  <c r="AD271" i="14"/>
  <c r="AB272" i="14"/>
  <c r="AC272" i="14"/>
  <c r="AD272" i="14"/>
  <c r="AB273" i="14"/>
  <c r="AC273" i="14"/>
  <c r="AD273" i="14"/>
  <c r="AB274" i="14"/>
  <c r="AC274" i="14"/>
  <c r="AD274" i="14"/>
  <c r="AB275" i="14"/>
  <c r="AC275" i="14"/>
  <c r="AD275" i="14"/>
  <c r="AB276" i="14"/>
  <c r="AC276" i="14"/>
  <c r="AD276" i="14"/>
  <c r="AB277" i="14"/>
  <c r="AC277" i="14"/>
  <c r="AD277" i="14"/>
  <c r="AB278" i="14"/>
  <c r="AC278" i="14"/>
  <c r="AD278" i="14"/>
  <c r="AB279" i="14"/>
  <c r="AC279" i="14"/>
  <c r="AD279" i="14"/>
  <c r="AB280" i="14"/>
  <c r="AC280" i="14"/>
  <c r="AD280" i="14"/>
  <c r="AB281" i="14"/>
  <c r="AC281" i="14"/>
  <c r="AD281" i="14"/>
  <c r="AB282" i="14"/>
  <c r="AC282" i="14"/>
  <c r="AD282" i="14"/>
  <c r="AB283" i="14"/>
  <c r="AC283" i="14"/>
  <c r="AD283" i="14"/>
  <c r="AB284" i="14"/>
  <c r="AC284" i="14"/>
  <c r="AD284" i="14"/>
  <c r="AB285" i="14"/>
  <c r="AC285" i="14"/>
  <c r="AD285" i="14"/>
  <c r="AB286" i="14"/>
  <c r="AC286" i="14"/>
  <c r="AD286" i="14"/>
  <c r="AB287" i="14"/>
  <c r="AC287" i="14"/>
  <c r="AD287" i="14"/>
  <c r="AB288" i="14"/>
  <c r="AC288" i="14"/>
  <c r="AD288" i="14"/>
  <c r="AB289" i="14"/>
  <c r="AC289" i="14"/>
  <c r="AD289" i="14"/>
  <c r="AB290" i="14"/>
  <c r="AC290" i="14"/>
  <c r="AD290" i="14"/>
  <c r="AB291" i="14"/>
  <c r="AC291" i="14"/>
  <c r="AD291" i="14"/>
  <c r="AB292" i="14"/>
  <c r="AC292" i="14"/>
  <c r="AD292" i="14"/>
  <c r="AB293" i="14"/>
  <c r="AC293" i="14"/>
  <c r="AD293" i="14"/>
  <c r="AB294" i="14"/>
  <c r="AC294" i="14"/>
  <c r="AD294" i="14"/>
  <c r="AB295" i="14"/>
  <c r="AC295" i="14"/>
  <c r="AD295" i="14"/>
  <c r="AB296" i="14"/>
  <c r="AC296" i="14"/>
  <c r="AD296" i="14"/>
  <c r="AB297" i="14"/>
  <c r="AC297" i="14"/>
  <c r="AD297" i="14"/>
  <c r="AB298" i="14"/>
  <c r="AC298" i="14"/>
  <c r="AD298" i="14"/>
  <c r="AB299" i="14"/>
  <c r="AC299" i="14"/>
  <c r="AD299" i="14"/>
  <c r="AB300" i="14"/>
  <c r="AC300" i="14"/>
  <c r="AD300" i="14"/>
  <c r="AB301" i="14"/>
  <c r="AC301" i="14"/>
  <c r="AD301" i="14"/>
  <c r="AB302" i="14"/>
  <c r="AC302" i="14"/>
  <c r="AD302" i="14"/>
  <c r="AB303" i="14"/>
  <c r="AC303" i="14"/>
  <c r="AD303" i="14"/>
  <c r="AB304" i="14"/>
  <c r="AC304" i="14"/>
  <c r="AD304" i="14"/>
  <c r="AB305" i="14"/>
  <c r="AC305" i="14"/>
  <c r="AD305" i="14"/>
  <c r="AB306" i="14"/>
  <c r="AC306" i="14"/>
  <c r="AD306" i="14"/>
  <c r="AB307" i="14"/>
  <c r="AC307" i="14"/>
  <c r="AD307" i="14"/>
  <c r="AB308" i="14"/>
  <c r="AC308" i="14"/>
  <c r="AD308" i="14"/>
  <c r="AB309" i="14"/>
  <c r="AC309" i="14"/>
  <c r="AD309" i="14"/>
  <c r="AB310" i="14"/>
  <c r="AC310" i="14"/>
  <c r="AD310" i="14"/>
  <c r="AB311" i="14"/>
  <c r="AC311" i="14"/>
  <c r="AD311" i="14"/>
  <c r="AB312" i="14"/>
  <c r="AC312" i="14"/>
  <c r="AD312" i="14"/>
  <c r="AB313" i="14"/>
  <c r="AC313" i="14"/>
  <c r="AD313" i="14"/>
  <c r="AB314" i="14"/>
  <c r="AC314" i="14"/>
  <c r="AD314" i="14"/>
  <c r="AB315" i="14"/>
  <c r="AC315" i="14"/>
  <c r="AD315" i="14"/>
  <c r="AB316" i="14"/>
  <c r="AC316" i="14"/>
  <c r="AD316" i="14"/>
  <c r="AB317" i="14"/>
  <c r="AC317" i="14"/>
  <c r="AD317" i="14"/>
  <c r="AB318" i="14"/>
  <c r="AC318" i="14"/>
  <c r="AD318" i="14"/>
  <c r="AB319" i="14"/>
  <c r="AC319" i="14"/>
  <c r="AD319" i="14"/>
  <c r="AB320" i="14"/>
  <c r="AC320" i="14"/>
  <c r="AD320" i="14"/>
  <c r="AB321" i="14"/>
  <c r="AC321" i="14"/>
  <c r="AD321" i="14"/>
  <c r="AB322" i="14"/>
  <c r="AC322" i="14"/>
  <c r="AD322" i="14"/>
  <c r="AB323" i="14"/>
  <c r="AC323" i="14"/>
  <c r="AD323" i="14"/>
  <c r="AB324" i="14"/>
  <c r="AC324" i="14"/>
  <c r="AD324" i="14"/>
  <c r="AB325" i="14"/>
  <c r="AC325" i="14"/>
  <c r="AD325" i="14"/>
  <c r="AB326" i="14"/>
  <c r="AC326" i="14"/>
  <c r="AD326" i="14"/>
  <c r="AB327" i="14"/>
  <c r="AC327" i="14"/>
  <c r="AD327" i="14"/>
  <c r="AB328" i="14"/>
  <c r="AC328" i="14"/>
  <c r="AD328" i="14"/>
  <c r="AB329" i="14"/>
  <c r="AC329" i="14"/>
  <c r="AD329" i="14"/>
  <c r="AB330" i="14"/>
  <c r="AC330" i="14"/>
  <c r="AD330" i="14"/>
  <c r="AB331" i="14"/>
  <c r="AC331" i="14"/>
  <c r="AD331" i="14"/>
  <c r="AB332" i="14"/>
  <c r="AC332" i="14"/>
  <c r="AD332" i="14"/>
  <c r="AB333" i="14"/>
  <c r="AC333" i="14"/>
  <c r="AD333" i="14"/>
  <c r="AB334" i="14"/>
  <c r="AC334" i="14"/>
  <c r="AD334" i="14"/>
  <c r="AB335" i="14"/>
  <c r="AC335" i="14"/>
  <c r="AD335" i="14"/>
  <c r="AB336" i="14"/>
  <c r="AC336" i="14"/>
  <c r="AD336" i="14"/>
  <c r="AB337" i="14"/>
  <c r="AC337" i="14"/>
  <c r="AD337" i="14"/>
  <c r="AB338" i="14"/>
  <c r="AC338" i="14"/>
  <c r="AD338" i="14"/>
  <c r="AB339" i="14"/>
  <c r="AC339" i="14"/>
  <c r="AD339" i="14"/>
  <c r="AB340" i="14"/>
  <c r="AC340" i="14"/>
  <c r="AD340" i="14"/>
  <c r="AB341" i="14"/>
  <c r="AC341" i="14"/>
  <c r="AD341" i="14"/>
  <c r="AB342" i="14"/>
  <c r="AC342" i="14"/>
  <c r="AD342" i="14"/>
  <c r="AB343" i="14"/>
  <c r="AC343" i="14"/>
  <c r="AD343" i="14"/>
  <c r="AB344" i="14"/>
  <c r="AC344" i="14"/>
  <c r="AD344" i="14"/>
  <c r="AB345" i="14"/>
  <c r="AC345" i="14"/>
  <c r="AD345" i="14"/>
  <c r="AB346" i="14"/>
  <c r="AC346" i="14"/>
  <c r="AD346" i="14"/>
  <c r="AB347" i="14"/>
  <c r="AC347" i="14"/>
  <c r="AD347" i="14"/>
  <c r="AB348" i="14"/>
  <c r="AC348" i="14"/>
  <c r="AD348" i="14"/>
  <c r="AB349" i="14"/>
  <c r="AC349" i="14"/>
  <c r="AD349" i="14"/>
  <c r="AB350" i="14"/>
  <c r="AC350" i="14"/>
  <c r="AD350" i="14"/>
  <c r="AB351" i="14"/>
  <c r="AC351" i="14"/>
  <c r="AD351" i="14"/>
  <c r="AB352" i="14"/>
  <c r="AC352" i="14"/>
  <c r="AD352" i="14"/>
  <c r="AB353" i="14"/>
  <c r="AC353" i="14"/>
  <c r="AD353" i="14"/>
  <c r="AB354" i="14"/>
  <c r="AC354" i="14"/>
  <c r="AD354" i="14"/>
  <c r="AB355" i="14"/>
  <c r="AC355" i="14"/>
  <c r="AD355" i="14"/>
  <c r="AB356" i="14"/>
  <c r="AC356" i="14"/>
  <c r="AD356" i="14"/>
  <c r="AB357" i="14"/>
  <c r="AC357" i="14"/>
  <c r="AD357" i="14"/>
  <c r="AB358" i="14"/>
  <c r="AC358" i="14"/>
  <c r="AD358" i="14"/>
  <c r="AB359" i="14"/>
  <c r="AC359" i="14"/>
  <c r="AD359" i="14"/>
  <c r="AB360" i="14"/>
  <c r="AC360" i="14"/>
  <c r="AD360" i="14"/>
  <c r="AB361" i="14"/>
  <c r="AC361" i="14"/>
  <c r="AD361" i="14"/>
  <c r="AB362" i="14"/>
  <c r="AC362" i="14"/>
  <c r="AD362" i="14"/>
  <c r="AB363" i="14"/>
  <c r="AC363" i="14"/>
  <c r="AD363" i="14"/>
  <c r="AB364" i="14"/>
  <c r="AC364" i="14"/>
  <c r="AD364" i="14"/>
  <c r="AB365" i="14"/>
  <c r="AC365" i="14"/>
  <c r="AD365" i="14"/>
  <c r="AB366" i="14"/>
  <c r="AC366" i="14"/>
  <c r="AD366" i="14"/>
  <c r="AB367" i="14"/>
  <c r="AC367" i="14"/>
  <c r="AD367" i="14"/>
  <c r="AB368" i="14"/>
  <c r="AC368" i="14"/>
  <c r="AD368" i="14"/>
  <c r="AB369" i="14"/>
  <c r="AC369" i="14"/>
  <c r="AD369" i="14"/>
  <c r="AB370" i="14"/>
  <c r="AC370" i="14"/>
  <c r="AD370" i="14"/>
  <c r="AB371" i="14"/>
  <c r="AC371" i="14"/>
  <c r="AD371" i="14"/>
  <c r="AB372" i="14"/>
  <c r="AC372" i="14"/>
  <c r="AD372" i="14"/>
  <c r="AB373" i="14"/>
  <c r="AC373" i="14"/>
  <c r="AD373" i="14"/>
  <c r="AB374" i="14"/>
  <c r="AC374" i="14"/>
  <c r="AD374" i="14"/>
  <c r="AB375" i="14"/>
  <c r="AC375" i="14"/>
  <c r="AD375" i="14"/>
  <c r="AB376" i="14"/>
  <c r="AC376" i="14"/>
  <c r="AD376" i="14"/>
  <c r="AB377" i="14"/>
  <c r="AC377" i="14"/>
  <c r="AD377" i="14"/>
  <c r="AB378" i="14"/>
  <c r="AC378" i="14"/>
  <c r="AD378" i="14"/>
  <c r="AB379" i="14"/>
  <c r="AC379" i="14"/>
  <c r="AD379" i="14"/>
  <c r="AB380" i="14"/>
  <c r="AC380" i="14"/>
  <c r="AD380" i="14"/>
  <c r="AB381" i="14"/>
  <c r="AC381" i="14"/>
  <c r="AD381" i="14"/>
  <c r="AB382" i="14"/>
  <c r="AC382" i="14"/>
  <c r="AD382" i="14"/>
  <c r="AB383" i="14"/>
  <c r="AC383" i="14"/>
  <c r="AD383" i="14"/>
  <c r="AB384" i="14"/>
  <c r="AC384" i="14"/>
  <c r="AD384" i="14"/>
  <c r="AB385" i="14"/>
  <c r="AC385" i="14"/>
  <c r="AD385" i="14"/>
  <c r="AB386" i="14"/>
  <c r="AC386" i="14"/>
  <c r="AD386" i="14"/>
  <c r="AB387" i="14"/>
  <c r="AC387" i="14"/>
  <c r="AD387" i="14"/>
  <c r="AB388" i="14"/>
  <c r="AC388" i="14"/>
  <c r="AD388" i="14"/>
  <c r="AB389" i="14"/>
  <c r="AC389" i="14"/>
  <c r="AD389" i="14"/>
  <c r="AB390" i="14"/>
  <c r="AC390" i="14"/>
  <c r="AD390" i="14"/>
  <c r="AB391" i="14"/>
  <c r="AC391" i="14"/>
  <c r="AD391" i="14"/>
  <c r="AB392" i="14"/>
  <c r="AC392" i="14"/>
  <c r="AD392" i="14"/>
  <c r="AB393" i="14"/>
  <c r="AC393" i="14"/>
  <c r="AD393" i="14"/>
  <c r="AB394" i="14"/>
  <c r="AC394" i="14"/>
  <c r="AD394" i="14"/>
  <c r="AB395" i="14"/>
  <c r="AC395" i="14"/>
  <c r="AD395" i="14"/>
  <c r="AB396" i="14"/>
  <c r="AC396" i="14"/>
  <c r="AD396" i="14"/>
  <c r="AB397" i="14"/>
  <c r="AC397" i="14"/>
  <c r="AD397" i="14"/>
  <c r="AB398" i="14"/>
  <c r="AC398" i="14"/>
  <c r="AD398" i="14"/>
  <c r="AB399" i="14"/>
  <c r="AC399" i="14"/>
  <c r="AD399" i="14"/>
  <c r="AB400" i="14"/>
  <c r="AC400" i="14"/>
  <c r="AD400" i="14"/>
  <c r="AB401" i="14"/>
  <c r="AC401" i="14"/>
  <c r="AD401" i="14"/>
  <c r="AB402" i="14"/>
  <c r="AC402" i="14"/>
  <c r="AD402" i="14"/>
  <c r="AB403" i="14"/>
  <c r="AC403" i="14"/>
  <c r="AD403" i="14"/>
  <c r="AB404" i="14"/>
  <c r="AC404" i="14"/>
  <c r="AD404" i="14"/>
  <c r="AB405" i="14"/>
  <c r="AC405" i="14"/>
  <c r="AD405" i="14"/>
  <c r="AB406" i="14"/>
  <c r="AC406" i="14"/>
  <c r="AD406" i="14"/>
  <c r="AB407" i="14"/>
  <c r="AC407" i="14"/>
  <c r="AD407" i="14"/>
  <c r="AB408" i="14"/>
  <c r="AC408" i="14"/>
  <c r="AD408" i="14"/>
  <c r="AB409" i="14"/>
  <c r="AC409" i="14"/>
  <c r="AD409" i="14"/>
  <c r="AB410" i="14"/>
  <c r="AC410" i="14"/>
  <c r="AD410" i="14"/>
  <c r="AB411" i="14"/>
  <c r="AC411" i="14"/>
  <c r="AD411" i="14"/>
  <c r="AB412" i="14"/>
  <c r="AC412" i="14"/>
  <c r="AD412" i="14"/>
  <c r="AB413" i="14"/>
  <c r="AC413" i="14"/>
  <c r="AD413" i="14"/>
  <c r="AB414" i="14"/>
  <c r="AC414" i="14"/>
  <c r="AD414" i="14"/>
  <c r="AB415" i="14"/>
  <c r="AC415" i="14"/>
  <c r="AD415" i="14"/>
  <c r="AB416" i="14"/>
  <c r="AC416" i="14"/>
  <c r="AD416" i="14"/>
  <c r="AB417" i="14"/>
  <c r="AC417" i="14"/>
  <c r="AD417" i="14"/>
  <c r="AB418" i="14"/>
  <c r="AC418" i="14"/>
  <c r="AD418" i="14"/>
  <c r="AB419" i="14"/>
  <c r="AC419" i="14"/>
  <c r="AD419" i="14"/>
  <c r="AB420" i="14"/>
  <c r="AC420" i="14"/>
  <c r="AD420" i="14"/>
  <c r="AB421" i="14"/>
  <c r="AC421" i="14"/>
  <c r="AD421" i="14"/>
  <c r="AB422" i="14"/>
  <c r="AC422" i="14"/>
  <c r="AD422" i="14"/>
  <c r="AB423" i="14"/>
  <c r="AC423" i="14"/>
  <c r="AD423" i="14"/>
  <c r="AB424" i="14"/>
  <c r="AC424" i="14"/>
  <c r="AD424" i="14"/>
  <c r="AB425" i="14"/>
  <c r="AC425" i="14"/>
  <c r="AD425" i="14"/>
  <c r="AB426" i="14"/>
  <c r="AC426" i="14"/>
  <c r="AD426" i="14"/>
  <c r="AB427" i="14"/>
  <c r="AC427" i="14"/>
  <c r="AD427" i="14"/>
  <c r="AB428" i="14"/>
  <c r="AC428" i="14"/>
  <c r="AD428" i="14"/>
  <c r="AB429" i="14"/>
  <c r="AC429" i="14"/>
  <c r="AD429" i="14"/>
  <c r="AB430" i="14"/>
  <c r="AC430" i="14"/>
  <c r="AD430" i="14"/>
  <c r="AB431" i="14"/>
  <c r="AC431" i="14"/>
  <c r="AD431" i="14"/>
  <c r="AB432" i="14"/>
  <c r="AC432" i="14"/>
  <c r="AD432" i="14"/>
  <c r="AB433" i="14"/>
  <c r="AC433" i="14"/>
  <c r="AD433" i="14"/>
  <c r="AB434" i="14"/>
  <c r="AC434" i="14"/>
  <c r="AD434" i="14"/>
  <c r="AB435" i="14"/>
  <c r="AC435" i="14"/>
  <c r="AD435" i="14"/>
  <c r="AB436" i="14"/>
  <c r="AC436" i="14"/>
  <c r="AD436" i="14"/>
  <c r="AB437" i="14"/>
  <c r="AC437" i="14"/>
  <c r="AD437" i="14"/>
  <c r="AB438" i="14"/>
  <c r="AC438" i="14"/>
  <c r="AD438" i="14"/>
  <c r="AB439" i="14"/>
  <c r="AC439" i="14"/>
  <c r="AD439" i="14"/>
  <c r="AB440" i="14"/>
  <c r="AC440" i="14"/>
  <c r="AD440" i="14"/>
  <c r="AB441" i="14"/>
  <c r="AC441" i="14"/>
  <c r="AD441" i="14"/>
  <c r="AB442" i="14"/>
  <c r="AC442" i="14"/>
  <c r="AD442" i="14"/>
  <c r="AB443" i="14"/>
  <c r="AC443" i="14"/>
  <c r="AD443" i="14"/>
  <c r="AB444" i="14"/>
  <c r="AC444" i="14"/>
  <c r="AD444" i="14"/>
  <c r="AB445" i="14"/>
  <c r="AC445" i="14"/>
  <c r="AD445" i="14"/>
  <c r="AB446" i="14"/>
  <c r="AC446" i="14"/>
  <c r="AD446" i="14"/>
  <c r="AB447" i="14"/>
  <c r="AC447" i="14"/>
  <c r="AD447" i="14"/>
  <c r="AB448" i="14"/>
  <c r="AC448" i="14"/>
  <c r="AD448" i="14"/>
  <c r="AB449" i="14"/>
  <c r="AC449" i="14"/>
  <c r="AD449" i="14"/>
  <c r="AB450" i="14"/>
  <c r="AC450" i="14"/>
  <c r="AD450" i="14"/>
  <c r="AB451" i="14"/>
  <c r="AC451" i="14"/>
  <c r="AD451" i="14"/>
  <c r="AB452" i="14"/>
  <c r="AC452" i="14"/>
  <c r="AD452" i="14"/>
  <c r="AB453" i="14"/>
  <c r="AC453" i="14"/>
  <c r="AD453" i="14"/>
  <c r="AB454" i="14"/>
  <c r="AC454" i="14"/>
  <c r="AD454" i="14"/>
  <c r="AB455" i="14"/>
  <c r="AC455" i="14"/>
  <c r="AD455" i="14"/>
  <c r="AB456" i="14"/>
  <c r="AC456" i="14"/>
  <c r="AD456" i="14"/>
  <c r="AB457" i="14"/>
  <c r="AC457" i="14"/>
  <c r="AD457" i="14"/>
  <c r="AB458" i="14"/>
  <c r="AC458" i="14"/>
  <c r="AD458" i="14"/>
  <c r="AB459" i="14"/>
  <c r="AC459" i="14"/>
  <c r="AD459" i="14"/>
  <c r="AB460" i="14"/>
  <c r="AC460" i="14"/>
  <c r="AD460" i="14"/>
  <c r="AB461" i="14"/>
  <c r="AC461" i="14"/>
  <c r="AD461" i="14"/>
  <c r="AB462" i="14"/>
  <c r="AC462" i="14"/>
  <c r="AD462" i="14"/>
  <c r="AB463" i="14"/>
  <c r="AC463" i="14"/>
  <c r="AD463" i="14"/>
  <c r="AB464" i="14"/>
  <c r="AC464" i="14"/>
  <c r="AD464" i="14"/>
  <c r="AB465" i="14"/>
  <c r="AC465" i="14"/>
  <c r="AD465" i="14"/>
  <c r="AB466" i="14"/>
  <c r="AC466" i="14"/>
  <c r="AD466" i="14"/>
  <c r="AB467" i="14"/>
  <c r="AC467" i="14"/>
  <c r="AD467" i="14"/>
  <c r="AB468" i="14"/>
  <c r="AC468" i="14"/>
  <c r="AD468" i="14"/>
  <c r="AB469" i="14"/>
  <c r="AC469" i="14"/>
  <c r="AD469" i="14"/>
  <c r="AB470" i="14"/>
  <c r="AC470" i="14"/>
  <c r="AD470" i="14"/>
  <c r="AB471" i="14"/>
  <c r="AC471" i="14"/>
  <c r="AD471" i="14"/>
  <c r="AB472" i="14"/>
  <c r="AC472" i="14"/>
  <c r="AD472" i="14"/>
  <c r="AB473" i="14"/>
  <c r="AC473" i="14"/>
  <c r="AD473" i="14"/>
  <c r="AB474" i="14"/>
  <c r="AC474" i="14"/>
  <c r="AD474" i="14"/>
  <c r="AB475" i="14"/>
  <c r="AC475" i="14"/>
  <c r="AD475" i="14"/>
  <c r="AB476" i="14"/>
  <c r="AC476" i="14"/>
  <c r="AD476" i="14"/>
  <c r="AB477" i="14"/>
  <c r="AC477" i="14"/>
  <c r="AD477" i="14"/>
  <c r="AB478" i="14"/>
  <c r="AC478" i="14"/>
  <c r="AD478" i="14"/>
  <c r="AB479" i="14"/>
  <c r="AC479" i="14"/>
  <c r="AD479" i="14"/>
  <c r="AB480" i="14"/>
  <c r="AC480" i="14"/>
  <c r="AD480" i="14"/>
  <c r="AB481" i="14"/>
  <c r="AC481" i="14"/>
  <c r="AD481" i="14"/>
  <c r="AB482" i="14"/>
  <c r="AC482" i="14"/>
  <c r="AD482" i="14"/>
  <c r="AB483" i="14"/>
  <c r="AC483" i="14"/>
  <c r="AD483" i="14"/>
  <c r="AB484" i="14"/>
  <c r="AC484" i="14"/>
  <c r="AD484" i="14"/>
  <c r="AB485" i="14"/>
  <c r="AC485" i="14"/>
  <c r="AD485" i="14"/>
  <c r="AB486" i="14"/>
  <c r="AC486" i="14"/>
  <c r="AD486" i="14"/>
  <c r="AB487" i="14"/>
  <c r="AC487" i="14"/>
  <c r="AD487" i="14"/>
  <c r="AB488" i="14"/>
  <c r="AC488" i="14"/>
  <c r="AD488" i="14"/>
  <c r="AB489" i="14"/>
  <c r="AC489" i="14"/>
  <c r="AD489" i="14"/>
  <c r="AB490" i="14"/>
  <c r="AC490" i="14"/>
  <c r="AD490" i="14"/>
  <c r="AB491" i="14"/>
  <c r="AC491" i="14"/>
  <c r="AD491" i="14"/>
  <c r="AB492" i="14"/>
  <c r="AC492" i="14"/>
  <c r="AD492" i="14"/>
  <c r="AB493" i="14"/>
  <c r="AC493" i="14"/>
  <c r="AD493" i="14"/>
  <c r="AB494" i="14"/>
  <c r="AC494" i="14"/>
  <c r="AD494" i="14"/>
  <c r="AB495" i="14"/>
  <c r="AC495" i="14"/>
  <c r="AD495" i="14"/>
  <c r="AB496" i="14"/>
  <c r="AC496" i="14"/>
  <c r="AD496" i="14"/>
  <c r="AB497" i="14"/>
  <c r="AC497" i="14"/>
  <c r="AD497" i="14"/>
  <c r="AB498" i="14"/>
  <c r="AC498" i="14"/>
  <c r="AD498" i="14"/>
  <c r="AB499" i="14"/>
  <c r="AC499" i="14"/>
  <c r="AD499" i="14"/>
  <c r="AB500" i="14"/>
  <c r="AC500" i="14"/>
  <c r="AD500" i="14"/>
  <c r="AB501" i="14"/>
  <c r="AC501" i="14"/>
  <c r="AD501" i="14"/>
  <c r="AB502" i="14"/>
  <c r="AC502" i="14"/>
  <c r="AD502" i="14"/>
  <c r="AB503" i="14"/>
  <c r="AC503" i="14"/>
  <c r="AD503" i="14"/>
  <c r="AB504" i="14"/>
  <c r="AC504" i="14"/>
  <c r="AD504" i="14"/>
  <c r="AB505" i="14"/>
  <c r="AC505" i="14"/>
  <c r="AD505" i="14"/>
  <c r="AB506" i="14"/>
  <c r="AC506" i="14"/>
  <c r="AD506" i="14"/>
  <c r="AB507" i="14"/>
  <c r="AC507" i="14"/>
  <c r="AD507" i="14"/>
  <c r="AB508" i="14"/>
  <c r="AC508" i="14"/>
  <c r="AD508" i="14"/>
  <c r="AB509" i="14"/>
  <c r="AC509" i="14"/>
  <c r="AD509" i="14"/>
  <c r="AB510" i="14"/>
  <c r="AC510" i="14"/>
  <c r="AD510" i="14"/>
  <c r="AB511" i="14"/>
  <c r="AC511" i="14"/>
  <c r="AD511" i="14"/>
  <c r="AB512" i="14"/>
  <c r="AC512" i="14"/>
  <c r="AD512" i="14"/>
  <c r="AB513" i="14"/>
  <c r="AC513" i="14"/>
  <c r="AD513" i="14"/>
  <c r="AB514" i="14"/>
  <c r="AC514" i="14"/>
  <c r="AD514" i="14"/>
  <c r="AB515" i="14"/>
  <c r="AC515" i="14"/>
  <c r="AD515" i="14"/>
  <c r="AB516" i="14"/>
  <c r="AC516" i="14"/>
  <c r="AD516" i="14"/>
  <c r="AB517" i="14"/>
  <c r="AC517" i="14"/>
  <c r="AD517" i="14"/>
  <c r="AB518" i="14"/>
  <c r="AC518" i="14"/>
  <c r="AD518" i="14"/>
  <c r="AB519" i="14"/>
  <c r="AC519" i="14"/>
  <c r="AD519" i="14"/>
  <c r="AB520" i="14"/>
  <c r="AC520" i="14"/>
  <c r="AD520" i="14"/>
  <c r="AB521" i="14"/>
  <c r="AC521" i="14"/>
  <c r="AD521" i="14"/>
  <c r="AB522" i="14"/>
  <c r="AC522" i="14"/>
  <c r="AD522" i="14"/>
  <c r="AB523" i="14"/>
  <c r="AC523" i="14"/>
  <c r="AD523" i="14"/>
  <c r="AB524" i="14"/>
  <c r="AC524" i="14"/>
  <c r="AD524" i="14"/>
  <c r="AB525" i="14"/>
  <c r="AC525" i="14"/>
  <c r="AD525" i="14"/>
  <c r="AB526" i="14"/>
  <c r="AC526" i="14"/>
  <c r="AD526" i="14"/>
  <c r="AB527" i="14"/>
  <c r="AC527" i="14"/>
  <c r="AD527" i="14"/>
  <c r="AB528" i="14"/>
  <c r="AC528" i="14"/>
  <c r="AD528" i="14"/>
  <c r="AB529" i="14"/>
  <c r="AC529" i="14"/>
  <c r="AD529" i="14"/>
  <c r="AB530" i="14"/>
  <c r="AC530" i="14"/>
  <c r="AD530" i="14"/>
  <c r="AB531" i="14"/>
  <c r="AC531" i="14"/>
  <c r="AD531" i="14"/>
  <c r="AB532" i="14"/>
  <c r="AC532" i="14"/>
  <c r="AD532" i="14"/>
  <c r="AB533" i="14"/>
  <c r="AC533" i="14"/>
  <c r="AD533" i="14"/>
  <c r="AB534" i="14"/>
  <c r="AC534" i="14"/>
  <c r="AD534" i="14"/>
  <c r="AB535" i="14"/>
  <c r="AC535" i="14"/>
  <c r="AD535" i="14"/>
  <c r="AB536" i="14"/>
  <c r="AC536" i="14"/>
  <c r="AD536" i="14"/>
  <c r="AB537" i="14"/>
  <c r="AC537" i="14"/>
  <c r="AD537" i="14"/>
  <c r="AB538" i="14"/>
  <c r="AC538" i="14"/>
  <c r="AD538" i="14"/>
  <c r="AB539" i="14"/>
  <c r="AC539" i="14"/>
  <c r="AD539" i="14"/>
  <c r="AB540" i="14"/>
  <c r="AC540" i="14"/>
  <c r="AD540" i="14"/>
  <c r="AB541" i="14"/>
  <c r="AC541" i="14"/>
  <c r="AD541" i="14"/>
  <c r="AB542" i="14"/>
  <c r="AC542" i="14"/>
  <c r="AD542" i="14"/>
  <c r="AB543" i="14"/>
  <c r="AC543" i="14"/>
  <c r="AD543" i="14"/>
  <c r="AB544" i="14"/>
  <c r="AC544" i="14"/>
  <c r="AD544" i="14"/>
  <c r="AB545" i="14"/>
  <c r="AC545" i="14"/>
  <c r="AD545" i="14"/>
  <c r="AB546" i="14"/>
  <c r="AC546" i="14"/>
  <c r="AD546" i="14"/>
  <c r="AB547" i="14"/>
  <c r="AC547" i="14"/>
  <c r="AD547" i="14"/>
  <c r="AB548" i="14"/>
  <c r="AC548" i="14"/>
  <c r="AD548" i="14"/>
  <c r="AB549" i="14"/>
  <c r="AC549" i="14"/>
  <c r="AD549" i="14"/>
  <c r="AB550" i="14"/>
  <c r="AC550" i="14"/>
  <c r="AD550" i="14"/>
  <c r="AB551" i="14"/>
  <c r="AC551" i="14"/>
  <c r="AD551" i="14"/>
  <c r="AB552" i="14"/>
  <c r="AC552" i="14"/>
  <c r="AD552" i="14"/>
  <c r="AB553" i="14"/>
  <c r="AC553" i="14"/>
  <c r="AD553" i="14"/>
  <c r="AB554" i="14"/>
  <c r="AC554" i="14"/>
  <c r="AD554" i="14"/>
  <c r="AB555" i="14"/>
  <c r="AC555" i="14"/>
  <c r="AD555" i="14"/>
  <c r="AB556" i="14"/>
  <c r="AC556" i="14"/>
  <c r="AD556" i="14"/>
  <c r="AB557" i="14"/>
  <c r="AC557" i="14"/>
  <c r="AD557" i="14"/>
  <c r="AB558" i="14"/>
  <c r="AC558" i="14"/>
  <c r="AD558" i="14"/>
  <c r="AB559" i="14"/>
  <c r="AC559" i="14"/>
  <c r="AD559" i="14"/>
  <c r="AB560" i="14"/>
  <c r="AC560" i="14"/>
  <c r="AD560" i="14"/>
  <c r="AB561" i="14"/>
  <c r="AC561" i="14"/>
  <c r="AD561" i="14"/>
  <c r="AB562" i="14"/>
  <c r="AC562" i="14"/>
  <c r="AD562" i="14"/>
  <c r="AB563" i="14"/>
  <c r="AC563" i="14"/>
  <c r="AD563" i="14"/>
  <c r="AB564" i="14"/>
  <c r="AC564" i="14"/>
  <c r="AD564" i="14"/>
  <c r="AB565" i="14"/>
  <c r="AC565" i="14"/>
  <c r="AD565" i="14"/>
  <c r="AB566" i="14"/>
  <c r="AC566" i="14"/>
  <c r="AD566" i="14"/>
  <c r="AB567" i="14"/>
  <c r="AC567" i="14"/>
  <c r="AD567" i="14"/>
  <c r="AB568" i="14"/>
  <c r="AC568" i="14"/>
  <c r="AD568" i="14"/>
  <c r="AB569" i="14"/>
  <c r="AC569" i="14"/>
  <c r="AD569" i="14"/>
  <c r="AB570" i="14"/>
  <c r="AC570" i="14"/>
  <c r="AD570" i="14"/>
  <c r="AB571" i="14"/>
  <c r="AC571" i="14"/>
  <c r="AD571" i="14"/>
  <c r="AB572" i="14"/>
  <c r="AC572" i="14"/>
  <c r="AD572" i="14"/>
  <c r="AB573" i="14"/>
  <c r="AC573" i="14"/>
  <c r="AD573" i="14"/>
  <c r="AB574" i="14"/>
  <c r="AC574" i="14"/>
  <c r="AD574" i="14"/>
  <c r="AB575" i="14"/>
  <c r="AC575" i="14"/>
  <c r="AD575" i="14"/>
  <c r="AB576" i="14"/>
  <c r="AC576" i="14"/>
  <c r="AD576" i="14"/>
  <c r="AB577" i="14"/>
  <c r="AC577" i="14"/>
  <c r="AD577" i="14"/>
  <c r="AB578" i="14"/>
  <c r="AC578" i="14"/>
  <c r="AD578" i="14"/>
  <c r="AB579" i="14"/>
  <c r="AC579" i="14"/>
  <c r="AD579" i="14"/>
  <c r="AB580" i="14"/>
  <c r="AC580" i="14"/>
  <c r="AD580" i="14"/>
  <c r="AB581" i="14"/>
  <c r="AC581" i="14"/>
  <c r="AD581" i="14"/>
  <c r="AB582" i="14"/>
  <c r="AC582" i="14"/>
  <c r="AD582" i="14"/>
  <c r="AB583" i="14"/>
  <c r="AC583" i="14"/>
  <c r="AD583" i="14"/>
  <c r="AB584" i="14"/>
  <c r="AC584" i="14"/>
  <c r="AD584" i="14"/>
  <c r="AB585" i="14"/>
  <c r="AC585" i="14"/>
  <c r="AD585" i="14"/>
  <c r="AB586" i="14"/>
  <c r="AC586" i="14"/>
  <c r="AD586" i="14"/>
  <c r="AB587" i="14"/>
  <c r="AC587" i="14"/>
  <c r="AD587" i="14"/>
  <c r="AB588" i="14"/>
  <c r="AC588" i="14"/>
  <c r="AD588" i="14"/>
  <c r="AB589" i="14"/>
  <c r="AC589" i="14"/>
  <c r="AD589" i="14"/>
  <c r="AB590" i="14"/>
  <c r="AC590" i="14"/>
  <c r="AD590" i="14"/>
  <c r="AB591" i="14"/>
  <c r="AC591" i="14"/>
  <c r="AD591" i="14"/>
  <c r="AB592" i="14"/>
  <c r="AC592" i="14"/>
  <c r="AD592" i="14"/>
  <c r="AB593" i="14"/>
  <c r="AC593" i="14"/>
  <c r="AD593" i="14"/>
  <c r="AB594" i="14"/>
  <c r="AC594" i="14"/>
  <c r="AD594" i="14"/>
  <c r="AB595" i="14"/>
  <c r="AC595" i="14"/>
  <c r="AD595" i="14"/>
  <c r="AB596" i="14"/>
  <c r="AC596" i="14"/>
  <c r="AD596" i="14"/>
  <c r="AB597" i="14"/>
  <c r="AC597" i="14"/>
  <c r="AD597" i="14"/>
  <c r="AB598" i="14"/>
  <c r="AC598" i="14"/>
  <c r="AD598" i="14"/>
  <c r="AB599" i="14"/>
  <c r="AC599" i="14"/>
  <c r="AD599" i="14"/>
  <c r="AB600" i="14"/>
  <c r="AC600" i="14"/>
  <c r="AD600" i="14"/>
  <c r="AB601" i="14"/>
  <c r="AC601" i="14"/>
  <c r="AD601" i="14"/>
  <c r="AB602" i="14"/>
  <c r="AC602" i="14"/>
  <c r="AD602" i="14"/>
  <c r="AB603" i="14"/>
  <c r="AC603" i="14"/>
  <c r="AD603" i="14"/>
  <c r="AB604" i="14"/>
  <c r="AC604" i="14"/>
  <c r="AD604" i="14"/>
  <c r="AB605" i="14"/>
  <c r="AC605" i="14"/>
  <c r="AD605" i="14"/>
  <c r="AB606" i="14"/>
  <c r="AC606" i="14"/>
  <c r="AD606" i="14"/>
  <c r="AB607" i="14"/>
  <c r="AC607" i="14"/>
  <c r="AD607" i="14"/>
  <c r="AB608" i="14"/>
  <c r="AC608" i="14"/>
  <c r="AD608" i="14"/>
  <c r="AB609" i="14"/>
  <c r="AC609" i="14"/>
  <c r="AD609" i="14"/>
  <c r="AB610" i="14"/>
  <c r="AC610" i="14"/>
  <c r="AD610" i="14"/>
  <c r="AB611" i="14"/>
  <c r="AC611" i="14"/>
  <c r="AD611" i="14"/>
  <c r="AB612" i="14"/>
  <c r="AC612" i="14"/>
  <c r="AD612" i="14"/>
  <c r="AB613" i="14"/>
  <c r="AC613" i="14"/>
  <c r="AD613" i="14"/>
  <c r="AB614" i="14"/>
  <c r="AC614" i="14"/>
  <c r="AD614" i="14"/>
  <c r="AB615" i="14"/>
  <c r="AC615" i="14"/>
  <c r="AD615" i="14"/>
  <c r="AB616" i="14"/>
  <c r="AC616" i="14"/>
  <c r="AD616" i="14"/>
  <c r="AB617" i="14"/>
  <c r="AC617" i="14"/>
  <c r="AD617" i="14"/>
  <c r="AB618" i="14"/>
  <c r="AC618" i="14"/>
  <c r="AD618" i="14"/>
  <c r="AB619" i="14"/>
  <c r="AC619" i="14"/>
  <c r="AD619" i="14"/>
  <c r="AB620" i="14"/>
  <c r="AC620" i="14"/>
  <c r="AD620" i="14"/>
  <c r="AB621" i="14"/>
  <c r="AC621" i="14"/>
  <c r="AD621" i="14"/>
  <c r="AB622" i="14"/>
  <c r="AC622" i="14"/>
  <c r="AD622" i="14"/>
  <c r="AB623" i="14"/>
  <c r="AC623" i="14"/>
  <c r="AD623" i="14"/>
  <c r="AB624" i="14"/>
  <c r="AC624" i="14"/>
  <c r="AD624" i="14"/>
  <c r="AB625" i="14"/>
  <c r="AC625" i="14"/>
  <c r="AD625" i="14"/>
  <c r="AB626" i="14"/>
  <c r="AC626" i="14"/>
  <c r="AD626" i="14"/>
  <c r="AB627" i="14"/>
  <c r="AC627" i="14"/>
  <c r="AD627" i="14"/>
  <c r="AB628" i="14"/>
  <c r="AC628" i="14"/>
  <c r="AD628" i="14"/>
  <c r="AB629" i="14"/>
  <c r="AC629" i="14"/>
  <c r="AD629" i="14"/>
  <c r="AB630" i="14"/>
  <c r="AC630" i="14"/>
  <c r="AD630" i="14"/>
  <c r="AB631" i="14"/>
  <c r="AC631" i="14"/>
  <c r="AD631" i="14"/>
  <c r="AB632" i="14"/>
  <c r="AC632" i="14"/>
  <c r="AD632" i="14"/>
  <c r="AB633" i="14"/>
  <c r="AC633" i="14"/>
  <c r="AD633" i="14"/>
  <c r="AB634" i="14"/>
  <c r="AC634" i="14"/>
  <c r="AD634" i="14"/>
  <c r="AB635" i="14"/>
  <c r="AC635" i="14"/>
  <c r="AD635" i="14"/>
  <c r="AB636" i="14"/>
  <c r="AC636" i="14"/>
  <c r="AD636" i="14"/>
  <c r="AB637" i="14"/>
  <c r="AC637" i="14"/>
  <c r="AD637" i="14"/>
  <c r="AB638" i="14"/>
  <c r="AC638" i="14"/>
  <c r="AD638" i="14"/>
  <c r="AB639" i="14"/>
  <c r="AC639" i="14"/>
  <c r="AD639" i="14"/>
  <c r="AB640" i="14"/>
  <c r="AC640" i="14"/>
  <c r="AD640" i="14"/>
  <c r="AB641" i="14"/>
  <c r="AC641" i="14"/>
  <c r="AD641" i="14"/>
  <c r="AB642" i="14"/>
  <c r="AC642" i="14"/>
  <c r="AD642" i="14"/>
  <c r="AB643" i="14"/>
  <c r="AC643" i="14"/>
  <c r="AD643" i="14"/>
  <c r="AB644" i="14"/>
  <c r="AC644" i="14"/>
  <c r="AD644" i="14"/>
  <c r="AB645" i="14"/>
  <c r="AC645" i="14"/>
  <c r="AD645" i="14"/>
  <c r="AB646" i="14"/>
  <c r="AC646" i="14"/>
  <c r="AD646" i="14"/>
  <c r="AB647" i="14"/>
  <c r="AC647" i="14"/>
  <c r="AD647" i="14"/>
  <c r="AB648" i="14"/>
  <c r="AC648" i="14"/>
  <c r="AD648" i="14"/>
  <c r="AB649" i="14"/>
  <c r="AC649" i="14"/>
  <c r="AD649" i="14"/>
  <c r="AB650" i="14"/>
  <c r="AC650" i="14"/>
  <c r="AD650" i="14"/>
  <c r="AB651" i="14"/>
  <c r="AC651" i="14"/>
  <c r="AD651" i="14"/>
  <c r="AB652" i="14"/>
  <c r="AC652" i="14"/>
  <c r="AD652" i="14"/>
  <c r="AB653" i="14"/>
  <c r="AC653" i="14"/>
  <c r="AD653" i="14"/>
  <c r="AB654" i="14"/>
  <c r="AC654" i="14"/>
  <c r="AD654" i="14"/>
  <c r="AB655" i="14"/>
  <c r="AC655" i="14"/>
  <c r="AD655" i="14"/>
  <c r="AB656" i="14"/>
  <c r="AC656" i="14"/>
  <c r="AD656" i="14"/>
  <c r="AB657" i="14"/>
  <c r="AC657" i="14"/>
  <c r="AD657" i="14"/>
  <c r="AB658" i="14"/>
  <c r="AC658" i="14"/>
  <c r="AD658" i="14"/>
  <c r="AB659" i="14"/>
  <c r="AC659" i="14"/>
  <c r="AD659" i="14"/>
  <c r="AB660" i="14"/>
  <c r="AC660" i="14"/>
  <c r="AD660" i="14"/>
  <c r="AB661" i="14"/>
  <c r="AC661" i="14"/>
  <c r="AD661" i="14"/>
  <c r="AB662" i="14"/>
  <c r="AC662" i="14"/>
  <c r="AD662" i="14"/>
  <c r="AB663" i="14"/>
  <c r="AC663" i="14"/>
  <c r="AD663" i="14"/>
  <c r="AB664" i="14"/>
  <c r="AC664" i="14"/>
  <c r="AD664" i="14"/>
  <c r="AB665" i="14"/>
  <c r="AC665" i="14"/>
  <c r="AD665" i="14"/>
  <c r="AB666" i="14"/>
  <c r="AC666" i="14"/>
  <c r="AD666" i="14"/>
  <c r="AB667" i="14"/>
  <c r="AC667" i="14"/>
  <c r="AD667" i="14"/>
  <c r="AB668" i="14"/>
  <c r="AC668" i="14"/>
  <c r="AD668" i="14"/>
  <c r="AB669" i="14"/>
  <c r="AC669" i="14"/>
  <c r="AD669" i="14"/>
  <c r="AB670" i="14"/>
  <c r="AC670" i="14"/>
  <c r="AD670" i="14"/>
  <c r="AB671" i="14"/>
  <c r="AC671" i="14"/>
  <c r="AD671" i="14"/>
  <c r="AB672" i="14"/>
  <c r="AC672" i="14"/>
  <c r="AD672" i="14"/>
  <c r="AB673" i="14"/>
  <c r="AC673" i="14"/>
  <c r="AD673" i="14"/>
  <c r="AB674" i="14"/>
  <c r="AC674" i="14"/>
  <c r="AD674" i="14"/>
  <c r="AB675" i="14"/>
  <c r="AC675" i="14"/>
  <c r="AD675" i="14"/>
  <c r="AB676" i="14"/>
  <c r="AC676" i="14"/>
  <c r="AD676" i="14"/>
  <c r="AB677" i="14"/>
  <c r="AC677" i="14"/>
  <c r="AD677" i="14"/>
  <c r="AB678" i="14"/>
  <c r="AC678" i="14"/>
  <c r="AD678" i="14"/>
  <c r="AB679" i="14"/>
  <c r="AC679" i="14"/>
  <c r="AD679" i="14"/>
  <c r="AB680" i="14"/>
  <c r="AC680" i="14"/>
  <c r="AD680" i="14"/>
  <c r="AB681" i="14"/>
  <c r="AC681" i="14"/>
  <c r="AD681" i="14"/>
  <c r="AB682" i="14"/>
  <c r="AC682" i="14"/>
  <c r="AD682" i="14"/>
  <c r="AB683" i="14"/>
  <c r="AC683" i="14"/>
  <c r="AD683" i="14"/>
  <c r="AB684" i="14"/>
  <c r="AC684" i="14"/>
  <c r="AD684" i="14"/>
  <c r="AB685" i="14"/>
  <c r="AC685" i="14"/>
  <c r="AD685" i="14"/>
  <c r="AB686" i="14"/>
  <c r="AC686" i="14"/>
  <c r="AD686" i="14"/>
  <c r="AB687" i="14"/>
  <c r="AC687" i="14"/>
  <c r="AD687" i="14"/>
  <c r="AB688" i="14"/>
  <c r="AC688" i="14"/>
  <c r="AD688" i="14"/>
  <c r="AB689" i="14"/>
  <c r="AC689" i="14"/>
  <c r="AD689" i="14"/>
  <c r="AB690" i="14"/>
  <c r="AC690" i="14"/>
  <c r="AD690" i="14"/>
  <c r="AB691" i="14"/>
  <c r="AC691" i="14"/>
  <c r="AD691" i="14"/>
  <c r="AB692" i="14"/>
  <c r="AC692" i="14"/>
  <c r="AD692" i="14"/>
  <c r="AB693" i="14"/>
  <c r="AC693" i="14"/>
  <c r="AD693" i="14"/>
  <c r="AB694" i="14"/>
  <c r="AC694" i="14"/>
  <c r="AD694" i="14"/>
  <c r="AB695" i="14"/>
  <c r="AC695" i="14"/>
  <c r="AD695" i="14"/>
  <c r="AB696" i="14"/>
  <c r="AC696" i="14"/>
  <c r="AD696" i="14"/>
  <c r="AB697" i="14"/>
  <c r="AC697" i="14"/>
  <c r="AD697" i="14"/>
  <c r="AB698" i="14"/>
  <c r="AC698" i="14"/>
  <c r="AD698" i="14"/>
  <c r="AB699" i="14"/>
  <c r="AC699" i="14"/>
  <c r="AD699" i="14"/>
  <c r="AB700" i="14"/>
  <c r="AC700" i="14"/>
  <c r="AD700" i="14"/>
  <c r="AB701" i="14"/>
  <c r="AC701" i="14"/>
  <c r="AD701" i="14"/>
  <c r="AB702" i="14"/>
  <c r="AC702" i="14"/>
  <c r="AD702" i="14"/>
  <c r="AB703" i="14"/>
  <c r="AC703" i="14"/>
  <c r="AD703" i="14"/>
  <c r="AB704" i="14"/>
  <c r="AC704" i="14"/>
  <c r="AD704" i="14"/>
  <c r="AB705" i="14"/>
  <c r="AC705" i="14"/>
  <c r="AD705" i="14"/>
  <c r="AB706" i="14"/>
  <c r="AC706" i="14"/>
  <c r="AD706" i="14"/>
  <c r="AB707" i="14"/>
  <c r="AC707" i="14"/>
  <c r="AD707" i="14"/>
  <c r="AB708" i="14"/>
  <c r="AC708" i="14"/>
  <c r="AD708" i="14"/>
  <c r="AB709" i="14"/>
  <c r="AC709" i="14"/>
  <c r="AD709" i="14"/>
  <c r="AB710" i="14"/>
  <c r="AC710" i="14"/>
  <c r="AD710" i="14"/>
  <c r="AB711" i="14"/>
  <c r="AC711" i="14"/>
  <c r="AD711" i="14"/>
  <c r="AB712" i="14"/>
  <c r="AC712" i="14"/>
  <c r="AD712" i="14"/>
  <c r="AB713" i="14"/>
  <c r="AC713" i="14"/>
  <c r="AD713" i="14"/>
  <c r="AB714" i="14"/>
  <c r="AC714" i="14"/>
  <c r="AD714" i="14"/>
  <c r="AB715" i="14"/>
  <c r="AC715" i="14"/>
  <c r="AD715" i="14"/>
  <c r="AB716" i="14"/>
  <c r="AC716" i="14"/>
  <c r="AD716" i="14"/>
  <c r="AB717" i="14"/>
  <c r="AC717" i="14"/>
  <c r="AD717" i="14"/>
  <c r="AB718" i="14"/>
  <c r="AC718" i="14"/>
  <c r="AD718" i="14"/>
  <c r="AB719" i="14"/>
  <c r="AC719" i="14"/>
  <c r="AD719" i="14"/>
  <c r="AB720" i="14"/>
  <c r="AC720" i="14"/>
  <c r="AD720" i="14"/>
  <c r="AB721" i="14"/>
  <c r="AC721" i="14"/>
  <c r="AD721" i="14"/>
  <c r="AB722" i="14"/>
  <c r="AC722" i="14"/>
  <c r="AD722" i="14"/>
  <c r="AB723" i="14"/>
  <c r="AC723" i="14"/>
  <c r="AD723" i="14"/>
  <c r="AB724" i="14"/>
  <c r="AC724" i="14"/>
  <c r="AD724" i="14"/>
  <c r="AB725" i="14"/>
  <c r="AC725" i="14"/>
  <c r="AD725" i="14"/>
  <c r="AB726" i="14"/>
  <c r="AC726" i="14"/>
  <c r="AD726" i="14"/>
  <c r="AB727" i="14"/>
  <c r="AC727" i="14"/>
  <c r="AD727" i="14"/>
  <c r="AB728" i="14"/>
  <c r="AC728" i="14"/>
  <c r="AD728" i="14"/>
  <c r="AB729" i="14"/>
  <c r="AC729" i="14"/>
  <c r="AD729" i="14"/>
  <c r="AB730" i="14"/>
  <c r="AC730" i="14"/>
  <c r="AD730" i="14"/>
  <c r="AB731" i="14"/>
  <c r="AC731" i="14"/>
  <c r="AD731" i="14"/>
  <c r="AB732" i="14"/>
  <c r="AC732" i="14"/>
  <c r="AD732" i="14"/>
  <c r="AB733" i="14"/>
  <c r="AC733" i="14"/>
  <c r="AD733" i="14"/>
  <c r="AB734" i="14"/>
  <c r="AC734" i="14"/>
  <c r="AD734" i="14"/>
  <c r="AB735" i="14"/>
  <c r="AC735" i="14"/>
  <c r="AD735" i="14"/>
  <c r="AB736" i="14"/>
  <c r="AC736" i="14"/>
  <c r="AD736" i="14"/>
  <c r="AB737" i="14"/>
  <c r="AC737" i="14"/>
  <c r="AD737" i="14"/>
  <c r="AB738" i="14"/>
  <c r="AC738" i="14"/>
  <c r="AD738" i="14"/>
  <c r="AB739" i="14"/>
  <c r="AC739" i="14"/>
  <c r="AD739" i="14"/>
  <c r="AB740" i="14"/>
  <c r="AC740" i="14"/>
  <c r="AD740" i="14"/>
  <c r="AB741" i="14"/>
  <c r="AC741" i="14"/>
  <c r="AD741" i="14"/>
  <c r="AB742" i="14"/>
  <c r="AC742" i="14"/>
  <c r="AD742" i="14"/>
  <c r="AB743" i="14"/>
  <c r="AC743" i="14"/>
  <c r="AD743" i="14"/>
  <c r="AB744" i="14"/>
  <c r="AC744" i="14"/>
  <c r="AD744" i="14"/>
  <c r="AB745" i="14"/>
  <c r="AC745" i="14"/>
  <c r="AD745" i="14"/>
  <c r="AB746" i="14"/>
  <c r="AC746" i="14"/>
  <c r="AD746" i="14"/>
  <c r="AB747" i="14"/>
  <c r="AC747" i="14"/>
  <c r="AD747" i="14"/>
  <c r="AB748" i="14"/>
  <c r="AC748" i="14"/>
  <c r="AD748" i="14"/>
  <c r="AB749" i="14"/>
  <c r="AC749" i="14"/>
  <c r="AD749" i="14"/>
  <c r="AB750" i="14"/>
  <c r="AC750" i="14"/>
  <c r="AD750" i="14"/>
  <c r="AB751" i="14"/>
  <c r="AC751" i="14"/>
  <c r="AD751" i="14"/>
  <c r="AB752" i="14"/>
  <c r="AC752" i="14"/>
  <c r="AD752" i="14"/>
  <c r="AB753" i="14"/>
  <c r="AC753" i="14"/>
  <c r="AD753" i="14"/>
  <c r="AB754" i="14"/>
  <c r="AC754" i="14"/>
  <c r="AD754" i="14"/>
  <c r="AB755" i="14"/>
  <c r="AC755" i="14"/>
  <c r="AD755" i="14"/>
  <c r="AB756" i="14"/>
  <c r="AC756" i="14"/>
  <c r="AD756" i="14"/>
  <c r="AB757" i="14"/>
  <c r="AC757" i="14"/>
  <c r="AD757" i="14"/>
  <c r="AB758" i="14"/>
  <c r="AC758" i="14"/>
  <c r="AD758" i="14"/>
  <c r="AB759" i="14"/>
  <c r="AC759" i="14"/>
  <c r="AD759" i="14"/>
  <c r="AB760" i="14"/>
  <c r="AC760" i="14"/>
  <c r="AD760" i="14"/>
  <c r="AB761" i="14"/>
  <c r="AC761" i="14"/>
  <c r="AD761" i="14"/>
  <c r="AB762" i="14"/>
  <c r="AC762" i="14"/>
  <c r="AD762" i="14"/>
  <c r="AB763" i="14"/>
  <c r="AC763" i="14"/>
  <c r="AD763" i="14"/>
  <c r="AB764" i="14"/>
  <c r="AC764" i="14"/>
  <c r="AD764" i="14"/>
  <c r="AB765" i="14"/>
  <c r="AC765" i="14"/>
  <c r="AD765" i="14"/>
  <c r="AB766" i="14"/>
  <c r="AC766" i="14"/>
  <c r="AD766" i="14"/>
  <c r="AB767" i="14"/>
  <c r="AC767" i="14"/>
  <c r="AD767" i="14"/>
  <c r="AB768" i="14"/>
  <c r="AC768" i="14"/>
  <c r="AD768" i="14"/>
  <c r="Y768" i="14"/>
  <c r="Y767" i="14"/>
  <c r="Y766" i="14"/>
  <c r="Y765" i="14"/>
  <c r="Y764" i="14"/>
  <c r="Y763" i="14"/>
  <c r="Y762" i="14"/>
  <c r="Y761" i="14"/>
  <c r="Y760" i="14"/>
  <c r="Y759" i="14"/>
  <c r="Y758" i="14"/>
  <c r="Y757" i="14"/>
  <c r="Y756" i="14"/>
  <c r="Y755" i="14"/>
  <c r="Y754" i="14"/>
  <c r="Y752" i="14"/>
  <c r="Y751" i="14"/>
  <c r="Y750" i="14"/>
  <c r="Y749" i="14"/>
  <c r="Y748" i="14"/>
  <c r="Y747" i="14"/>
  <c r="Y746" i="14"/>
  <c r="Y745" i="14"/>
  <c r="Y744" i="14"/>
  <c r="Y743" i="14"/>
  <c r="Y742" i="14"/>
  <c r="Y741" i="14"/>
  <c r="Y740" i="14"/>
  <c r="Y739" i="14"/>
  <c r="Y738" i="14"/>
  <c r="Y736" i="14"/>
  <c r="Y735" i="14"/>
  <c r="Y734" i="14"/>
  <c r="Y733" i="14"/>
  <c r="Y732" i="14"/>
  <c r="Y731" i="14"/>
  <c r="Y730" i="14"/>
  <c r="Y729" i="14"/>
  <c r="Y728" i="14"/>
  <c r="Y727" i="14"/>
  <c r="Y726" i="14"/>
  <c r="Y725" i="14"/>
  <c r="Y724" i="14"/>
  <c r="Y723" i="14"/>
  <c r="Y722" i="14"/>
  <c r="Y720" i="14"/>
  <c r="Y719" i="14"/>
  <c r="Y718" i="14"/>
  <c r="Y717" i="14"/>
  <c r="Y716" i="14"/>
  <c r="Y715" i="14"/>
  <c r="Y714" i="14"/>
  <c r="Y713" i="14"/>
  <c r="Y712" i="14"/>
  <c r="Y711" i="14"/>
  <c r="Y710" i="14"/>
  <c r="Y709" i="14"/>
  <c r="Y708" i="14"/>
  <c r="Y707" i="14"/>
  <c r="Y706" i="14"/>
  <c r="Y704" i="14"/>
  <c r="Y703" i="14"/>
  <c r="Y702" i="14"/>
  <c r="Y701" i="14"/>
  <c r="Y700" i="14"/>
  <c r="Y699" i="14"/>
  <c r="Y698" i="14"/>
  <c r="Y697" i="14"/>
  <c r="Y696" i="14"/>
  <c r="Y695" i="14"/>
  <c r="Y694" i="14"/>
  <c r="Y693" i="14"/>
  <c r="Y692" i="14"/>
  <c r="Y691" i="14"/>
  <c r="Y690" i="14"/>
  <c r="Y688" i="14"/>
  <c r="Y687" i="14"/>
  <c r="Y686" i="14"/>
  <c r="Y685" i="14"/>
  <c r="Y684" i="14"/>
  <c r="Y683" i="14"/>
  <c r="Y682" i="14"/>
  <c r="Y681" i="14"/>
  <c r="Y680" i="14"/>
  <c r="Y679" i="14"/>
  <c r="Y678" i="14"/>
  <c r="Y677" i="14"/>
  <c r="Y676" i="14"/>
  <c r="Y675" i="14"/>
  <c r="Y674" i="14"/>
  <c r="Y672" i="14"/>
  <c r="Y671" i="14"/>
  <c r="Y670" i="14"/>
  <c r="Y669" i="14"/>
  <c r="Y668" i="14"/>
  <c r="Y667" i="14"/>
  <c r="Y666" i="14"/>
  <c r="Y665" i="14"/>
  <c r="Y664" i="14"/>
  <c r="Y663" i="14"/>
  <c r="Y662" i="14"/>
  <c r="Y661" i="14"/>
  <c r="Y660" i="14"/>
  <c r="Y659" i="14"/>
  <c r="Y658" i="14"/>
  <c r="Y656" i="14"/>
  <c r="Y655" i="14"/>
  <c r="Y654" i="14"/>
  <c r="Y653" i="14"/>
  <c r="Y652" i="14"/>
  <c r="Y651" i="14"/>
  <c r="Y650" i="14"/>
  <c r="Y649" i="14"/>
  <c r="Y648" i="14"/>
  <c r="Y647" i="14"/>
  <c r="Y646" i="14"/>
  <c r="Y645" i="14"/>
  <c r="Y644" i="14"/>
  <c r="Y643" i="14"/>
  <c r="Y642" i="14"/>
  <c r="Y640" i="14"/>
  <c r="Y639" i="14"/>
  <c r="Y638" i="14"/>
  <c r="Y637" i="14"/>
  <c r="Y636" i="14"/>
  <c r="Y635" i="14"/>
  <c r="Y634" i="14"/>
  <c r="Y633" i="14"/>
  <c r="Y632" i="14"/>
  <c r="Y631" i="14"/>
  <c r="Y630" i="14"/>
  <c r="Y629" i="14"/>
  <c r="Y628" i="14"/>
  <c r="Y627" i="14"/>
  <c r="Y626" i="14"/>
  <c r="Y624" i="14"/>
  <c r="Y623" i="14"/>
  <c r="Y622" i="14"/>
  <c r="Y621" i="14"/>
  <c r="Y620" i="14"/>
  <c r="Y619" i="14"/>
  <c r="Y618" i="14"/>
  <c r="Y617" i="14"/>
  <c r="Y616" i="14"/>
  <c r="Y615" i="14"/>
  <c r="Y614" i="14"/>
  <c r="Y613" i="14"/>
  <c r="Y612" i="14"/>
  <c r="Y611" i="14"/>
  <c r="Y610" i="14"/>
  <c r="Y608" i="14"/>
  <c r="Y607" i="14"/>
  <c r="Y606" i="14"/>
  <c r="Y605" i="14"/>
  <c r="Y604" i="14"/>
  <c r="Y603" i="14"/>
  <c r="Y602" i="14"/>
  <c r="Y601" i="14"/>
  <c r="Y600" i="14"/>
  <c r="Y599" i="14"/>
  <c r="Y598" i="14"/>
  <c r="Y597" i="14"/>
  <c r="Y596" i="14"/>
  <c r="Y595" i="14"/>
  <c r="Y594" i="14"/>
  <c r="Y592" i="14"/>
  <c r="Y591" i="14"/>
  <c r="Y590" i="14"/>
  <c r="Y589" i="14"/>
  <c r="Y588" i="14"/>
  <c r="Y587" i="14"/>
  <c r="Y586" i="14"/>
  <c r="Y585" i="14"/>
  <c r="Y584" i="14"/>
  <c r="Y583" i="14"/>
  <c r="Y582" i="14"/>
  <c r="Y581" i="14"/>
  <c r="Y580" i="14"/>
  <c r="Y579" i="14"/>
  <c r="Y578" i="14"/>
  <c r="Y576" i="14"/>
  <c r="Y575" i="14"/>
  <c r="Y574" i="14"/>
  <c r="Y573" i="14"/>
  <c r="Y572" i="14"/>
  <c r="Y571" i="14"/>
  <c r="Y570" i="14"/>
  <c r="Y569" i="14"/>
  <c r="Y568" i="14"/>
  <c r="Y567" i="14"/>
  <c r="Y566" i="14"/>
  <c r="Y565" i="14"/>
  <c r="Y564" i="14"/>
  <c r="Y563" i="14"/>
  <c r="Y562" i="14"/>
  <c r="Y560" i="14"/>
  <c r="Y559" i="14"/>
  <c r="Y558" i="14"/>
  <c r="Y557" i="14"/>
  <c r="Y556" i="14"/>
  <c r="Y555" i="14"/>
  <c r="Y554" i="14"/>
  <c r="Y553" i="14"/>
  <c r="Y552" i="14"/>
  <c r="Y551" i="14"/>
  <c r="Y550" i="14"/>
  <c r="Y549" i="14"/>
  <c r="Y548" i="14"/>
  <c r="Y547" i="14"/>
  <c r="Y546" i="14"/>
  <c r="Y512" i="14"/>
  <c r="Y511" i="14"/>
  <c r="Y510" i="14"/>
  <c r="Y509" i="14"/>
  <c r="Y508" i="14"/>
  <c r="Y507" i="14"/>
  <c r="Y506" i="14"/>
  <c r="Y505" i="14"/>
  <c r="Y504" i="14"/>
  <c r="Y503" i="14"/>
  <c r="Y502" i="14"/>
  <c r="Y501" i="14"/>
  <c r="Y500" i="14"/>
  <c r="Y499" i="14"/>
  <c r="Y498" i="14"/>
  <c r="Y496" i="14"/>
  <c r="Y495" i="14"/>
  <c r="Y494" i="14"/>
  <c r="Y493" i="14"/>
  <c r="Y492" i="14"/>
  <c r="Y491" i="14"/>
  <c r="Y490" i="14"/>
  <c r="Y489" i="14"/>
  <c r="Y488" i="14"/>
  <c r="Y487" i="14"/>
  <c r="Y486" i="14"/>
  <c r="Y485" i="14"/>
  <c r="Y484" i="14"/>
  <c r="Y483" i="14"/>
  <c r="Y482" i="14"/>
  <c r="Y480" i="14"/>
  <c r="Y479" i="14"/>
  <c r="Y478" i="14"/>
  <c r="Y477" i="14"/>
  <c r="Y476" i="14"/>
  <c r="Y475" i="14"/>
  <c r="Y474" i="14"/>
  <c r="Y473" i="14"/>
  <c r="Y472" i="14"/>
  <c r="Y471" i="14"/>
  <c r="Y470" i="14"/>
  <c r="Y469" i="14"/>
  <c r="Y468" i="14"/>
  <c r="Y467" i="14"/>
  <c r="Y466" i="14"/>
  <c r="Y464" i="14"/>
  <c r="Y463" i="14"/>
  <c r="Y462" i="14"/>
  <c r="Y461" i="14"/>
  <c r="Y460" i="14"/>
  <c r="Y459" i="14"/>
  <c r="Y458" i="14"/>
  <c r="Y457" i="14"/>
  <c r="Y456" i="14"/>
  <c r="Y455" i="14"/>
  <c r="Y454" i="14"/>
  <c r="Y453" i="14"/>
  <c r="Y452" i="14"/>
  <c r="Y451" i="14"/>
  <c r="Y450" i="14"/>
  <c r="Y448" i="14"/>
  <c r="Y447" i="14"/>
  <c r="Y446" i="14"/>
  <c r="Y445" i="14"/>
  <c r="Y444" i="14"/>
  <c r="Y443" i="14"/>
  <c r="Y442" i="14"/>
  <c r="Y441" i="14"/>
  <c r="Y440" i="14"/>
  <c r="Y439" i="14"/>
  <c r="Y438" i="14"/>
  <c r="Y437" i="14"/>
  <c r="Y436" i="14"/>
  <c r="Y435" i="14"/>
  <c r="Y434" i="14"/>
  <c r="Y432" i="14"/>
  <c r="Y431" i="14"/>
  <c r="Y430" i="14"/>
  <c r="Y429" i="14"/>
  <c r="Y428" i="14"/>
  <c r="Y427" i="14"/>
  <c r="Y426" i="14"/>
  <c r="Y425" i="14"/>
  <c r="Y424" i="14"/>
  <c r="Y423" i="14"/>
  <c r="Y422" i="14"/>
  <c r="Y421" i="14"/>
  <c r="Y420" i="14"/>
  <c r="Y419" i="14"/>
  <c r="Y418" i="14"/>
  <c r="Y416" i="14"/>
  <c r="Y415" i="14"/>
  <c r="Y414" i="14"/>
  <c r="Y413" i="14"/>
  <c r="Y412" i="14"/>
  <c r="Y411" i="14"/>
  <c r="Y410" i="14"/>
  <c r="Y409" i="14"/>
  <c r="Y408" i="14"/>
  <c r="Y407" i="14"/>
  <c r="Y406" i="14"/>
  <c r="Y405" i="14"/>
  <c r="Y404" i="14"/>
  <c r="Y403" i="14"/>
  <c r="Y402" i="14"/>
  <c r="Y400" i="14"/>
  <c r="Y399" i="14"/>
  <c r="Y398" i="14"/>
  <c r="Y397" i="14"/>
  <c r="Y396" i="14"/>
  <c r="Y395" i="14"/>
  <c r="Y394" i="14"/>
  <c r="Y393" i="14"/>
  <c r="Y392" i="14"/>
  <c r="Y391" i="14"/>
  <c r="Y390" i="14"/>
  <c r="Y389" i="14"/>
  <c r="Y388" i="14"/>
  <c r="Y387" i="14"/>
  <c r="Y386" i="14"/>
  <c r="Y384" i="14"/>
  <c r="Y383" i="14"/>
  <c r="Y382" i="14"/>
  <c r="Y381" i="14"/>
  <c r="Y380" i="14"/>
  <c r="Y379" i="14"/>
  <c r="Y378" i="14"/>
  <c r="Y377" i="14"/>
  <c r="Y376" i="14"/>
  <c r="Y375" i="14"/>
  <c r="Y374" i="14"/>
  <c r="Y373" i="14"/>
  <c r="Y372" i="14"/>
  <c r="Y371" i="14"/>
  <c r="Y370" i="14"/>
  <c r="Y368" i="14"/>
  <c r="Y367" i="14"/>
  <c r="Y366" i="14"/>
  <c r="Y365" i="14"/>
  <c r="Y364" i="14"/>
  <c r="Y363" i="14"/>
  <c r="Y362" i="14"/>
  <c r="Y361" i="14"/>
  <c r="Y360" i="14"/>
  <c r="Y359" i="14"/>
  <c r="Y358" i="14"/>
  <c r="Y357" i="14"/>
  <c r="Y356" i="14"/>
  <c r="Y355" i="14"/>
  <c r="Y354" i="14"/>
  <c r="Y352" i="14"/>
  <c r="Y351" i="14"/>
  <c r="Y350" i="14"/>
  <c r="Y349" i="14"/>
  <c r="Y348" i="14"/>
  <c r="Y347" i="14"/>
  <c r="Y346" i="14"/>
  <c r="Y345" i="14"/>
  <c r="Y344" i="14"/>
  <c r="Y343" i="14"/>
  <c r="Y342" i="14"/>
  <c r="Y341" i="14"/>
  <c r="Y340" i="14"/>
  <c r="Y339" i="14"/>
  <c r="Y338" i="14"/>
  <c r="Y336" i="14"/>
  <c r="Y335" i="14"/>
  <c r="Y334" i="14"/>
  <c r="Y333" i="14"/>
  <c r="Y332" i="14"/>
  <c r="Y331" i="14"/>
  <c r="Y330" i="14"/>
  <c r="Y329" i="14"/>
  <c r="Y328" i="14"/>
  <c r="Y327" i="14"/>
  <c r="Y326" i="14"/>
  <c r="Y325" i="14"/>
  <c r="Y324" i="14"/>
  <c r="Y323" i="14"/>
  <c r="Y322" i="14"/>
  <c r="Y320" i="14"/>
  <c r="Y319" i="14"/>
  <c r="Y318" i="14"/>
  <c r="Y317" i="14"/>
  <c r="Y316" i="14"/>
  <c r="Y315" i="14"/>
  <c r="Y314" i="14"/>
  <c r="Y313" i="14"/>
  <c r="Y312" i="14"/>
  <c r="Y311" i="14"/>
  <c r="Y310" i="14"/>
  <c r="Y309" i="14"/>
  <c r="Y308" i="14"/>
  <c r="Y307" i="14"/>
  <c r="Y306" i="14"/>
  <c r="Y304" i="14"/>
  <c r="Y303" i="14"/>
  <c r="Y302" i="14"/>
  <c r="Y301" i="14"/>
  <c r="Y300" i="14"/>
  <c r="Y299" i="14"/>
  <c r="Y298" i="14"/>
  <c r="Y297" i="14"/>
  <c r="Y296" i="14"/>
  <c r="Y295" i="14"/>
  <c r="Y294" i="14"/>
  <c r="Y293" i="14"/>
  <c r="Y292" i="14"/>
  <c r="Y291" i="14"/>
  <c r="Y290" i="14"/>
  <c r="Y288" i="14"/>
  <c r="Y287" i="14"/>
  <c r="Y286" i="14"/>
  <c r="Y285" i="14"/>
  <c r="Y284" i="14"/>
  <c r="Y283" i="14"/>
  <c r="Y282" i="14"/>
  <c r="Y281" i="14"/>
  <c r="Y280" i="14"/>
  <c r="Y279" i="14"/>
  <c r="Y278" i="14"/>
  <c r="Y277" i="14"/>
  <c r="Y276" i="14"/>
  <c r="Y275" i="14"/>
  <c r="Y274" i="14"/>
  <c r="Y272" i="14"/>
  <c r="Y271" i="14"/>
  <c r="Y270" i="14"/>
  <c r="Y269" i="14"/>
  <c r="Y268" i="14"/>
  <c r="Y267" i="14"/>
  <c r="Y266" i="14"/>
  <c r="Y265" i="14"/>
  <c r="Y264" i="14"/>
  <c r="Y263" i="14"/>
  <c r="Y262" i="14"/>
  <c r="Y261" i="14"/>
  <c r="Y260" i="14"/>
  <c r="Y259" i="14"/>
  <c r="Y258" i="14"/>
  <c r="Y256" i="14"/>
  <c r="Y255" i="14"/>
  <c r="Y254" i="14"/>
  <c r="Y253" i="14"/>
  <c r="Y252" i="14"/>
  <c r="Y251" i="14"/>
  <c r="Y250" i="14"/>
  <c r="Y249" i="14"/>
  <c r="Y248" i="14"/>
  <c r="Y247" i="14"/>
  <c r="Y246" i="14"/>
  <c r="Y245" i="14"/>
  <c r="Y244" i="14"/>
  <c r="Y243" i="14"/>
  <c r="Y242" i="14"/>
  <c r="Y240" i="14"/>
  <c r="Y239" i="14"/>
  <c r="Y238" i="14"/>
  <c r="Y237" i="14"/>
  <c r="Y236" i="14"/>
  <c r="Y235" i="14"/>
  <c r="Y234" i="14"/>
  <c r="Y233" i="14"/>
  <c r="Y232" i="14"/>
  <c r="Y231" i="14"/>
  <c r="Y230" i="14"/>
  <c r="Y229" i="14"/>
  <c r="Y228" i="14"/>
  <c r="Y227" i="14"/>
  <c r="Y226" i="14"/>
  <c r="Y224" i="14"/>
  <c r="Y223" i="14"/>
  <c r="Y222" i="14"/>
  <c r="Y221" i="14"/>
  <c r="Y220" i="14"/>
  <c r="Y219" i="14"/>
  <c r="Y218" i="14"/>
  <c r="Y217" i="14"/>
  <c r="Y216" i="14"/>
  <c r="Y215" i="14"/>
  <c r="Y214" i="14"/>
  <c r="Y213" i="14"/>
  <c r="Y212" i="14"/>
  <c r="Y211" i="14"/>
  <c r="Y210" i="14"/>
  <c r="Y208" i="14"/>
  <c r="Y207" i="14"/>
  <c r="Y206" i="14"/>
  <c r="Y205" i="14"/>
  <c r="Y204" i="14"/>
  <c r="Y203" i="14"/>
  <c r="Y202" i="14"/>
  <c r="Y201" i="14"/>
  <c r="Y200" i="14"/>
  <c r="Y199" i="14"/>
  <c r="Y198" i="14"/>
  <c r="Y197" i="14"/>
  <c r="Y196" i="14"/>
  <c r="Y195" i="14"/>
  <c r="Y194" i="14"/>
  <c r="Y192" i="14"/>
  <c r="Y191" i="14"/>
  <c r="Y190" i="14"/>
  <c r="Y189" i="14"/>
  <c r="Y188" i="14"/>
  <c r="Y187" i="14"/>
  <c r="Y186" i="14"/>
  <c r="Y185" i="14"/>
  <c r="Y184" i="14"/>
  <c r="Y183" i="14"/>
  <c r="Y182" i="14"/>
  <c r="Y181" i="14"/>
  <c r="Y180" i="14"/>
  <c r="Y179" i="14"/>
  <c r="Y178" i="14"/>
  <c r="Y176" i="14"/>
  <c r="Y175" i="14"/>
  <c r="Y174" i="14"/>
  <c r="Y173" i="14"/>
  <c r="Y172" i="14"/>
  <c r="Y171" i="14"/>
  <c r="Y170" i="14"/>
  <c r="Y169" i="14"/>
  <c r="Y168" i="14"/>
  <c r="Y167" i="14"/>
  <c r="Y166" i="14"/>
  <c r="Y165" i="14"/>
  <c r="Y164" i="14"/>
  <c r="Y163" i="14"/>
  <c r="Y162" i="14"/>
  <c r="Y160" i="14"/>
  <c r="Y159" i="14"/>
  <c r="Y158" i="14"/>
  <c r="Y157" i="14"/>
  <c r="Y156" i="14"/>
  <c r="Y155" i="14"/>
  <c r="Y154" i="14"/>
  <c r="Y153" i="14"/>
  <c r="Y152" i="14"/>
  <c r="Y151" i="14"/>
  <c r="Y150" i="14"/>
  <c r="Y149" i="14"/>
  <c r="Y148" i="14"/>
  <c r="Y147" i="14"/>
  <c r="Y146" i="14"/>
  <c r="Y144" i="14"/>
  <c r="Y143" i="14"/>
  <c r="Y142" i="14"/>
  <c r="Y141" i="14"/>
  <c r="Y140" i="14"/>
  <c r="Y139" i="14"/>
  <c r="Y138" i="14"/>
  <c r="Y137" i="14"/>
  <c r="Y136" i="14"/>
  <c r="Y135" i="14"/>
  <c r="Y134" i="14"/>
  <c r="Y133" i="14"/>
  <c r="Y132" i="14"/>
  <c r="Y131" i="14"/>
  <c r="Y130" i="14"/>
  <c r="Y128" i="14"/>
  <c r="Y127" i="14"/>
  <c r="Y126" i="14"/>
  <c r="Y125" i="14"/>
  <c r="Y124" i="14"/>
  <c r="Y123" i="14"/>
  <c r="Y122" i="14"/>
  <c r="Y121" i="14"/>
  <c r="Y120" i="14"/>
  <c r="Y119" i="14"/>
  <c r="Y118" i="14"/>
  <c r="Y117" i="14"/>
  <c r="Y116" i="14"/>
  <c r="Y115" i="14"/>
  <c r="Y114" i="14"/>
  <c r="Y112" i="14"/>
  <c r="Y111" i="14"/>
  <c r="Y110" i="14"/>
  <c r="Y109" i="14"/>
  <c r="Y108" i="14"/>
  <c r="Y107" i="14"/>
  <c r="Y106" i="14"/>
  <c r="Y105" i="14"/>
  <c r="Y104" i="14"/>
  <c r="Y103" i="14"/>
  <c r="Y102" i="14"/>
  <c r="Y101" i="14"/>
  <c r="Y100" i="14"/>
  <c r="Y99" i="14"/>
  <c r="Y98" i="14"/>
  <c r="Y96" i="14"/>
  <c r="Y95" i="14"/>
  <c r="Y94" i="14"/>
  <c r="Y93" i="14"/>
  <c r="Y92" i="14"/>
  <c r="Y91" i="14"/>
  <c r="Y90" i="14"/>
  <c r="Y89" i="14"/>
  <c r="Y88" i="14"/>
  <c r="Y87" i="14"/>
  <c r="Y86" i="14"/>
  <c r="Y85" i="14"/>
  <c r="Y84" i="14"/>
  <c r="Y83" i="14"/>
  <c r="Y82" i="14"/>
  <c r="Y80" i="14"/>
  <c r="Y79" i="14"/>
  <c r="Y78" i="14"/>
  <c r="Y77" i="14"/>
  <c r="Y76" i="14"/>
  <c r="Y75" i="14"/>
  <c r="Y74" i="14"/>
  <c r="Y73" i="14"/>
  <c r="Y72" i="14"/>
  <c r="Y71" i="14"/>
  <c r="Y70" i="14"/>
  <c r="Y69" i="14"/>
  <c r="Y68" i="14"/>
  <c r="Y67" i="14"/>
  <c r="Y66" i="14"/>
  <c r="Y64" i="14"/>
  <c r="Y63" i="14"/>
  <c r="Y62" i="14"/>
  <c r="Y61" i="14"/>
  <c r="Y60" i="14"/>
  <c r="Y59" i="14"/>
  <c r="Y58" i="14"/>
  <c r="Y57" i="14"/>
  <c r="Y56" i="14"/>
  <c r="Y55" i="14"/>
  <c r="Y54" i="14"/>
  <c r="Y53" i="14"/>
  <c r="Y52" i="14"/>
  <c r="Y51" i="14"/>
  <c r="Y50" i="14"/>
  <c r="Y48" i="14"/>
  <c r="Y47" i="14"/>
  <c r="Y46" i="14"/>
  <c r="Y45" i="14"/>
  <c r="Y44" i="14"/>
  <c r="Y43" i="14"/>
  <c r="Y42" i="14"/>
  <c r="Y41" i="14"/>
  <c r="Y40" i="14"/>
  <c r="Y39" i="14"/>
  <c r="Y38" i="14"/>
  <c r="Y37" i="14"/>
  <c r="Y36" i="14"/>
  <c r="Y35" i="14"/>
  <c r="Y34" i="14"/>
  <c r="Y32" i="14"/>
  <c r="Y31" i="14"/>
  <c r="Y30" i="14"/>
  <c r="Y29" i="14"/>
  <c r="Y28" i="14"/>
  <c r="Y27" i="14"/>
  <c r="Y26" i="14"/>
  <c r="Y25" i="14"/>
  <c r="Y24" i="14"/>
  <c r="Y23" i="14"/>
  <c r="Y22" i="14"/>
  <c r="Y21" i="14"/>
  <c r="Y20" i="14"/>
  <c r="Y19" i="14"/>
  <c r="Y18" i="14"/>
  <c r="Y16" i="14"/>
  <c r="Y15" i="14"/>
  <c r="Y14" i="14"/>
  <c r="Y13" i="14"/>
  <c r="Y12" i="14"/>
  <c r="Y11" i="14"/>
  <c r="Y10" i="14"/>
  <c r="Y9" i="14"/>
  <c r="Y8" i="14"/>
  <c r="Y7" i="14"/>
  <c r="Y6" i="14"/>
  <c r="Y5" i="14"/>
  <c r="Y4" i="14"/>
  <c r="Y3" i="14"/>
  <c r="Y2" i="14"/>
  <c r="Y528" i="14"/>
  <c r="Y527" i="14"/>
  <c r="Y526" i="14"/>
  <c r="Y525" i="14"/>
  <c r="Y524" i="14"/>
  <c r="Y523" i="14"/>
  <c r="Y522" i="14"/>
  <c r="Y521" i="14"/>
  <c r="Y520" i="14"/>
  <c r="Y519" i="14"/>
  <c r="Y518" i="14"/>
  <c r="Y517" i="14"/>
  <c r="Y516" i="14"/>
  <c r="Y515" i="14"/>
  <c r="Y514" i="14"/>
  <c r="Y544" i="14"/>
  <c r="Y543" i="14"/>
  <c r="Y542" i="14"/>
  <c r="Y541" i="14"/>
  <c r="Y540" i="14"/>
  <c r="Y539" i="14"/>
  <c r="Y538" i="14"/>
  <c r="Y537" i="14"/>
  <c r="Y536" i="14"/>
  <c r="Y535" i="14"/>
  <c r="Y534" i="14"/>
  <c r="Y533" i="14"/>
  <c r="Y532" i="14"/>
  <c r="Y531" i="14"/>
  <c r="Y530" i="14"/>
  <c r="A60" i="1"/>
  <c r="U2" i="6" a="1"/>
  <c r="U2" i="6" s="1"/>
  <c r="A59" i="1"/>
  <c r="A31" i="1"/>
  <c r="A39" i="1"/>
  <c r="A38" i="1"/>
  <c r="A37" i="1"/>
  <c r="A36" i="1"/>
  <c r="A18" i="1"/>
  <c r="A3" i="1"/>
  <c r="A28" i="1"/>
  <c r="A23" i="1"/>
  <c r="A8" i="1"/>
  <c r="A43" i="1"/>
  <c r="A32" i="1"/>
  <c r="A17" i="1"/>
  <c r="A57" i="1"/>
  <c r="A46" i="1"/>
  <c r="A9" i="1"/>
  <c r="A13" i="1"/>
  <c r="A21" i="1"/>
  <c r="A35" i="1"/>
  <c r="A11" i="1"/>
  <c r="A20" i="1"/>
  <c r="A49" i="1"/>
  <c r="A7" i="1"/>
  <c r="A53" i="1"/>
  <c r="A5" i="1"/>
  <c r="A25" i="1"/>
  <c r="A12" i="1"/>
  <c r="A30" i="1"/>
  <c r="A24" i="1"/>
  <c r="A42" i="1"/>
  <c r="A26" i="1"/>
  <c r="A48" i="1"/>
  <c r="A10" i="1"/>
  <c r="A51" i="1"/>
  <c r="A55" i="1"/>
  <c r="A2" i="1"/>
  <c r="A34" i="1"/>
  <c r="A4" i="1"/>
  <c r="A41" i="1"/>
  <c r="A58" i="1"/>
  <c r="A56" i="1"/>
  <c r="A45" i="1"/>
  <c r="A44" i="1"/>
  <c r="A47" i="1"/>
  <c r="A50" i="1"/>
  <c r="A22" i="1"/>
  <c r="A14" i="1"/>
  <c r="A15" i="1"/>
  <c r="A61" i="1"/>
  <c r="A6" i="1"/>
  <c r="A54" i="1"/>
  <c r="A29" i="1"/>
  <c r="A33" i="1"/>
  <c r="A16" i="1"/>
  <c r="A19" i="1"/>
  <c r="A27" i="1"/>
  <c r="B2" i="5" a="1"/>
  <c r="B2" i="5" s="1"/>
  <c r="H23" i="6" a="1"/>
  <c r="H23" i="6" s="1"/>
  <c r="AV2" i="6" a="1"/>
  <c r="AV2" i="6" s="1"/>
  <c r="BI6" i="6" a="1"/>
  <c r="BI6" i="6" s="1"/>
  <c r="BJ6" i="6" a="1"/>
  <c r="BJ6" i="6" s="1"/>
  <c r="BK6" i="6" a="1"/>
  <c r="BK6" i="6" s="1"/>
  <c r="BL6" i="6" a="1"/>
  <c r="BL6" i="6" s="1"/>
  <c r="BM6" i="6" a="1"/>
  <c r="BM6" i="6" s="1"/>
  <c r="BM2" i="6" a="1"/>
  <c r="BM2" i="6" s="1"/>
  <c r="BL2" i="6" a="1"/>
  <c r="BL2" i="6" s="1"/>
  <c r="BK2" i="6" a="1"/>
  <c r="BK2" i="6" s="1"/>
  <c r="BJ2" i="6" a="1"/>
  <c r="BJ2" i="6" s="1"/>
  <c r="BI2" i="6" a="1"/>
  <c r="BI2" i="6" s="1"/>
  <c r="BH2" i="6" a="1"/>
  <c r="BH2" i="6" s="1"/>
  <c r="BG2" i="6" a="1"/>
  <c r="BG2" i="6" s="1"/>
  <c r="BF2" i="6" a="1"/>
  <c r="BF2" i="6" s="1"/>
  <c r="BE2" i="6" a="1"/>
  <c r="BE2" i="6" s="1"/>
  <c r="BD2" i="6" a="1"/>
  <c r="BD2" i="6" s="1"/>
  <c r="BC2" i="6" a="1"/>
  <c r="BC2" i="6" s="1"/>
  <c r="BB2" i="6" a="1"/>
  <c r="BB2" i="6" s="1"/>
  <c r="BA2" i="6" a="1"/>
  <c r="BA2" i="6" s="1"/>
  <c r="AZ2" i="6" a="1"/>
  <c r="AZ2" i="6" s="1"/>
  <c r="B2" i="22" a="1"/>
  <c r="B2" i="22" s="1"/>
  <c r="C2" i="22" s="1" a="1"/>
  <c r="C2" i="22" s="1"/>
  <c r="B2" i="20" a="1"/>
  <c r="B2" i="20" s="1"/>
  <c r="C2" i="20" s="1" a="1"/>
  <c r="C2" i="20" s="1"/>
  <c r="AF498" i="20" l="1"/>
  <c r="AG498" i="20"/>
  <c r="AH498" i="20"/>
  <c r="AF499" i="20"/>
  <c r="AG499" i="20"/>
  <c r="AH499" i="20"/>
  <c r="AF500" i="20"/>
  <c r="AG500" i="20"/>
  <c r="AH500" i="20"/>
  <c r="AF501" i="20"/>
  <c r="AG501" i="20"/>
  <c r="AH501" i="20"/>
  <c r="AF502" i="20"/>
  <c r="AG502" i="20"/>
  <c r="AH502" i="20"/>
  <c r="AF503" i="20"/>
  <c r="AG503" i="20"/>
  <c r="AH503" i="20"/>
  <c r="AF504" i="20"/>
  <c r="AG504" i="20"/>
  <c r="AH504" i="20"/>
  <c r="AF505" i="20"/>
  <c r="AG505" i="20"/>
  <c r="AH505" i="20"/>
  <c r="AF506" i="20"/>
  <c r="AG506" i="20"/>
  <c r="AH506" i="20"/>
  <c r="AF507" i="20"/>
  <c r="AG507" i="20"/>
  <c r="AH507" i="20"/>
  <c r="AF508" i="20"/>
  <c r="AG508" i="20"/>
  <c r="AH508" i="20"/>
  <c r="AF509" i="20"/>
  <c r="AG509" i="20"/>
  <c r="AH509" i="20"/>
  <c r="AF510" i="20"/>
  <c r="AG510" i="20"/>
  <c r="AH510" i="20"/>
  <c r="AF511" i="20"/>
  <c r="AG511" i="20"/>
  <c r="AH511" i="20"/>
  <c r="AF512" i="20"/>
  <c r="AG512" i="20"/>
  <c r="AH512" i="20"/>
  <c r="AF768" i="20"/>
  <c r="AG768" i="20"/>
  <c r="AH768" i="20"/>
  <c r="AF767" i="20"/>
  <c r="AG767" i="20"/>
  <c r="AH767" i="20"/>
  <c r="AF766" i="20"/>
  <c r="AG766" i="20"/>
  <c r="AH766" i="20"/>
  <c r="AF765" i="20"/>
  <c r="AG765" i="20"/>
  <c r="AH765" i="20"/>
  <c r="AF764" i="20"/>
  <c r="AG764" i="20"/>
  <c r="AH764" i="20"/>
  <c r="AF763" i="20"/>
  <c r="AG763" i="20"/>
  <c r="AH763" i="20"/>
  <c r="AF762" i="20"/>
  <c r="AG762" i="20"/>
  <c r="AH762" i="20"/>
  <c r="AF761" i="20"/>
  <c r="AG761" i="20"/>
  <c r="AH761" i="20"/>
  <c r="AF760" i="20"/>
  <c r="AG760" i="20"/>
  <c r="AH760" i="20"/>
  <c r="AF759" i="20"/>
  <c r="AG759" i="20"/>
  <c r="AH759" i="20"/>
  <c r="AF758" i="20"/>
  <c r="AG758" i="20"/>
  <c r="AH758" i="20"/>
  <c r="AF757" i="20"/>
  <c r="AG757" i="20"/>
  <c r="AH757" i="20"/>
  <c r="AF756" i="20"/>
  <c r="AG756" i="20"/>
  <c r="AH756" i="20"/>
  <c r="AF755" i="20"/>
  <c r="AG755" i="20"/>
  <c r="AH755" i="20"/>
  <c r="AF754" i="20"/>
  <c r="AG754" i="20"/>
  <c r="AH754" i="20"/>
  <c r="AF752" i="20"/>
  <c r="AG752" i="20"/>
  <c r="AH752" i="20"/>
  <c r="AF751" i="20"/>
  <c r="AG751" i="20"/>
  <c r="AH751" i="20"/>
  <c r="AF750" i="20"/>
  <c r="AG750" i="20"/>
  <c r="AH750" i="20"/>
  <c r="AF749" i="20"/>
  <c r="AG749" i="20"/>
  <c r="AH749" i="20"/>
  <c r="AF748" i="20"/>
  <c r="AG748" i="20"/>
  <c r="AH748" i="20"/>
  <c r="AF747" i="20"/>
  <c r="AG747" i="20"/>
  <c r="AH747" i="20"/>
  <c r="AF746" i="20"/>
  <c r="AG746" i="20"/>
  <c r="AH746" i="20"/>
  <c r="AF745" i="20"/>
  <c r="AG745" i="20"/>
  <c r="AH745" i="20"/>
  <c r="AF744" i="20"/>
  <c r="AG744" i="20"/>
  <c r="AH744" i="20"/>
  <c r="AF743" i="20"/>
  <c r="AG743" i="20"/>
  <c r="AH743" i="20"/>
  <c r="AF742" i="20"/>
  <c r="AG742" i="20"/>
  <c r="AH742" i="20"/>
  <c r="AF741" i="20"/>
  <c r="AG741" i="20"/>
  <c r="AH741" i="20"/>
  <c r="AF740" i="20"/>
  <c r="AG740" i="20"/>
  <c r="AH740" i="20"/>
  <c r="AF739" i="20"/>
  <c r="AG739" i="20"/>
  <c r="AH739" i="20"/>
  <c r="AF738" i="20"/>
  <c r="AG738" i="20"/>
  <c r="AH738" i="20"/>
  <c r="AF672" i="20"/>
  <c r="AG672" i="20"/>
  <c r="AH672" i="20"/>
  <c r="AF671" i="20"/>
  <c r="AG671" i="20"/>
  <c r="AH671" i="20"/>
  <c r="AF670" i="20"/>
  <c r="AG670" i="20"/>
  <c r="AH670" i="20"/>
  <c r="AF669" i="20"/>
  <c r="AG669" i="20"/>
  <c r="AH669" i="20"/>
  <c r="AF668" i="20"/>
  <c r="AG668" i="20"/>
  <c r="AH668" i="20"/>
  <c r="AF667" i="20"/>
  <c r="AG667" i="20"/>
  <c r="AH667" i="20"/>
  <c r="AF666" i="20"/>
  <c r="AG666" i="20"/>
  <c r="AH666" i="20"/>
  <c r="AF665" i="20"/>
  <c r="AG665" i="20"/>
  <c r="AH665" i="20"/>
  <c r="AF664" i="20"/>
  <c r="AG664" i="20"/>
  <c r="AH664" i="20"/>
  <c r="AF663" i="20"/>
  <c r="AG663" i="20"/>
  <c r="AH663" i="20"/>
  <c r="AF662" i="20"/>
  <c r="AG662" i="20"/>
  <c r="AH662" i="20"/>
  <c r="AF661" i="20"/>
  <c r="AG661" i="20"/>
  <c r="AH661" i="20"/>
  <c r="AF660" i="20"/>
  <c r="AG660" i="20"/>
  <c r="AH660" i="20"/>
  <c r="AF659" i="20"/>
  <c r="AG659" i="20"/>
  <c r="AH659" i="20"/>
  <c r="AF658" i="20"/>
  <c r="AG658" i="20"/>
  <c r="AH658" i="20"/>
  <c r="AF304" i="20"/>
  <c r="AG304" i="20"/>
  <c r="AH304" i="20"/>
  <c r="AF303" i="20"/>
  <c r="AG303" i="20"/>
  <c r="AH303" i="20"/>
  <c r="AF302" i="20"/>
  <c r="AG302" i="20"/>
  <c r="AH302" i="20"/>
  <c r="AF301" i="20"/>
  <c r="AG301" i="20"/>
  <c r="AH301" i="20"/>
  <c r="AF300" i="20"/>
  <c r="AG300" i="20"/>
  <c r="AH300" i="20"/>
  <c r="AF299" i="20"/>
  <c r="AG299" i="20"/>
  <c r="AH299" i="20"/>
  <c r="AF298" i="20"/>
  <c r="AG298" i="20"/>
  <c r="AH298" i="20"/>
  <c r="AF297" i="20"/>
  <c r="AG297" i="20"/>
  <c r="AH297" i="20"/>
  <c r="AF296" i="20"/>
  <c r="AG296" i="20"/>
  <c r="AH296" i="20"/>
  <c r="AF295" i="20"/>
  <c r="AG295" i="20"/>
  <c r="AH295" i="20"/>
  <c r="AF294" i="20"/>
  <c r="AG294" i="20"/>
  <c r="AH294" i="20"/>
  <c r="AF293" i="20"/>
  <c r="AG293" i="20"/>
  <c r="AH293" i="20"/>
  <c r="AF292" i="20"/>
  <c r="AG292" i="20"/>
  <c r="AH292" i="20"/>
  <c r="AF291" i="20"/>
  <c r="AG291" i="20"/>
  <c r="AH291" i="20"/>
  <c r="AF290" i="20"/>
  <c r="AG290" i="20"/>
  <c r="AH290" i="20"/>
  <c r="AF272" i="20"/>
  <c r="AG272" i="20"/>
  <c r="AH272" i="20"/>
  <c r="AF271" i="20"/>
  <c r="AG271" i="20"/>
  <c r="AH271" i="20"/>
  <c r="AF270" i="20"/>
  <c r="AG270" i="20"/>
  <c r="AH270" i="20"/>
  <c r="AF269" i="20"/>
  <c r="AG269" i="20"/>
  <c r="AH269" i="20"/>
  <c r="AF268" i="20"/>
  <c r="AG268" i="20"/>
  <c r="AH268" i="20"/>
  <c r="AF267" i="20"/>
  <c r="AG267" i="20"/>
  <c r="AH267" i="20"/>
  <c r="AF266" i="20"/>
  <c r="AG266" i="20"/>
  <c r="AH266" i="20"/>
  <c r="AF265" i="20"/>
  <c r="AG265" i="20"/>
  <c r="AH265" i="20"/>
  <c r="AF264" i="20"/>
  <c r="AG264" i="20"/>
  <c r="AH264" i="20"/>
  <c r="AF263" i="20"/>
  <c r="AG263" i="20"/>
  <c r="AH263" i="20"/>
  <c r="AF262" i="20"/>
  <c r="AG262" i="20"/>
  <c r="AH262" i="20"/>
  <c r="AF261" i="20"/>
  <c r="AG261" i="20"/>
  <c r="AH261" i="20"/>
  <c r="AF260" i="20"/>
  <c r="AG260" i="20"/>
  <c r="AH260" i="20"/>
  <c r="AF259" i="20"/>
  <c r="AG259" i="20"/>
  <c r="AH259" i="20"/>
  <c r="AF258" i="20"/>
  <c r="AG258" i="20"/>
  <c r="AH258" i="20"/>
  <c r="AF288" i="20"/>
  <c r="AG288" i="20"/>
  <c r="AH288" i="20"/>
  <c r="AF287" i="20"/>
  <c r="AG287" i="20"/>
  <c r="AH287" i="20"/>
  <c r="AF286" i="20"/>
  <c r="AG286" i="20"/>
  <c r="AH286" i="20"/>
  <c r="AF285" i="20"/>
  <c r="AG285" i="20"/>
  <c r="AH285" i="20"/>
  <c r="AF284" i="20"/>
  <c r="AG284" i="20"/>
  <c r="AH284" i="20"/>
  <c r="AF283" i="20"/>
  <c r="AG283" i="20"/>
  <c r="AH283" i="20"/>
  <c r="AF282" i="20"/>
  <c r="AG282" i="20"/>
  <c r="AH282" i="20"/>
  <c r="AF281" i="20"/>
  <c r="AG281" i="20"/>
  <c r="AH281" i="20"/>
  <c r="AF280" i="20"/>
  <c r="AG280" i="20"/>
  <c r="AH280" i="20"/>
  <c r="AF279" i="20"/>
  <c r="AG279" i="20"/>
  <c r="AH279" i="20"/>
  <c r="AF278" i="20"/>
  <c r="AG278" i="20"/>
  <c r="AH278" i="20"/>
  <c r="AF277" i="20"/>
  <c r="AG277" i="20"/>
  <c r="AH277" i="20"/>
  <c r="AF276" i="20"/>
  <c r="AG276" i="20"/>
  <c r="AH276" i="20"/>
  <c r="AF275" i="20"/>
  <c r="AG275" i="20"/>
  <c r="AH275" i="20"/>
  <c r="AF274" i="20"/>
  <c r="AG274" i="20"/>
  <c r="AH274" i="20"/>
  <c r="AF736" i="20"/>
  <c r="AG736" i="20"/>
  <c r="AH736" i="20"/>
  <c r="AF735" i="20"/>
  <c r="AG735" i="20"/>
  <c r="AH735" i="20"/>
  <c r="AF734" i="20"/>
  <c r="AG734" i="20"/>
  <c r="AH734" i="20"/>
  <c r="AF733" i="20"/>
  <c r="AG733" i="20"/>
  <c r="AH733" i="20"/>
  <c r="AF732" i="20"/>
  <c r="AG732" i="20"/>
  <c r="AH732" i="20"/>
  <c r="AF731" i="20"/>
  <c r="AG731" i="20"/>
  <c r="AH731" i="20"/>
  <c r="AF730" i="20"/>
  <c r="AG730" i="20"/>
  <c r="AH730" i="20"/>
  <c r="AF729" i="20"/>
  <c r="AG729" i="20"/>
  <c r="AH729" i="20"/>
  <c r="AF728" i="20"/>
  <c r="AG728" i="20"/>
  <c r="AH728" i="20"/>
  <c r="AF727" i="20"/>
  <c r="AG727" i="20"/>
  <c r="AH727" i="20"/>
  <c r="AF726" i="20"/>
  <c r="AG726" i="20"/>
  <c r="AH726" i="20"/>
  <c r="AF725" i="20"/>
  <c r="AG725" i="20"/>
  <c r="AH725" i="20"/>
  <c r="AF724" i="20"/>
  <c r="AG724" i="20"/>
  <c r="AH724" i="20"/>
  <c r="AF723" i="20"/>
  <c r="AG723" i="20"/>
  <c r="AH723" i="20"/>
  <c r="AF722" i="20"/>
  <c r="AG722" i="20"/>
  <c r="AH722" i="20"/>
  <c r="AF720" i="20"/>
  <c r="AG720" i="20"/>
  <c r="AH720" i="20"/>
  <c r="AF719" i="20"/>
  <c r="AG719" i="20"/>
  <c r="AH719" i="20"/>
  <c r="AF718" i="20"/>
  <c r="AG718" i="20"/>
  <c r="AH718" i="20"/>
  <c r="AF717" i="20"/>
  <c r="AG717" i="20"/>
  <c r="AH717" i="20"/>
  <c r="AF716" i="20"/>
  <c r="AG716" i="20"/>
  <c r="AH716" i="20"/>
  <c r="AF715" i="20"/>
  <c r="AG715" i="20"/>
  <c r="AH715" i="20"/>
  <c r="AF714" i="20"/>
  <c r="AG714" i="20"/>
  <c r="AH714" i="20"/>
  <c r="AF713" i="20"/>
  <c r="AG713" i="20"/>
  <c r="AH713" i="20"/>
  <c r="AF712" i="20"/>
  <c r="AG712" i="20"/>
  <c r="AH712" i="20"/>
  <c r="AF711" i="20"/>
  <c r="AG711" i="20"/>
  <c r="AH711" i="20"/>
  <c r="AF710" i="20"/>
  <c r="AG710" i="20"/>
  <c r="AH710" i="20"/>
  <c r="AF709" i="20"/>
  <c r="AG709" i="20"/>
  <c r="AH709" i="20"/>
  <c r="AF708" i="20"/>
  <c r="AG708" i="20"/>
  <c r="AH708" i="20"/>
  <c r="AF707" i="20"/>
  <c r="AG707" i="20"/>
  <c r="AH707" i="20"/>
  <c r="AF706" i="20"/>
  <c r="AG706" i="20"/>
  <c r="AH706" i="20"/>
  <c r="AF656" i="20"/>
  <c r="AG656" i="20"/>
  <c r="AH656" i="20"/>
  <c r="AF655" i="20"/>
  <c r="AG655" i="20"/>
  <c r="AH655" i="20"/>
  <c r="AF654" i="20"/>
  <c r="AG654" i="20"/>
  <c r="AH654" i="20"/>
  <c r="AF653" i="20"/>
  <c r="AG653" i="20"/>
  <c r="AH653" i="20"/>
  <c r="AF652" i="20"/>
  <c r="AG652" i="20"/>
  <c r="AH652" i="20"/>
  <c r="AF651" i="20"/>
  <c r="AG651" i="20"/>
  <c r="AH651" i="20"/>
  <c r="AF650" i="20"/>
  <c r="AG650" i="20"/>
  <c r="AH650" i="20"/>
  <c r="AF649" i="20"/>
  <c r="AG649" i="20"/>
  <c r="AH649" i="20"/>
  <c r="AF648" i="20"/>
  <c r="AG648" i="20"/>
  <c r="AH648" i="20"/>
  <c r="AF647" i="20"/>
  <c r="AG647" i="20"/>
  <c r="AH647" i="20"/>
  <c r="AF646" i="20"/>
  <c r="AG646" i="20"/>
  <c r="AH646" i="20"/>
  <c r="AF645" i="20"/>
  <c r="AG645" i="20"/>
  <c r="AH645" i="20"/>
  <c r="AF644" i="20"/>
  <c r="AG644" i="20"/>
  <c r="AH644" i="20"/>
  <c r="AF643" i="20"/>
  <c r="AG643" i="20"/>
  <c r="AH643" i="20"/>
  <c r="AF642" i="20"/>
  <c r="AG642" i="20"/>
  <c r="AH642" i="20"/>
  <c r="AF464" i="20"/>
  <c r="AG464" i="20"/>
  <c r="AH464" i="20"/>
  <c r="AF463" i="20"/>
  <c r="AG463" i="20"/>
  <c r="AH463" i="20"/>
  <c r="AF462" i="20"/>
  <c r="AG462" i="20"/>
  <c r="AH462" i="20"/>
  <c r="AF461" i="20"/>
  <c r="AG461" i="20"/>
  <c r="AH461" i="20"/>
  <c r="AF460" i="20"/>
  <c r="AG460" i="20"/>
  <c r="AH460" i="20"/>
  <c r="AF459" i="20"/>
  <c r="AG459" i="20"/>
  <c r="AH459" i="20"/>
  <c r="AF458" i="20"/>
  <c r="AG458" i="20"/>
  <c r="AH458" i="20"/>
  <c r="AF457" i="20"/>
  <c r="AG457" i="20"/>
  <c r="AH457" i="20"/>
  <c r="AF456" i="20"/>
  <c r="AG456" i="20"/>
  <c r="AH456" i="20"/>
  <c r="AF455" i="20"/>
  <c r="AG455" i="20"/>
  <c r="AH455" i="20"/>
  <c r="AF454" i="20"/>
  <c r="AG454" i="20"/>
  <c r="AH454" i="20"/>
  <c r="AF453" i="20"/>
  <c r="AG453" i="20"/>
  <c r="AH453" i="20"/>
  <c r="AF452" i="20"/>
  <c r="AG452" i="20"/>
  <c r="AH452" i="20"/>
  <c r="AF451" i="20"/>
  <c r="AG451" i="20"/>
  <c r="AH451" i="20"/>
  <c r="AF450" i="20"/>
  <c r="AG450" i="20"/>
  <c r="AH450" i="20"/>
  <c r="AF480" i="20"/>
  <c r="AG480" i="20"/>
  <c r="AH480" i="20"/>
  <c r="AF479" i="20"/>
  <c r="AG479" i="20"/>
  <c r="AH479" i="20"/>
  <c r="AF478" i="20"/>
  <c r="AG478" i="20"/>
  <c r="AH478" i="20"/>
  <c r="AF477" i="20"/>
  <c r="AG477" i="20"/>
  <c r="AH477" i="20"/>
  <c r="AF476" i="20"/>
  <c r="AG476" i="20"/>
  <c r="AH476" i="20"/>
  <c r="AF475" i="20"/>
  <c r="AG475" i="20"/>
  <c r="AH475" i="20"/>
  <c r="AF474" i="20"/>
  <c r="AG474" i="20"/>
  <c r="AH474" i="20"/>
  <c r="AF473" i="20"/>
  <c r="AG473" i="20"/>
  <c r="AH473" i="20"/>
  <c r="AF472" i="20"/>
  <c r="AG472" i="20"/>
  <c r="AH472" i="20"/>
  <c r="AF471" i="20"/>
  <c r="AG471" i="20"/>
  <c r="AH471" i="20"/>
  <c r="AF470" i="20"/>
  <c r="AG470" i="20"/>
  <c r="AH470" i="20"/>
  <c r="AF469" i="20"/>
  <c r="AG469" i="20"/>
  <c r="AH469" i="20"/>
  <c r="AF468" i="20"/>
  <c r="AG468" i="20"/>
  <c r="AH468" i="20"/>
  <c r="AF467" i="20"/>
  <c r="AG467" i="20"/>
  <c r="AH467" i="20"/>
  <c r="AF466" i="20"/>
  <c r="AG466" i="20"/>
  <c r="AH466" i="20"/>
  <c r="AF608" i="20"/>
  <c r="AG608" i="20"/>
  <c r="AH608" i="20"/>
  <c r="AF607" i="20"/>
  <c r="AG607" i="20"/>
  <c r="AH607" i="20"/>
  <c r="AF606" i="20"/>
  <c r="AG606" i="20"/>
  <c r="AH606" i="20"/>
  <c r="AF605" i="20"/>
  <c r="AG605" i="20"/>
  <c r="AH605" i="20"/>
  <c r="AF604" i="20"/>
  <c r="AG604" i="20"/>
  <c r="AH604" i="20"/>
  <c r="AF603" i="20"/>
  <c r="AG603" i="20"/>
  <c r="AH603" i="20"/>
  <c r="AF602" i="20"/>
  <c r="AG602" i="20"/>
  <c r="AH602" i="20"/>
  <c r="AF601" i="20"/>
  <c r="AG601" i="20"/>
  <c r="AH601" i="20"/>
  <c r="AF600" i="20"/>
  <c r="AG600" i="20"/>
  <c r="AH600" i="20"/>
  <c r="AF599" i="20"/>
  <c r="AG599" i="20"/>
  <c r="AH599" i="20"/>
  <c r="AF598" i="20"/>
  <c r="AG598" i="20"/>
  <c r="AH598" i="20"/>
  <c r="AF597" i="20"/>
  <c r="AG597" i="20"/>
  <c r="AH597" i="20"/>
  <c r="AF596" i="20"/>
  <c r="AG596" i="20"/>
  <c r="AH596" i="20"/>
  <c r="AF595" i="20"/>
  <c r="AG595" i="20"/>
  <c r="AH595" i="20"/>
  <c r="AF594" i="20"/>
  <c r="AG594" i="20"/>
  <c r="AH594" i="20"/>
  <c r="AF576" i="20"/>
  <c r="AG576" i="20"/>
  <c r="AH576" i="20"/>
  <c r="AF575" i="20"/>
  <c r="AG575" i="20"/>
  <c r="AH575" i="20"/>
  <c r="AF574" i="20"/>
  <c r="AG574" i="20"/>
  <c r="AH574" i="20"/>
  <c r="AF573" i="20"/>
  <c r="AG573" i="20"/>
  <c r="AH573" i="20"/>
  <c r="AF572" i="20"/>
  <c r="AG572" i="20"/>
  <c r="AH572" i="20"/>
  <c r="AF571" i="20"/>
  <c r="AG571" i="20"/>
  <c r="AH571" i="20"/>
  <c r="AF570" i="20"/>
  <c r="AG570" i="20"/>
  <c r="AH570" i="20"/>
  <c r="AF569" i="20"/>
  <c r="AG569" i="20"/>
  <c r="AH569" i="20"/>
  <c r="AF568" i="20"/>
  <c r="AG568" i="20"/>
  <c r="AH568" i="20"/>
  <c r="AF567" i="20"/>
  <c r="AG567" i="20"/>
  <c r="AH567" i="20"/>
  <c r="AF566" i="20"/>
  <c r="AG566" i="20"/>
  <c r="AH566" i="20"/>
  <c r="AF565" i="20"/>
  <c r="AG565" i="20"/>
  <c r="AH565" i="20"/>
  <c r="AF564" i="20"/>
  <c r="AG564" i="20"/>
  <c r="AH564" i="20"/>
  <c r="AF563" i="20"/>
  <c r="AG563" i="20"/>
  <c r="AH563" i="20"/>
  <c r="AF562" i="20"/>
  <c r="AG562" i="20"/>
  <c r="AH562" i="20"/>
  <c r="AF448" i="20"/>
  <c r="AG448" i="20"/>
  <c r="AH448" i="20"/>
  <c r="AF447" i="20"/>
  <c r="AG447" i="20"/>
  <c r="AH447" i="20"/>
  <c r="AF446" i="20"/>
  <c r="AG446" i="20"/>
  <c r="AH446" i="20"/>
  <c r="AF445" i="20"/>
  <c r="AG445" i="20"/>
  <c r="AH445" i="20"/>
  <c r="AF444" i="20"/>
  <c r="AG444" i="20"/>
  <c r="AH444" i="20"/>
  <c r="AF443" i="20"/>
  <c r="AG443" i="20"/>
  <c r="AH443" i="20"/>
  <c r="AF442" i="20"/>
  <c r="AG442" i="20"/>
  <c r="AH442" i="20"/>
  <c r="AF441" i="20"/>
  <c r="AG441" i="20"/>
  <c r="AH441" i="20"/>
  <c r="AF440" i="20"/>
  <c r="AG440" i="20"/>
  <c r="AH440" i="20"/>
  <c r="AF439" i="20"/>
  <c r="AG439" i="20"/>
  <c r="AH439" i="20"/>
  <c r="AF438" i="20"/>
  <c r="AG438" i="20"/>
  <c r="AH438" i="20"/>
  <c r="AF437" i="20"/>
  <c r="AG437" i="20"/>
  <c r="AH437" i="20"/>
  <c r="AF436" i="20"/>
  <c r="AG436" i="20"/>
  <c r="AH436" i="20"/>
  <c r="AF435" i="20"/>
  <c r="AG435" i="20"/>
  <c r="AH435" i="20"/>
  <c r="AF434" i="20"/>
  <c r="AG434" i="20"/>
  <c r="AH434" i="20"/>
  <c r="AF432" i="20"/>
  <c r="AG432" i="20"/>
  <c r="AH432" i="20"/>
  <c r="AF431" i="20"/>
  <c r="AG431" i="20"/>
  <c r="AH431" i="20"/>
  <c r="AF430" i="20"/>
  <c r="AG430" i="20"/>
  <c r="AH430" i="20"/>
  <c r="AF429" i="20"/>
  <c r="AG429" i="20"/>
  <c r="AH429" i="20"/>
  <c r="AF428" i="20"/>
  <c r="AG428" i="20"/>
  <c r="AH428" i="20"/>
  <c r="AF427" i="20"/>
  <c r="AG427" i="20"/>
  <c r="AH427" i="20"/>
  <c r="AF426" i="20"/>
  <c r="AG426" i="20"/>
  <c r="AH426" i="20"/>
  <c r="AF425" i="20"/>
  <c r="AG425" i="20"/>
  <c r="AH425" i="20"/>
  <c r="AF424" i="20"/>
  <c r="AG424" i="20"/>
  <c r="AH424" i="20"/>
  <c r="AF423" i="20"/>
  <c r="AG423" i="20"/>
  <c r="AH423" i="20"/>
  <c r="AF422" i="20"/>
  <c r="AG422" i="20"/>
  <c r="AH422" i="20"/>
  <c r="AF421" i="20"/>
  <c r="AG421" i="20"/>
  <c r="AH421" i="20"/>
  <c r="AF420" i="20"/>
  <c r="AG420" i="20"/>
  <c r="AH420" i="20"/>
  <c r="AF419" i="20"/>
  <c r="AG419" i="20"/>
  <c r="AH419" i="20"/>
  <c r="AF418" i="20"/>
  <c r="AG418" i="20"/>
  <c r="AH418" i="20"/>
  <c r="AF640" i="20"/>
  <c r="AG640" i="20"/>
  <c r="AH640" i="20"/>
  <c r="AF639" i="20"/>
  <c r="AG639" i="20"/>
  <c r="AH639" i="20"/>
  <c r="AF638" i="20"/>
  <c r="AG638" i="20"/>
  <c r="AH638" i="20"/>
  <c r="AF637" i="20"/>
  <c r="AG637" i="20"/>
  <c r="AH637" i="20"/>
  <c r="AF636" i="20"/>
  <c r="AG636" i="20"/>
  <c r="AH636" i="20"/>
  <c r="AF635" i="20"/>
  <c r="AG635" i="20"/>
  <c r="AH635" i="20"/>
  <c r="AF634" i="20"/>
  <c r="AG634" i="20"/>
  <c r="AH634" i="20"/>
  <c r="AF633" i="20"/>
  <c r="AG633" i="20"/>
  <c r="AH633" i="20"/>
  <c r="AF632" i="20"/>
  <c r="AG632" i="20"/>
  <c r="AH632" i="20"/>
  <c r="AF631" i="20"/>
  <c r="AG631" i="20"/>
  <c r="AH631" i="20"/>
  <c r="AF630" i="20"/>
  <c r="AG630" i="20"/>
  <c r="AH630" i="20"/>
  <c r="AF629" i="20"/>
  <c r="AG629" i="20"/>
  <c r="AH629" i="20"/>
  <c r="AF628" i="20"/>
  <c r="AG628" i="20"/>
  <c r="AH628" i="20"/>
  <c r="AF627" i="20"/>
  <c r="AG627" i="20"/>
  <c r="AH627" i="20"/>
  <c r="AF626" i="20"/>
  <c r="AG626" i="20"/>
  <c r="AH626" i="20"/>
  <c r="AF624" i="20"/>
  <c r="AG624" i="20"/>
  <c r="AH624" i="20"/>
  <c r="AF623" i="20"/>
  <c r="AG623" i="20"/>
  <c r="AH623" i="20"/>
  <c r="AF622" i="20"/>
  <c r="AG622" i="20"/>
  <c r="AH622" i="20"/>
  <c r="AF621" i="20"/>
  <c r="AG621" i="20"/>
  <c r="AH621" i="20"/>
  <c r="AF620" i="20"/>
  <c r="AG620" i="20"/>
  <c r="AH620" i="20"/>
  <c r="AF619" i="20"/>
  <c r="AG619" i="20"/>
  <c r="AH619" i="20"/>
  <c r="AF618" i="20"/>
  <c r="AG618" i="20"/>
  <c r="AH618" i="20"/>
  <c r="AF617" i="20"/>
  <c r="AG617" i="20"/>
  <c r="AH617" i="20"/>
  <c r="AF616" i="20"/>
  <c r="AG616" i="20"/>
  <c r="AH616" i="20"/>
  <c r="AF615" i="20"/>
  <c r="AG615" i="20"/>
  <c r="AH615" i="20"/>
  <c r="AF614" i="20"/>
  <c r="AG614" i="20"/>
  <c r="AH614" i="20"/>
  <c r="AF613" i="20"/>
  <c r="AG613" i="20"/>
  <c r="AH613" i="20"/>
  <c r="AF612" i="20"/>
  <c r="AG612" i="20"/>
  <c r="AH612" i="20"/>
  <c r="AF611" i="20"/>
  <c r="AG611" i="20"/>
  <c r="AH611" i="20"/>
  <c r="AF610" i="20"/>
  <c r="AG610" i="20"/>
  <c r="AH610" i="20"/>
  <c r="AF592" i="20"/>
  <c r="AG592" i="20"/>
  <c r="AH592" i="20"/>
  <c r="AF591" i="20"/>
  <c r="AG591" i="20"/>
  <c r="AH591" i="20"/>
  <c r="AF590" i="20"/>
  <c r="AG590" i="20"/>
  <c r="AH590" i="20"/>
  <c r="AF589" i="20"/>
  <c r="AG589" i="20"/>
  <c r="AH589" i="20"/>
  <c r="AF588" i="20"/>
  <c r="AG588" i="20"/>
  <c r="AH588" i="20"/>
  <c r="AF587" i="20"/>
  <c r="AG587" i="20"/>
  <c r="AH587" i="20"/>
  <c r="AF586" i="20"/>
  <c r="AG586" i="20"/>
  <c r="AH586" i="20"/>
  <c r="AF585" i="20"/>
  <c r="AG585" i="20"/>
  <c r="AH585" i="20"/>
  <c r="AF584" i="20"/>
  <c r="AG584" i="20"/>
  <c r="AH584" i="20"/>
  <c r="AF583" i="20"/>
  <c r="AG583" i="20"/>
  <c r="AH583" i="20"/>
  <c r="AF582" i="20"/>
  <c r="AG582" i="20"/>
  <c r="AH582" i="20"/>
  <c r="AF581" i="20"/>
  <c r="AG581" i="20"/>
  <c r="AH581" i="20"/>
  <c r="AF580" i="20"/>
  <c r="AG580" i="20"/>
  <c r="AH580" i="20"/>
  <c r="AF579" i="20"/>
  <c r="AG579" i="20"/>
  <c r="AH579" i="20"/>
  <c r="AF578" i="20"/>
  <c r="AG578" i="20"/>
  <c r="AH578" i="20"/>
  <c r="AF320" i="20"/>
  <c r="AG320" i="20"/>
  <c r="AH320" i="20"/>
  <c r="AF319" i="20"/>
  <c r="AG319" i="20"/>
  <c r="AH319" i="20"/>
  <c r="AF318" i="20"/>
  <c r="AG318" i="20"/>
  <c r="AH318" i="20"/>
  <c r="AF317" i="20"/>
  <c r="AG317" i="20"/>
  <c r="AH317" i="20"/>
  <c r="AF316" i="20"/>
  <c r="AG316" i="20"/>
  <c r="AH316" i="20"/>
  <c r="AF315" i="20"/>
  <c r="AG315" i="20"/>
  <c r="AH315" i="20"/>
  <c r="AF314" i="20"/>
  <c r="AG314" i="20"/>
  <c r="AH314" i="20"/>
  <c r="AF313" i="20"/>
  <c r="AG313" i="20"/>
  <c r="AH313" i="20"/>
  <c r="AF312" i="20"/>
  <c r="AG312" i="20"/>
  <c r="AH312" i="20"/>
  <c r="AF311" i="20"/>
  <c r="AG311" i="20"/>
  <c r="AH311" i="20"/>
  <c r="AF310" i="20"/>
  <c r="AG310" i="20"/>
  <c r="AH310" i="20"/>
  <c r="AF309" i="20"/>
  <c r="AG309" i="20"/>
  <c r="AH309" i="20"/>
  <c r="AF308" i="20"/>
  <c r="AG308" i="20"/>
  <c r="AH308" i="20"/>
  <c r="AF307" i="20"/>
  <c r="AG307" i="20"/>
  <c r="AH307" i="20"/>
  <c r="AF306" i="20"/>
  <c r="AG306" i="20"/>
  <c r="AH306" i="20"/>
  <c r="AF416" i="20"/>
  <c r="AG416" i="20"/>
  <c r="AH416" i="20"/>
  <c r="AF415" i="20"/>
  <c r="AG415" i="20"/>
  <c r="AH415" i="20"/>
  <c r="AF414" i="20"/>
  <c r="AG414" i="20"/>
  <c r="AH414" i="20"/>
  <c r="AF413" i="20"/>
  <c r="AG413" i="20"/>
  <c r="AH413" i="20"/>
  <c r="AF412" i="20"/>
  <c r="AG412" i="20"/>
  <c r="AH412" i="20"/>
  <c r="AF411" i="20"/>
  <c r="AG411" i="20"/>
  <c r="AH411" i="20"/>
  <c r="AF410" i="20"/>
  <c r="AG410" i="20"/>
  <c r="AH410" i="20"/>
  <c r="AF409" i="20"/>
  <c r="AG409" i="20"/>
  <c r="AH409" i="20"/>
  <c r="AF408" i="20"/>
  <c r="AG408" i="20"/>
  <c r="AH408" i="20"/>
  <c r="AF407" i="20"/>
  <c r="AG407" i="20"/>
  <c r="AH407" i="20"/>
  <c r="AF406" i="20"/>
  <c r="AG406" i="20"/>
  <c r="AH406" i="20"/>
  <c r="AF405" i="20"/>
  <c r="AG405" i="20"/>
  <c r="AH405" i="20"/>
  <c r="AF404" i="20"/>
  <c r="AG404" i="20"/>
  <c r="AH404" i="20"/>
  <c r="AF403" i="20"/>
  <c r="AG403" i="20"/>
  <c r="AH403" i="20"/>
  <c r="AF402" i="20"/>
  <c r="AG402" i="20"/>
  <c r="AH402" i="20"/>
  <c r="AF528" i="20"/>
  <c r="AG528" i="20"/>
  <c r="AH528" i="20"/>
  <c r="AF527" i="20"/>
  <c r="AG527" i="20"/>
  <c r="AH527" i="20"/>
  <c r="AF526" i="20"/>
  <c r="AG526" i="20"/>
  <c r="AH526" i="20"/>
  <c r="AF525" i="20"/>
  <c r="AG525" i="20"/>
  <c r="AH525" i="20"/>
  <c r="AF524" i="20"/>
  <c r="AG524" i="20"/>
  <c r="AH524" i="20"/>
  <c r="AF523" i="20"/>
  <c r="AG523" i="20"/>
  <c r="AH523" i="20"/>
  <c r="AF522" i="20"/>
  <c r="AG522" i="20"/>
  <c r="AH522" i="20"/>
  <c r="AF521" i="20"/>
  <c r="AG521" i="20"/>
  <c r="AH521" i="20"/>
  <c r="AF520" i="20"/>
  <c r="AG520" i="20"/>
  <c r="AH520" i="20"/>
  <c r="AF519" i="20"/>
  <c r="AG519" i="20"/>
  <c r="AH519" i="20"/>
  <c r="AF518" i="20"/>
  <c r="AG518" i="20"/>
  <c r="AH518" i="20"/>
  <c r="AF517" i="20"/>
  <c r="AG517" i="20"/>
  <c r="AH517" i="20"/>
  <c r="AF516" i="20"/>
  <c r="AG516" i="20"/>
  <c r="AH516" i="20"/>
  <c r="AF515" i="20"/>
  <c r="AG515" i="20"/>
  <c r="AH515" i="20"/>
  <c r="AF514" i="20"/>
  <c r="AG514" i="20"/>
  <c r="AH514" i="20"/>
  <c r="AF400" i="20"/>
  <c r="AG400" i="20"/>
  <c r="AH400" i="20"/>
  <c r="AF399" i="20"/>
  <c r="AG399" i="20"/>
  <c r="AH399" i="20"/>
  <c r="AF398" i="20"/>
  <c r="AG398" i="20"/>
  <c r="AH398" i="20"/>
  <c r="AF397" i="20"/>
  <c r="AG397" i="20"/>
  <c r="AH397" i="20"/>
  <c r="AF396" i="20"/>
  <c r="AG396" i="20"/>
  <c r="AH396" i="20"/>
  <c r="AF395" i="20"/>
  <c r="AG395" i="20"/>
  <c r="AH395" i="20"/>
  <c r="AF394" i="20"/>
  <c r="AG394" i="20"/>
  <c r="AH394" i="20"/>
  <c r="AF393" i="20"/>
  <c r="AG393" i="20"/>
  <c r="AH393" i="20"/>
  <c r="AF392" i="20"/>
  <c r="AG392" i="20"/>
  <c r="AH392" i="20"/>
  <c r="AF391" i="20"/>
  <c r="AG391" i="20"/>
  <c r="AH391" i="20"/>
  <c r="AF390" i="20"/>
  <c r="AG390" i="20"/>
  <c r="AH390" i="20"/>
  <c r="AF389" i="20"/>
  <c r="AG389" i="20"/>
  <c r="AH389" i="20"/>
  <c r="AF388" i="20"/>
  <c r="AG388" i="20"/>
  <c r="AH388" i="20"/>
  <c r="AF387" i="20"/>
  <c r="AG387" i="20"/>
  <c r="AH387" i="20"/>
  <c r="AF386" i="20"/>
  <c r="AG386" i="20"/>
  <c r="AH386" i="20"/>
  <c r="AF544" i="20"/>
  <c r="AG544" i="20"/>
  <c r="AH544" i="20"/>
  <c r="AF543" i="20"/>
  <c r="AG543" i="20"/>
  <c r="AH543" i="20"/>
  <c r="AF542" i="20"/>
  <c r="AG542" i="20"/>
  <c r="AH542" i="20"/>
  <c r="AF541" i="20"/>
  <c r="AG541" i="20"/>
  <c r="AH541" i="20"/>
  <c r="AF540" i="20"/>
  <c r="AG540" i="20"/>
  <c r="AH540" i="20"/>
  <c r="AF539" i="20"/>
  <c r="AG539" i="20"/>
  <c r="AH539" i="20"/>
  <c r="AF538" i="20"/>
  <c r="AG538" i="20"/>
  <c r="AH538" i="20"/>
  <c r="AF537" i="20"/>
  <c r="AG537" i="20"/>
  <c r="AH537" i="20"/>
  <c r="AF536" i="20"/>
  <c r="AG536" i="20"/>
  <c r="AH536" i="20"/>
  <c r="AF535" i="20"/>
  <c r="AG535" i="20"/>
  <c r="AH535" i="20"/>
  <c r="AF534" i="20"/>
  <c r="AG534" i="20"/>
  <c r="AH534" i="20"/>
  <c r="AF533" i="20"/>
  <c r="AG533" i="20"/>
  <c r="AH533" i="20"/>
  <c r="AF532" i="20"/>
  <c r="AG532" i="20"/>
  <c r="AH532" i="20"/>
  <c r="AF531" i="20"/>
  <c r="AG531" i="20"/>
  <c r="AH531" i="20"/>
  <c r="AF530" i="20"/>
  <c r="AG530" i="20"/>
  <c r="AH530" i="20"/>
  <c r="AF384" i="20"/>
  <c r="AG384" i="20"/>
  <c r="AH384" i="20"/>
  <c r="AF383" i="20"/>
  <c r="AG383" i="20"/>
  <c r="AH383" i="20"/>
  <c r="AF382" i="20"/>
  <c r="AG382" i="20"/>
  <c r="AH382" i="20"/>
  <c r="AF381" i="20"/>
  <c r="AG381" i="20"/>
  <c r="AH381" i="20"/>
  <c r="AF380" i="20"/>
  <c r="AG380" i="20"/>
  <c r="AH380" i="20"/>
  <c r="AF379" i="20"/>
  <c r="AG379" i="20"/>
  <c r="AH379" i="20"/>
  <c r="AF378" i="20"/>
  <c r="AG378" i="20"/>
  <c r="AH378" i="20"/>
  <c r="AF377" i="20"/>
  <c r="AG377" i="20"/>
  <c r="AH377" i="20"/>
  <c r="AF376" i="20"/>
  <c r="AG376" i="20"/>
  <c r="AH376" i="20"/>
  <c r="AF375" i="20"/>
  <c r="AG375" i="20"/>
  <c r="AH375" i="20"/>
  <c r="AF374" i="20"/>
  <c r="AG374" i="20"/>
  <c r="AH374" i="20"/>
  <c r="AF373" i="20"/>
  <c r="AG373" i="20"/>
  <c r="AH373" i="20"/>
  <c r="AF372" i="20"/>
  <c r="AG372" i="20"/>
  <c r="AH372" i="20"/>
  <c r="AF371" i="20"/>
  <c r="AG371" i="20"/>
  <c r="AH371" i="20"/>
  <c r="AF370" i="20"/>
  <c r="AG370" i="20"/>
  <c r="AH370" i="20"/>
  <c r="AF352" i="20"/>
  <c r="AG352" i="20"/>
  <c r="AH352" i="20"/>
  <c r="AF351" i="20"/>
  <c r="AG351" i="20"/>
  <c r="AH351" i="20"/>
  <c r="AF350" i="20"/>
  <c r="AG350" i="20"/>
  <c r="AH350" i="20"/>
  <c r="AF349" i="20"/>
  <c r="AG349" i="20"/>
  <c r="AH349" i="20"/>
  <c r="AF348" i="20"/>
  <c r="AG348" i="20"/>
  <c r="AH348" i="20"/>
  <c r="AF347" i="20"/>
  <c r="AG347" i="20"/>
  <c r="AH347" i="20"/>
  <c r="AF346" i="20"/>
  <c r="AG346" i="20"/>
  <c r="AH346" i="20"/>
  <c r="AF345" i="20"/>
  <c r="AG345" i="20"/>
  <c r="AH345" i="20"/>
  <c r="AF344" i="20"/>
  <c r="AG344" i="20"/>
  <c r="AH344" i="20"/>
  <c r="AF343" i="20"/>
  <c r="AG343" i="20"/>
  <c r="AH343" i="20"/>
  <c r="AF342" i="20"/>
  <c r="AG342" i="20"/>
  <c r="AH342" i="20"/>
  <c r="AF341" i="20"/>
  <c r="AG341" i="20"/>
  <c r="AH341" i="20"/>
  <c r="AF340" i="20"/>
  <c r="AG340" i="20"/>
  <c r="AH340" i="20"/>
  <c r="AF339" i="20"/>
  <c r="AG339" i="20"/>
  <c r="AH339" i="20"/>
  <c r="AF338" i="20"/>
  <c r="AG338" i="20"/>
  <c r="AH338" i="20"/>
  <c r="AF336" i="20"/>
  <c r="AG336" i="20"/>
  <c r="AH336" i="20"/>
  <c r="AF335" i="20"/>
  <c r="AG335" i="20"/>
  <c r="AH335" i="20"/>
  <c r="AF334" i="20"/>
  <c r="AG334" i="20"/>
  <c r="AH334" i="20"/>
  <c r="AF333" i="20"/>
  <c r="AG333" i="20"/>
  <c r="AH333" i="20"/>
  <c r="AF332" i="20"/>
  <c r="AG332" i="20"/>
  <c r="AH332" i="20"/>
  <c r="AF331" i="20"/>
  <c r="AG331" i="20"/>
  <c r="AH331" i="20"/>
  <c r="AF330" i="20"/>
  <c r="AG330" i="20"/>
  <c r="AH330" i="20"/>
  <c r="AF329" i="20"/>
  <c r="AG329" i="20"/>
  <c r="AH329" i="20"/>
  <c r="AF328" i="20"/>
  <c r="AG328" i="20"/>
  <c r="AH328" i="20"/>
  <c r="AF327" i="20"/>
  <c r="AG327" i="20"/>
  <c r="AH327" i="20"/>
  <c r="AF326" i="20"/>
  <c r="AG326" i="20"/>
  <c r="AH326" i="20"/>
  <c r="AF325" i="20"/>
  <c r="AG325" i="20"/>
  <c r="AH325" i="20"/>
  <c r="AF324" i="20"/>
  <c r="AG324" i="20"/>
  <c r="AH324" i="20"/>
  <c r="AF323" i="20"/>
  <c r="AG323" i="20"/>
  <c r="AH323" i="20"/>
  <c r="AF322" i="20"/>
  <c r="AG322" i="20"/>
  <c r="AH322" i="20"/>
  <c r="AF560" i="20"/>
  <c r="AG560" i="20"/>
  <c r="AH560" i="20"/>
  <c r="AF559" i="20"/>
  <c r="AG559" i="20"/>
  <c r="AH559" i="20"/>
  <c r="AF558" i="20"/>
  <c r="AG558" i="20"/>
  <c r="AH558" i="20"/>
  <c r="AF557" i="20"/>
  <c r="AG557" i="20"/>
  <c r="AH557" i="20"/>
  <c r="AF556" i="20"/>
  <c r="AG556" i="20"/>
  <c r="AH556" i="20"/>
  <c r="AF555" i="20"/>
  <c r="AG555" i="20"/>
  <c r="AH555" i="20"/>
  <c r="AF554" i="20"/>
  <c r="AG554" i="20"/>
  <c r="AH554" i="20"/>
  <c r="AF553" i="20"/>
  <c r="AG553" i="20"/>
  <c r="AH553" i="20"/>
  <c r="AF552" i="20"/>
  <c r="AG552" i="20"/>
  <c r="AH552" i="20"/>
  <c r="AF551" i="20"/>
  <c r="AG551" i="20"/>
  <c r="AH551" i="20"/>
  <c r="AF550" i="20"/>
  <c r="AG550" i="20"/>
  <c r="AH550" i="20"/>
  <c r="AF549" i="20"/>
  <c r="AG549" i="20"/>
  <c r="AH549" i="20"/>
  <c r="AF548" i="20"/>
  <c r="AG548" i="20"/>
  <c r="AH548" i="20"/>
  <c r="AF547" i="20"/>
  <c r="AG547" i="20"/>
  <c r="AH547" i="20"/>
  <c r="AF546" i="20"/>
  <c r="AG546" i="20"/>
  <c r="AH546" i="20"/>
  <c r="AF368" i="20"/>
  <c r="AG368" i="20"/>
  <c r="AH368" i="20"/>
  <c r="AF367" i="20"/>
  <c r="AG367" i="20"/>
  <c r="AH367" i="20"/>
  <c r="AF366" i="20"/>
  <c r="AG366" i="20"/>
  <c r="AH366" i="20"/>
  <c r="AF365" i="20"/>
  <c r="AG365" i="20"/>
  <c r="AH365" i="20"/>
  <c r="AF364" i="20"/>
  <c r="AG364" i="20"/>
  <c r="AH364" i="20"/>
  <c r="AF363" i="20"/>
  <c r="AG363" i="20"/>
  <c r="AH363" i="20"/>
  <c r="AF355" i="20"/>
  <c r="AG355" i="20"/>
  <c r="AH355" i="20"/>
  <c r="AF362" i="20"/>
  <c r="AG362" i="20"/>
  <c r="AH362" i="20"/>
  <c r="AF361" i="20"/>
  <c r="AG361" i="20"/>
  <c r="AH361" i="20"/>
  <c r="AF360" i="20"/>
  <c r="AG360" i="20"/>
  <c r="AH360" i="20"/>
  <c r="AF359" i="20"/>
  <c r="AG359" i="20"/>
  <c r="AH359" i="20"/>
  <c r="AF358" i="20"/>
  <c r="AG358" i="20"/>
  <c r="AH358" i="20"/>
  <c r="AF357" i="20"/>
  <c r="AG357" i="20"/>
  <c r="AH357" i="20"/>
  <c r="AF356" i="20"/>
  <c r="AG356" i="20"/>
  <c r="AH356" i="20"/>
  <c r="AF354" i="20"/>
  <c r="AG354" i="20"/>
  <c r="AH354" i="20"/>
  <c r="AF496" i="20"/>
  <c r="AG496" i="20"/>
  <c r="AH496" i="20"/>
  <c r="AF495" i="20"/>
  <c r="AG495" i="20"/>
  <c r="AH495" i="20"/>
  <c r="AF494" i="20"/>
  <c r="AG494" i="20"/>
  <c r="AH494" i="20"/>
  <c r="AF493" i="20"/>
  <c r="AG493" i="20"/>
  <c r="AH493" i="20"/>
  <c r="AF492" i="20"/>
  <c r="AG492" i="20"/>
  <c r="AH492" i="20"/>
  <c r="AF491" i="20"/>
  <c r="AG491" i="20"/>
  <c r="AH491" i="20"/>
  <c r="AF490" i="20"/>
  <c r="AG490" i="20"/>
  <c r="AH490" i="20"/>
  <c r="AF489" i="20"/>
  <c r="AG489" i="20"/>
  <c r="AH489" i="20"/>
  <c r="AF488" i="20"/>
  <c r="AG488" i="20"/>
  <c r="AH488" i="20"/>
  <c r="AF487" i="20"/>
  <c r="AG487" i="20"/>
  <c r="AH487" i="20"/>
  <c r="AF486" i="20"/>
  <c r="AG486" i="20"/>
  <c r="AH486" i="20"/>
  <c r="AF485" i="20"/>
  <c r="AG485" i="20"/>
  <c r="AH485" i="20"/>
  <c r="AF484" i="20"/>
  <c r="AG484" i="20"/>
  <c r="AH484" i="20"/>
  <c r="AF483" i="20"/>
  <c r="AG483" i="20"/>
  <c r="AH483" i="20"/>
  <c r="AF482" i="20"/>
  <c r="AG482" i="20"/>
  <c r="AH482" i="20"/>
  <c r="AF688" i="20"/>
  <c r="AG688" i="20"/>
  <c r="AH688" i="20"/>
  <c r="AF687" i="20"/>
  <c r="AG687" i="20"/>
  <c r="AH687" i="20"/>
  <c r="AF686" i="20"/>
  <c r="AG686" i="20"/>
  <c r="AH686" i="20"/>
  <c r="AF685" i="20"/>
  <c r="AG685" i="20"/>
  <c r="AH685" i="20"/>
  <c r="AF684" i="20"/>
  <c r="AG684" i="20"/>
  <c r="AH684" i="20"/>
  <c r="AF683" i="20"/>
  <c r="AG683" i="20"/>
  <c r="AH683" i="20"/>
  <c r="AF682" i="20"/>
  <c r="AG682" i="20"/>
  <c r="AH682" i="20"/>
  <c r="AF681" i="20"/>
  <c r="AG681" i="20"/>
  <c r="AH681" i="20"/>
  <c r="AF680" i="20"/>
  <c r="AG680" i="20"/>
  <c r="AH680" i="20"/>
  <c r="AF679" i="20"/>
  <c r="AG679" i="20"/>
  <c r="AH679" i="20"/>
  <c r="AF678" i="20"/>
  <c r="AG678" i="20"/>
  <c r="AH678" i="20"/>
  <c r="AF677" i="20"/>
  <c r="AG677" i="20"/>
  <c r="AH677" i="20"/>
  <c r="AF676" i="20"/>
  <c r="AG676" i="20"/>
  <c r="AH676" i="20"/>
  <c r="AF675" i="20"/>
  <c r="AG675" i="20"/>
  <c r="AH675" i="20"/>
  <c r="AF674" i="20"/>
  <c r="AG674" i="20"/>
  <c r="AH674" i="20"/>
  <c r="AF704" i="20"/>
  <c r="AG704" i="20"/>
  <c r="AH704" i="20"/>
  <c r="AF703" i="20"/>
  <c r="AG703" i="20"/>
  <c r="AH703" i="20"/>
  <c r="AF702" i="20"/>
  <c r="AG702" i="20"/>
  <c r="AH702" i="20"/>
  <c r="AF701" i="20"/>
  <c r="AG701" i="20"/>
  <c r="AH701" i="20"/>
  <c r="AF700" i="20"/>
  <c r="AG700" i="20"/>
  <c r="AH700" i="20"/>
  <c r="AF699" i="20"/>
  <c r="AG699" i="20"/>
  <c r="AH699" i="20"/>
  <c r="AF698" i="20"/>
  <c r="AG698" i="20"/>
  <c r="AH698" i="20"/>
  <c r="AF697" i="20"/>
  <c r="AG697" i="20"/>
  <c r="AH697" i="20"/>
  <c r="AF696" i="20"/>
  <c r="AG696" i="20"/>
  <c r="AH696" i="20"/>
  <c r="AF695" i="20"/>
  <c r="AG695" i="20"/>
  <c r="AH695" i="20"/>
  <c r="AF694" i="20"/>
  <c r="AG694" i="20"/>
  <c r="AH694" i="20"/>
  <c r="AF693" i="20"/>
  <c r="AG693" i="20"/>
  <c r="AH693" i="20"/>
  <c r="AF692" i="20"/>
  <c r="AG692" i="20"/>
  <c r="AH692" i="20"/>
  <c r="AF691" i="20"/>
  <c r="AG691" i="20"/>
  <c r="AH691" i="20"/>
  <c r="AF690" i="20"/>
  <c r="AG690" i="20"/>
  <c r="AH690" i="20"/>
  <c r="AH256" i="20"/>
  <c r="AG256" i="20"/>
  <c r="AH255" i="20"/>
  <c r="AG255" i="20"/>
  <c r="AH254" i="20"/>
  <c r="AG254" i="20"/>
  <c r="AH253" i="20"/>
  <c r="AG253" i="20"/>
  <c r="AH252" i="20"/>
  <c r="AG252" i="20"/>
  <c r="AH251" i="20"/>
  <c r="AG251" i="20"/>
  <c r="AH250" i="20"/>
  <c r="AG250" i="20"/>
  <c r="AH249" i="20"/>
  <c r="AG249" i="20"/>
  <c r="AH248" i="20"/>
  <c r="AG248" i="20"/>
  <c r="AH247" i="20"/>
  <c r="AG247" i="20"/>
  <c r="AH246" i="20"/>
  <c r="AG246" i="20"/>
  <c r="AH245" i="20"/>
  <c r="AG245" i="20"/>
  <c r="AH244" i="20"/>
  <c r="AG244" i="20"/>
  <c r="AH243" i="20"/>
  <c r="AG243" i="20"/>
  <c r="AH242" i="20"/>
  <c r="AG242" i="20"/>
  <c r="AH241" i="20"/>
  <c r="AG241" i="20"/>
  <c r="AH240" i="20"/>
  <c r="AG240" i="20"/>
  <c r="AH239" i="20"/>
  <c r="AG239" i="20"/>
  <c r="AH238" i="20"/>
  <c r="AG238" i="20"/>
  <c r="AH237" i="20"/>
  <c r="AG237" i="20"/>
  <c r="AH236" i="20"/>
  <c r="AG236" i="20"/>
  <c r="AH235" i="20"/>
  <c r="AG235" i="20"/>
  <c r="AH234" i="20"/>
  <c r="AG234" i="20"/>
  <c r="AH233" i="20"/>
  <c r="AG233" i="20"/>
  <c r="AH232" i="20"/>
  <c r="AG232" i="20"/>
  <c r="AH231" i="20"/>
  <c r="AG231" i="20"/>
  <c r="AH230" i="20"/>
  <c r="AG230" i="20"/>
  <c r="AH229" i="20"/>
  <c r="AG229" i="20"/>
  <c r="AH228" i="20"/>
  <c r="AG228" i="20"/>
  <c r="AH227" i="20"/>
  <c r="AG227" i="20"/>
  <c r="AH226" i="20"/>
  <c r="AG226" i="20"/>
  <c r="AH225" i="20"/>
  <c r="AG225" i="20"/>
  <c r="AH224" i="20"/>
  <c r="AG224" i="20"/>
  <c r="AH223" i="20"/>
  <c r="AG223" i="20"/>
  <c r="AH222" i="20"/>
  <c r="AG222" i="20"/>
  <c r="AH221" i="20"/>
  <c r="AG221" i="20"/>
  <c r="AH220" i="20"/>
  <c r="AG220" i="20"/>
  <c r="AH219" i="20"/>
  <c r="AG219" i="20"/>
  <c r="AH218" i="20"/>
  <c r="AG218" i="20"/>
  <c r="AH217" i="20"/>
  <c r="AG217" i="20"/>
  <c r="AH216" i="20"/>
  <c r="AG216" i="20"/>
  <c r="AH215" i="20"/>
  <c r="AG215" i="20"/>
  <c r="AH214" i="20"/>
  <c r="AG214" i="20"/>
  <c r="AH213" i="20"/>
  <c r="AG213" i="20"/>
  <c r="AH212" i="20"/>
  <c r="AG212" i="20"/>
  <c r="AH211" i="20"/>
  <c r="AG211" i="20"/>
  <c r="AH210" i="20"/>
  <c r="AG210" i="20"/>
  <c r="AH209" i="20"/>
  <c r="AG209" i="20"/>
  <c r="AH208" i="20"/>
  <c r="AG208" i="20"/>
  <c r="AH207" i="20"/>
  <c r="AG207" i="20"/>
  <c r="AH206" i="20"/>
  <c r="AG206" i="20"/>
  <c r="AH205" i="20"/>
  <c r="AG205" i="20"/>
  <c r="AH204" i="20"/>
  <c r="AG204" i="20"/>
  <c r="AH203" i="20"/>
  <c r="AG203" i="20"/>
  <c r="AH202" i="20"/>
  <c r="AG202" i="20"/>
  <c r="AH201" i="20"/>
  <c r="AG201" i="20"/>
  <c r="AH200" i="20"/>
  <c r="AG200" i="20"/>
  <c r="AH199" i="20"/>
  <c r="AG199" i="20"/>
  <c r="AH198" i="20"/>
  <c r="AG198" i="20"/>
  <c r="AH197" i="20"/>
  <c r="AG197" i="20"/>
  <c r="AH196" i="20"/>
  <c r="AG196" i="20"/>
  <c r="AH195" i="20"/>
  <c r="AG195" i="20"/>
  <c r="AH194" i="20"/>
  <c r="AG194" i="20"/>
  <c r="AH193" i="20"/>
  <c r="AG193" i="20"/>
  <c r="AH192" i="20"/>
  <c r="AG192" i="20"/>
  <c r="AH191" i="20"/>
  <c r="AG191" i="20"/>
  <c r="AH190" i="20"/>
  <c r="AG190" i="20"/>
  <c r="AH189" i="20"/>
  <c r="AG189" i="20"/>
  <c r="AH188" i="20"/>
  <c r="AG188" i="20"/>
  <c r="AH187" i="20"/>
  <c r="AG187" i="20"/>
  <c r="AH186" i="20"/>
  <c r="AG186" i="20"/>
  <c r="AH185" i="20"/>
  <c r="AG185" i="20"/>
  <c r="AH184" i="20"/>
  <c r="AG184" i="20"/>
  <c r="AH183" i="20"/>
  <c r="AG183" i="20"/>
  <c r="AH182" i="20"/>
  <c r="AG182" i="20"/>
  <c r="AH181" i="20"/>
  <c r="AG181" i="20"/>
  <c r="AH180" i="20"/>
  <c r="AG180" i="20"/>
  <c r="AH179" i="20"/>
  <c r="AG179" i="20"/>
  <c r="AH178" i="20"/>
  <c r="AG178" i="20"/>
  <c r="AH177" i="20"/>
  <c r="AG177" i="20"/>
  <c r="AH176" i="20"/>
  <c r="AG176" i="20"/>
  <c r="AH175" i="20"/>
  <c r="AG175" i="20"/>
  <c r="AH174" i="20"/>
  <c r="AG174" i="20"/>
  <c r="AH173" i="20"/>
  <c r="AG173" i="20"/>
  <c r="AH172" i="20"/>
  <c r="AG172" i="20"/>
  <c r="AH171" i="20"/>
  <c r="AG171" i="20"/>
  <c r="AH170" i="20"/>
  <c r="AG170" i="20"/>
  <c r="AH169" i="20"/>
  <c r="AG169" i="20"/>
  <c r="AH168" i="20"/>
  <c r="AG168" i="20"/>
  <c r="AH167" i="20"/>
  <c r="AG167" i="20"/>
  <c r="AH166" i="20"/>
  <c r="AG166" i="20"/>
  <c r="AH165" i="20"/>
  <c r="AG165" i="20"/>
  <c r="AH164" i="20"/>
  <c r="AG164" i="20"/>
  <c r="AH163" i="20"/>
  <c r="AG163" i="20"/>
  <c r="AH162" i="20"/>
  <c r="AG162" i="20"/>
  <c r="AH161" i="20"/>
  <c r="AG161" i="20"/>
  <c r="AH160" i="20"/>
  <c r="AG160" i="20"/>
  <c r="AH159" i="20"/>
  <c r="AG159" i="20"/>
  <c r="AH158" i="20"/>
  <c r="AG158" i="20"/>
  <c r="AH157" i="20"/>
  <c r="AG157" i="20"/>
  <c r="AH156" i="20"/>
  <c r="AG156" i="20"/>
  <c r="AH155" i="20"/>
  <c r="AG155" i="20"/>
  <c r="AH154" i="20"/>
  <c r="AG154" i="20"/>
  <c r="AH153" i="20"/>
  <c r="AG153" i="20"/>
  <c r="AH152" i="20"/>
  <c r="AG152" i="20"/>
  <c r="AH151" i="20"/>
  <c r="AG151" i="20"/>
  <c r="AH150" i="20"/>
  <c r="AG150" i="20"/>
  <c r="AH149" i="20"/>
  <c r="AG149" i="20"/>
  <c r="AH148" i="20"/>
  <c r="AG148" i="20"/>
  <c r="AH147" i="20"/>
  <c r="AG147" i="20"/>
  <c r="AH146" i="20"/>
  <c r="AG146" i="20"/>
  <c r="AH145" i="20"/>
  <c r="AG145" i="20"/>
  <c r="AH144" i="20"/>
  <c r="AG144" i="20"/>
  <c r="AH143" i="20"/>
  <c r="AG143" i="20"/>
  <c r="AH142" i="20"/>
  <c r="AG142" i="20"/>
  <c r="AH141" i="20"/>
  <c r="AG141" i="20"/>
  <c r="AH140" i="20"/>
  <c r="AG140" i="20"/>
  <c r="AH139" i="20"/>
  <c r="AG139" i="20"/>
  <c r="AH138" i="20"/>
  <c r="AG138" i="20"/>
  <c r="AH137" i="20"/>
  <c r="AG137" i="20"/>
  <c r="AH136" i="20"/>
  <c r="AG136" i="20"/>
  <c r="AH135" i="20"/>
  <c r="AG135" i="20"/>
  <c r="AH134" i="20"/>
  <c r="AG134" i="20"/>
  <c r="AH133" i="20"/>
  <c r="AG133" i="20"/>
  <c r="AH132" i="20"/>
  <c r="AG132" i="20"/>
  <c r="AH131" i="20"/>
  <c r="AG131" i="20"/>
  <c r="AH130" i="20"/>
  <c r="AG130" i="20"/>
  <c r="AH129" i="20"/>
  <c r="AG129" i="20"/>
  <c r="AH128" i="20"/>
  <c r="AG128" i="20"/>
  <c r="AH127" i="20"/>
  <c r="AG127" i="20"/>
  <c r="AH126" i="20"/>
  <c r="AG126" i="20"/>
  <c r="AH125" i="20"/>
  <c r="AG125" i="20"/>
  <c r="AH124" i="20"/>
  <c r="AG124" i="20"/>
  <c r="AH123" i="20"/>
  <c r="AG123" i="20"/>
  <c r="AH122" i="20"/>
  <c r="AG122" i="20"/>
  <c r="AH121" i="20"/>
  <c r="AG121" i="20"/>
  <c r="AH120" i="20"/>
  <c r="AG120" i="20"/>
  <c r="AH119" i="20"/>
  <c r="AG119" i="20"/>
  <c r="AH118" i="20"/>
  <c r="AG118" i="20"/>
  <c r="AH117" i="20"/>
  <c r="AG117" i="20"/>
  <c r="AH116" i="20"/>
  <c r="AG116" i="20"/>
  <c r="AH115" i="20"/>
  <c r="AG115" i="20"/>
  <c r="AH114" i="20"/>
  <c r="AG114" i="20"/>
  <c r="AH113" i="20"/>
  <c r="AG113" i="20"/>
  <c r="AH112" i="20"/>
  <c r="AG112" i="20"/>
  <c r="AH111" i="20"/>
  <c r="AG111" i="20"/>
  <c r="AH110" i="20"/>
  <c r="AG110" i="20"/>
  <c r="AH109" i="20"/>
  <c r="AG109" i="20"/>
  <c r="AH108" i="20"/>
  <c r="AG108" i="20"/>
  <c r="AH107" i="20"/>
  <c r="AG107" i="20"/>
  <c r="AH106" i="20"/>
  <c r="AG106" i="20"/>
  <c r="AH105" i="20"/>
  <c r="AG105" i="20"/>
  <c r="AH104" i="20"/>
  <c r="AG104" i="20"/>
  <c r="AH103" i="20"/>
  <c r="AG103" i="20"/>
  <c r="AH102" i="20"/>
  <c r="AG102" i="20"/>
  <c r="AH101" i="20"/>
  <c r="AG101" i="20"/>
  <c r="AH100" i="20"/>
  <c r="AG100" i="20"/>
  <c r="AH99" i="20"/>
  <c r="AG99" i="20"/>
  <c r="AH98" i="20"/>
  <c r="AG98" i="20"/>
  <c r="AH97" i="20"/>
  <c r="AG97" i="20"/>
  <c r="AH96" i="20"/>
  <c r="AG96" i="20"/>
  <c r="AH95" i="20"/>
  <c r="AG95" i="20"/>
  <c r="AH94" i="20"/>
  <c r="AG94" i="20"/>
  <c r="AH93" i="20"/>
  <c r="AG93" i="20"/>
  <c r="AH92" i="20"/>
  <c r="AG92" i="20"/>
  <c r="AH91" i="20"/>
  <c r="AG91" i="20"/>
  <c r="AH90" i="20"/>
  <c r="AG90" i="20"/>
  <c r="AH89" i="20"/>
  <c r="AG89" i="20"/>
  <c r="AH88" i="20"/>
  <c r="AG88" i="20"/>
  <c r="AH87" i="20"/>
  <c r="AG87" i="20"/>
  <c r="AH86" i="20"/>
  <c r="AG86" i="20"/>
  <c r="AH85" i="20"/>
  <c r="AG85" i="20"/>
  <c r="AH84" i="20"/>
  <c r="AG84" i="20"/>
  <c r="AH83" i="20"/>
  <c r="AG83" i="20"/>
  <c r="AH82" i="20"/>
  <c r="AG82" i="20"/>
  <c r="AH81" i="20"/>
  <c r="AG81" i="20"/>
  <c r="AH80" i="20"/>
  <c r="AG80" i="20"/>
  <c r="AH79" i="20"/>
  <c r="AG79" i="20"/>
  <c r="AH78" i="20"/>
  <c r="AG78" i="20"/>
  <c r="AH77" i="20"/>
  <c r="AG77" i="20"/>
  <c r="AH76" i="20"/>
  <c r="AG76" i="20"/>
  <c r="AH75" i="20"/>
  <c r="AG75" i="20"/>
  <c r="AH74" i="20"/>
  <c r="AG74" i="20"/>
  <c r="AH73" i="20"/>
  <c r="AG73" i="20"/>
  <c r="AH72" i="20"/>
  <c r="AG72" i="20"/>
  <c r="AH71" i="20"/>
  <c r="AG71" i="20"/>
  <c r="AH70" i="20"/>
  <c r="AG70" i="20"/>
  <c r="AH69" i="20"/>
  <c r="AG69" i="20"/>
  <c r="AH68" i="20"/>
  <c r="AG68" i="20"/>
  <c r="AH67" i="20"/>
  <c r="AG67" i="20"/>
  <c r="AH66" i="20"/>
  <c r="AG66" i="20"/>
  <c r="AH65" i="20"/>
  <c r="AG65" i="20"/>
  <c r="AH64" i="20"/>
  <c r="AG64" i="20"/>
  <c r="AH63" i="20"/>
  <c r="AG63" i="20"/>
  <c r="AH62" i="20"/>
  <c r="AG62" i="20"/>
  <c r="AH61" i="20"/>
  <c r="AG61" i="20"/>
  <c r="AH60" i="20"/>
  <c r="AG60" i="20"/>
  <c r="AH59" i="20"/>
  <c r="AG59" i="20"/>
  <c r="AH58" i="20"/>
  <c r="AG58" i="20"/>
  <c r="AH57" i="20"/>
  <c r="AG57" i="20"/>
  <c r="AH56" i="20"/>
  <c r="AG56" i="20"/>
  <c r="AH55" i="20"/>
  <c r="AG55" i="20"/>
  <c r="AH54" i="20"/>
  <c r="AG54" i="20"/>
  <c r="AH53" i="20"/>
  <c r="AG53" i="20"/>
  <c r="AH52" i="20"/>
  <c r="AG52" i="20"/>
  <c r="AH51" i="20"/>
  <c r="AG51" i="20"/>
  <c r="AH50" i="20"/>
  <c r="AG50" i="20"/>
  <c r="AH49" i="20"/>
  <c r="AG49" i="20"/>
  <c r="AH48" i="20"/>
  <c r="AG48" i="20"/>
  <c r="AH47" i="20"/>
  <c r="AG47" i="20"/>
  <c r="AH46" i="20"/>
  <c r="AG46" i="20"/>
  <c r="AH45" i="20"/>
  <c r="AG45" i="20"/>
  <c r="AH44" i="20"/>
  <c r="AG44" i="20"/>
  <c r="AH43" i="20"/>
  <c r="AG43" i="20"/>
  <c r="AH42" i="20"/>
  <c r="AG42" i="20"/>
  <c r="AH41" i="20"/>
  <c r="AG41" i="20"/>
  <c r="AH40" i="20"/>
  <c r="AG40" i="20"/>
  <c r="AH39" i="20"/>
  <c r="AG39" i="20"/>
  <c r="AH38" i="20"/>
  <c r="AG38" i="20"/>
  <c r="AH37" i="20"/>
  <c r="AG37" i="20"/>
  <c r="AH36" i="20"/>
  <c r="AG36" i="20"/>
  <c r="AH35" i="20"/>
  <c r="AG35" i="20"/>
  <c r="AH34" i="20"/>
  <c r="AG34" i="20"/>
  <c r="AH33" i="20"/>
  <c r="AG33" i="20"/>
  <c r="AH32" i="20"/>
  <c r="AG32" i="20"/>
  <c r="AH31" i="20"/>
  <c r="AG31" i="20"/>
  <c r="AH30" i="20"/>
  <c r="AG30" i="20"/>
  <c r="AH29" i="20"/>
  <c r="AG29" i="20"/>
  <c r="AH28" i="20"/>
  <c r="AG28" i="20"/>
  <c r="AH27" i="20"/>
  <c r="AG27" i="20"/>
  <c r="AH26" i="20"/>
  <c r="AG26" i="20"/>
  <c r="AH25" i="20"/>
  <c r="AG25" i="20"/>
  <c r="AH24" i="20"/>
  <c r="AG24" i="20"/>
  <c r="AH23" i="20"/>
  <c r="AG23" i="20"/>
  <c r="AH22" i="20"/>
  <c r="AG22" i="20"/>
  <c r="AH21" i="20"/>
  <c r="AG21" i="20"/>
  <c r="AH20" i="20"/>
  <c r="AG20" i="20"/>
  <c r="AH19" i="20"/>
  <c r="AG19" i="20"/>
  <c r="AH18" i="20"/>
  <c r="AG18" i="20"/>
  <c r="AH17" i="20"/>
  <c r="AG17" i="20"/>
  <c r="AH16" i="20"/>
  <c r="AG15" i="20"/>
  <c r="AG14" i="20"/>
  <c r="AG13" i="20"/>
  <c r="AG12" i="20"/>
  <c r="AH11" i="20"/>
  <c r="AH10" i="20"/>
  <c r="AG7" i="20"/>
  <c r="AG5" i="20"/>
  <c r="AG4" i="20"/>
  <c r="AH3" i="20"/>
  <c r="AG2" i="20"/>
  <c r="B33" i="23" a="1"/>
  <c r="B33" i="23" s="1"/>
  <c r="BI3" i="23" a="1"/>
  <c r="BI3" i="23" s="1"/>
  <c r="A3" i="23" a="1"/>
  <c r="A3" i="23" s="1"/>
  <c r="B33" i="21" a="1"/>
  <c r="B33" i="21" s="1"/>
  <c r="BI3" i="21" a="1"/>
  <c r="BI3" i="21" s="1"/>
  <c r="A3" i="21" a="1"/>
  <c r="A3" i="21" s="1"/>
  <c r="BI3" i="15" a="1"/>
  <c r="BI3" i="15" s="1"/>
  <c r="L3" i="6" a="1"/>
  <c r="L3" i="6" s="1"/>
  <c r="B33" i="15" a="1"/>
  <c r="B33" i="15" s="1"/>
  <c r="A2" i="22" l="1" a="1"/>
  <c r="A2" i="22" s="1"/>
  <c r="A2" i="20" a="1"/>
  <c r="A2" i="20" s="1"/>
  <c r="AH12" i="20"/>
  <c r="AH13" i="20"/>
  <c r="AH8" i="20"/>
  <c r="AH4" i="20"/>
  <c r="AG8" i="20"/>
  <c r="AH5" i="20"/>
  <c r="AG16" i="20"/>
  <c r="AG3" i="20"/>
  <c r="AG11" i="20"/>
  <c r="AH2" i="20"/>
  <c r="AG9" i="20"/>
  <c r="AH15" i="20"/>
  <c r="AH9" i="20"/>
  <c r="AH14" i="20"/>
  <c r="AG10" i="20"/>
  <c r="AG6" i="20"/>
  <c r="AH7" i="20"/>
  <c r="AH6" i="20"/>
  <c r="AD233" i="14"/>
  <c r="AB14" i="14"/>
  <c r="AB12" i="14"/>
  <c r="AB11" i="14"/>
  <c r="AB10" i="14"/>
  <c r="AB9" i="14"/>
  <c r="AC6" i="14"/>
  <c r="AC4" i="14"/>
  <c r="AD3" i="14"/>
  <c r="A3" i="15" a="1"/>
  <c r="A3" i="15" s="1"/>
  <c r="AB8" i="14"/>
  <c r="AC8" i="14"/>
  <c r="AD8" i="14"/>
  <c r="AD14" i="14"/>
  <c r="AB15" i="14"/>
  <c r="AC15" i="14"/>
  <c r="AD15" i="14"/>
  <c r="AB16" i="14"/>
  <c r="AC16" i="14"/>
  <c r="AD16" i="14"/>
  <c r="AB17" i="14"/>
  <c r="AC17" i="14"/>
  <c r="AD17" i="14"/>
  <c r="AB18" i="14"/>
  <c r="AC18" i="14"/>
  <c r="AD18" i="14"/>
  <c r="AB19" i="14"/>
  <c r="AC19" i="14"/>
  <c r="AD19" i="14"/>
  <c r="AB20" i="14"/>
  <c r="AC20" i="14"/>
  <c r="AD20" i="14"/>
  <c r="AB21" i="14"/>
  <c r="AC21" i="14"/>
  <c r="AD21" i="14"/>
  <c r="AB22" i="14"/>
  <c r="AC22" i="14"/>
  <c r="AD22" i="14"/>
  <c r="AB23" i="14"/>
  <c r="AC23" i="14"/>
  <c r="AD23" i="14"/>
  <c r="AB24" i="14"/>
  <c r="AC24" i="14"/>
  <c r="AD24" i="14"/>
  <c r="AB25" i="14"/>
  <c r="AC25" i="14"/>
  <c r="AD25" i="14"/>
  <c r="AB26" i="14"/>
  <c r="AC26" i="14"/>
  <c r="AD26" i="14"/>
  <c r="AB27" i="14"/>
  <c r="AC27" i="14"/>
  <c r="AD27" i="14"/>
  <c r="AB28" i="14"/>
  <c r="AC28" i="14"/>
  <c r="AD28" i="14"/>
  <c r="AB29" i="14"/>
  <c r="AC29" i="14"/>
  <c r="AD29" i="14"/>
  <c r="AB30" i="14"/>
  <c r="AC30" i="14"/>
  <c r="AD30" i="14"/>
  <c r="AB31" i="14"/>
  <c r="AC31" i="14"/>
  <c r="AD31" i="14"/>
  <c r="AB33" i="14"/>
  <c r="AC33" i="14"/>
  <c r="AD33" i="14"/>
  <c r="AB34" i="14"/>
  <c r="AC34" i="14"/>
  <c r="AD34" i="14"/>
  <c r="AB35" i="14"/>
  <c r="AC35" i="14"/>
  <c r="AD35" i="14"/>
  <c r="AB36" i="14"/>
  <c r="AC36" i="14"/>
  <c r="AD36" i="14"/>
  <c r="AB37" i="14"/>
  <c r="AC37" i="14"/>
  <c r="AD37" i="14"/>
  <c r="AB38" i="14"/>
  <c r="AC38" i="14"/>
  <c r="AD38" i="14"/>
  <c r="AB39" i="14"/>
  <c r="AC39" i="14"/>
  <c r="AD39" i="14"/>
  <c r="AB40" i="14"/>
  <c r="AC40" i="14"/>
  <c r="AD40" i="14"/>
  <c r="AB41" i="14"/>
  <c r="AC41" i="14"/>
  <c r="AD41" i="14"/>
  <c r="AB42" i="14"/>
  <c r="AC42" i="14"/>
  <c r="AD42" i="14"/>
  <c r="AB43" i="14"/>
  <c r="AC43" i="14"/>
  <c r="AD43" i="14"/>
  <c r="AB44" i="14"/>
  <c r="AC44" i="14"/>
  <c r="AD44" i="14"/>
  <c r="AB45" i="14"/>
  <c r="AC45" i="14"/>
  <c r="AD45" i="14"/>
  <c r="AB48" i="14"/>
  <c r="AC48" i="14"/>
  <c r="AD48" i="14"/>
  <c r="AB49" i="14"/>
  <c r="AC49" i="14"/>
  <c r="AD49" i="14"/>
  <c r="AB50" i="14"/>
  <c r="AC50" i="14"/>
  <c r="AD50" i="14"/>
  <c r="AB51" i="14"/>
  <c r="AC51" i="14"/>
  <c r="AD51" i="14"/>
  <c r="AB52" i="14"/>
  <c r="AC52" i="14"/>
  <c r="AD52" i="14"/>
  <c r="AB53" i="14"/>
  <c r="AC53" i="14"/>
  <c r="AD53" i="14"/>
  <c r="AB54" i="14"/>
  <c r="AC54" i="14"/>
  <c r="AD54" i="14"/>
  <c r="AB55" i="14"/>
  <c r="AC55" i="14"/>
  <c r="AD55" i="14"/>
  <c r="AB56" i="14"/>
  <c r="AC56" i="14"/>
  <c r="AD56" i="14"/>
  <c r="AB57" i="14"/>
  <c r="AC57" i="14"/>
  <c r="AD57" i="14"/>
  <c r="AB58" i="14"/>
  <c r="AC58" i="14"/>
  <c r="AD58" i="14"/>
  <c r="AB59" i="14"/>
  <c r="AC59" i="14"/>
  <c r="AD59" i="14"/>
  <c r="AB60" i="14"/>
  <c r="AC60" i="14"/>
  <c r="AD60" i="14"/>
  <c r="AB61" i="14"/>
  <c r="AC61" i="14"/>
  <c r="AD61" i="14"/>
  <c r="AB65" i="14"/>
  <c r="AC65" i="14"/>
  <c r="AD65" i="14"/>
  <c r="AB66" i="14"/>
  <c r="AC66" i="14"/>
  <c r="AD66" i="14"/>
  <c r="AB67" i="14"/>
  <c r="AC67" i="14"/>
  <c r="AD67" i="14"/>
  <c r="AB68" i="14"/>
  <c r="AC68" i="14"/>
  <c r="AD68" i="14"/>
  <c r="AB69" i="14"/>
  <c r="AC69" i="14"/>
  <c r="AD69" i="14"/>
  <c r="AB70" i="14"/>
  <c r="AC70" i="14"/>
  <c r="AD70" i="14"/>
  <c r="AB71" i="14"/>
  <c r="AC71" i="14"/>
  <c r="AD71" i="14"/>
  <c r="AB72" i="14"/>
  <c r="AC72" i="14"/>
  <c r="AD72" i="14"/>
  <c r="AB73" i="14"/>
  <c r="AC73" i="14"/>
  <c r="AD73" i="14"/>
  <c r="AB78" i="14"/>
  <c r="AC78" i="14"/>
  <c r="AD78" i="14"/>
  <c r="AB79" i="14"/>
  <c r="AC79" i="14"/>
  <c r="AD79" i="14"/>
  <c r="AB80" i="14"/>
  <c r="AC80" i="14"/>
  <c r="AD80" i="14"/>
  <c r="AB81" i="14"/>
  <c r="AC81" i="14"/>
  <c r="AD81" i="14"/>
  <c r="AB82" i="14"/>
  <c r="AC82" i="14"/>
  <c r="AD82" i="14"/>
  <c r="AB83" i="14"/>
  <c r="AC83" i="14"/>
  <c r="AD83" i="14"/>
  <c r="AB84" i="14"/>
  <c r="AC84" i="14"/>
  <c r="AD84" i="14"/>
  <c r="AB85" i="14"/>
  <c r="AC85" i="14"/>
  <c r="AD85" i="14"/>
  <c r="AB86" i="14"/>
  <c r="AC86" i="14"/>
  <c r="AD86" i="14"/>
  <c r="AB87" i="14"/>
  <c r="AC87" i="14"/>
  <c r="AD87" i="14"/>
  <c r="AB88" i="14"/>
  <c r="AC88" i="14"/>
  <c r="AD88" i="14"/>
  <c r="AB89" i="14"/>
  <c r="AC89" i="14"/>
  <c r="AD89" i="14"/>
  <c r="AB94" i="14"/>
  <c r="AC94" i="14"/>
  <c r="AD94" i="14"/>
  <c r="AB95" i="14"/>
  <c r="AC95" i="14"/>
  <c r="AD95" i="14"/>
  <c r="AB97" i="14"/>
  <c r="AC97" i="14"/>
  <c r="AD97" i="14"/>
  <c r="AB98" i="14"/>
  <c r="AC98" i="14"/>
  <c r="AD98" i="14"/>
  <c r="AB99" i="14"/>
  <c r="AC99" i="14"/>
  <c r="AD99" i="14"/>
  <c r="AB100" i="14"/>
  <c r="AC100" i="14"/>
  <c r="AD100" i="14"/>
  <c r="AB101" i="14"/>
  <c r="AC101" i="14"/>
  <c r="AD101" i="14"/>
  <c r="AB102" i="14"/>
  <c r="AC102" i="14"/>
  <c r="AD102" i="14"/>
  <c r="AB103" i="14"/>
  <c r="AC103" i="14"/>
  <c r="AD103" i="14"/>
  <c r="AB104" i="14"/>
  <c r="AC104" i="14"/>
  <c r="AD104" i="14"/>
  <c r="AB105" i="14"/>
  <c r="AC105" i="14"/>
  <c r="AD105" i="14"/>
  <c r="AB112" i="14"/>
  <c r="AC112" i="14"/>
  <c r="AD112" i="14"/>
  <c r="AB113" i="14"/>
  <c r="AC113" i="14"/>
  <c r="AD113" i="14"/>
  <c r="AB114" i="14"/>
  <c r="AC114" i="14"/>
  <c r="AD114" i="14"/>
  <c r="AB115" i="14"/>
  <c r="AC115" i="14"/>
  <c r="AD115" i="14"/>
  <c r="AB116" i="14"/>
  <c r="AC116" i="14"/>
  <c r="AD116" i="14"/>
  <c r="AB117" i="14"/>
  <c r="AC117" i="14"/>
  <c r="AD117" i="14"/>
  <c r="AB118" i="14"/>
  <c r="AC118" i="14"/>
  <c r="AD118" i="14"/>
  <c r="AB119" i="14"/>
  <c r="AC119" i="14"/>
  <c r="AD119" i="14"/>
  <c r="AB120" i="14"/>
  <c r="AC120" i="14"/>
  <c r="AD120" i="14"/>
  <c r="AB121" i="14"/>
  <c r="AC121" i="14"/>
  <c r="AD121" i="14"/>
  <c r="AB129" i="14"/>
  <c r="AC129" i="14"/>
  <c r="AD129" i="14"/>
  <c r="AB138" i="14"/>
  <c r="AC138" i="14"/>
  <c r="AD138" i="14"/>
  <c r="AB139" i="14"/>
  <c r="AC139" i="14"/>
  <c r="AD139" i="14"/>
  <c r="AB140" i="14"/>
  <c r="AC140" i="14"/>
  <c r="AD140" i="14"/>
  <c r="AB141" i="14"/>
  <c r="AC141" i="14"/>
  <c r="AD141" i="14"/>
  <c r="AB142" i="14"/>
  <c r="AC142" i="14"/>
  <c r="AD142" i="14"/>
  <c r="AB143" i="14"/>
  <c r="AC143" i="14"/>
  <c r="AD143" i="14"/>
  <c r="AB144" i="14"/>
  <c r="AC144" i="14"/>
  <c r="AD144" i="14"/>
  <c r="AB145" i="14"/>
  <c r="AC145" i="14"/>
  <c r="AD145" i="14"/>
  <c r="AB154" i="14"/>
  <c r="AC154" i="14"/>
  <c r="AD154" i="14"/>
  <c r="AB155" i="14"/>
  <c r="AC155" i="14"/>
  <c r="AD155" i="14"/>
  <c r="AB156" i="14"/>
  <c r="AC156" i="14"/>
  <c r="AD156" i="14"/>
  <c r="AB157" i="14"/>
  <c r="AC157" i="14"/>
  <c r="AD157" i="14"/>
  <c r="AB158" i="14"/>
  <c r="AC158" i="14"/>
  <c r="AD158" i="14"/>
  <c r="AB159" i="14"/>
  <c r="AC159" i="14"/>
  <c r="AD159" i="14"/>
  <c r="AB161" i="14"/>
  <c r="AC161" i="14"/>
  <c r="AD161" i="14"/>
  <c r="AB169" i="14"/>
  <c r="AC169" i="14"/>
  <c r="AD169" i="14"/>
  <c r="AB170" i="14"/>
  <c r="AC170" i="14"/>
  <c r="AD170" i="14"/>
  <c r="AB171" i="14"/>
  <c r="AC171" i="14"/>
  <c r="AD171" i="14"/>
  <c r="AB172" i="14"/>
  <c r="AC172" i="14"/>
  <c r="AD172" i="14"/>
  <c r="AB173" i="14"/>
  <c r="AC173" i="14"/>
  <c r="AD173" i="14"/>
  <c r="AB176" i="14"/>
  <c r="AC176" i="14"/>
  <c r="AD176" i="14"/>
  <c r="AB177" i="14"/>
  <c r="AC177" i="14"/>
  <c r="AD177" i="14"/>
  <c r="AB186" i="14"/>
  <c r="AC186" i="14"/>
  <c r="AD186" i="14"/>
  <c r="AB187" i="14"/>
  <c r="AC187" i="14"/>
  <c r="AD187" i="14"/>
  <c r="AB188" i="14"/>
  <c r="AC188" i="14"/>
  <c r="AD188" i="14"/>
  <c r="AB189" i="14"/>
  <c r="AC189" i="14"/>
  <c r="AD189" i="14"/>
  <c r="AB193" i="14"/>
  <c r="AC193" i="14"/>
  <c r="AD193" i="14"/>
  <c r="AB206" i="14"/>
  <c r="AC206" i="14"/>
  <c r="AD206" i="14"/>
  <c r="AB207" i="14"/>
  <c r="AC207" i="14"/>
  <c r="AD207" i="14"/>
  <c r="AB208" i="14"/>
  <c r="AC208" i="14"/>
  <c r="AD208" i="14"/>
  <c r="AB209" i="14"/>
  <c r="AC209" i="14"/>
  <c r="AD209" i="14"/>
  <c r="AB222" i="14"/>
  <c r="AC222" i="14"/>
  <c r="AD222" i="14"/>
  <c r="AB223" i="14"/>
  <c r="AC223" i="14"/>
  <c r="AD223" i="14"/>
  <c r="AB225" i="14"/>
  <c r="AC225" i="14"/>
  <c r="AD225" i="14"/>
  <c r="AB240" i="14"/>
  <c r="AC240" i="14"/>
  <c r="AD240" i="14"/>
  <c r="AB241" i="14"/>
  <c r="AC241" i="14"/>
  <c r="AD241" i="14"/>
  <c r="B2" i="14" a="1"/>
  <c r="B2" i="14" s="1"/>
  <c r="C2" i="14" s="1" a="1"/>
  <c r="C2" i="14" s="1"/>
  <c r="B2" i="3" a="1"/>
  <c r="B2" i="3" s="1"/>
  <c r="A2" i="3" s="1" a="1"/>
  <c r="A2" i="3" s="1"/>
  <c r="AQ2" i="6" a="1"/>
  <c r="AQ2" i="6" s="1"/>
  <c r="AP2" i="6" a="1"/>
  <c r="AP2" i="6" s="1"/>
  <c r="AO2" i="6" a="1"/>
  <c r="AO2" i="6" s="1"/>
  <c r="AN2" i="6" a="1"/>
  <c r="AN2" i="6" s="1"/>
  <c r="AM2" i="6" a="1"/>
  <c r="AM2" i="6" s="1"/>
  <c r="AL2" i="6" a="1"/>
  <c r="AL2" i="6" s="1"/>
  <c r="AK2" i="6" a="1"/>
  <c r="AK2" i="6" s="1"/>
  <c r="AJ2" i="6" a="1"/>
  <c r="AJ2" i="6" s="1"/>
  <c r="AI2" i="6" a="1"/>
  <c r="AI2" i="6" s="1"/>
  <c r="AH2" i="6" a="1"/>
  <c r="AH2" i="6" s="1"/>
  <c r="AG2" i="6" a="1"/>
  <c r="AG2" i="6" s="1"/>
  <c r="AF2" i="6" a="1"/>
  <c r="AF2" i="6" s="1"/>
  <c r="AE2" i="6" a="1"/>
  <c r="AE2" i="6" s="1"/>
  <c r="AD2" i="6" a="1"/>
  <c r="Z2" i="6" a="1"/>
  <c r="Z2" i="6" s="1"/>
  <c r="H2" i="6" a="1"/>
  <c r="H2" i="6" s="1"/>
  <c r="T2" i="1" a="1"/>
  <c r="T2" i="1" s="1"/>
  <c r="U2" i="1" s="1" a="1"/>
  <c r="U2" i="1" s="1"/>
  <c r="R2" i="1"/>
  <c r="Q2" i="1"/>
  <c r="P2" i="1"/>
  <c r="AF2" i="14" s="1" a="1"/>
  <c r="AF2" i="14" s="1"/>
  <c r="O2" i="1"/>
  <c r="A52" i="1"/>
  <c r="AO2" i="20" l="1" a="1"/>
  <c r="AO2" i="20" s="1"/>
  <c r="AJ2" i="20" a="1"/>
  <c r="AJ2" i="20" s="1"/>
  <c r="F2" i="20" a="1"/>
  <c r="F2" i="20" s="1"/>
  <c r="G2" i="20" s="1" a="1"/>
  <c r="G2" i="20" s="1"/>
  <c r="K2" i="20" s="1" a="1"/>
  <c r="K2" i="20" s="1"/>
  <c r="E2" i="20" a="1"/>
  <c r="E2" i="20" s="1"/>
  <c r="AL2" i="22" a="1"/>
  <c r="AL2" i="22" s="1"/>
  <c r="AG2" i="22" a="1"/>
  <c r="AG2" i="22" s="1"/>
  <c r="F2" i="22" a="1"/>
  <c r="F2" i="22" s="1"/>
  <c r="G2" i="22" s="1" a="1"/>
  <c r="G2" i="22" s="1"/>
  <c r="E2" i="22" a="1"/>
  <c r="E2" i="22" s="1"/>
  <c r="AD2" i="6"/>
  <c r="AD162" i="14"/>
  <c r="AB165" i="14"/>
  <c r="AB185" i="14"/>
  <c r="AB108" i="14"/>
  <c r="E2" i="14" a="1"/>
  <c r="E2" i="14" s="1"/>
  <c r="AK2" i="14" a="1"/>
  <c r="AK2" i="14" s="1"/>
  <c r="AC7" i="14"/>
  <c r="AB7" i="14"/>
  <c r="AD7" i="14"/>
  <c r="AD2" i="14"/>
  <c r="AB107" i="14"/>
  <c r="AB226" i="14"/>
  <c r="AB182" i="14"/>
  <c r="AD5" i="14"/>
  <c r="AD4" i="14"/>
  <c r="AC13" i="14"/>
  <c r="AB5" i="14"/>
  <c r="AB4" i="14"/>
  <c r="AB13" i="14"/>
  <c r="AC14" i="14"/>
  <c r="AD12" i="14"/>
  <c r="AC137" i="14"/>
  <c r="AC12" i="14"/>
  <c r="AD6" i="14"/>
  <c r="AB6" i="14"/>
  <c r="AD11" i="14"/>
  <c r="AC11" i="14"/>
  <c r="AC3" i="14"/>
  <c r="AB3" i="14"/>
  <c r="AD13" i="14"/>
  <c r="AB2" i="14"/>
  <c r="AD10" i="14"/>
  <c r="AB227" i="14"/>
  <c r="AC5" i="14"/>
  <c r="AC2" i="14"/>
  <c r="AC10" i="14"/>
  <c r="AD9" i="14"/>
  <c r="AC9" i="14"/>
  <c r="AD228" i="14"/>
  <c r="AB46" i="14"/>
  <c r="AB47" i="14"/>
  <c r="AB63" i="14"/>
  <c r="AC64" i="14"/>
  <c r="AB74" i="14"/>
  <c r="AC76" i="14"/>
  <c r="AD77" i="14"/>
  <c r="AB91" i="14"/>
  <c r="AC92" i="14"/>
  <c r="AB90" i="14"/>
  <c r="AB96" i="14"/>
  <c r="AD109" i="14"/>
  <c r="AB111" i="14"/>
  <c r="AB110" i="14"/>
  <c r="AD106" i="14"/>
  <c r="AB124" i="14"/>
  <c r="AB125" i="14"/>
  <c r="AC126" i="14"/>
  <c r="AC123" i="14"/>
  <c r="AB127" i="14"/>
  <c r="AD128" i="14"/>
  <c r="AB133" i="14"/>
  <c r="AC131" i="14"/>
  <c r="AB136" i="14"/>
  <c r="AC132" i="14"/>
  <c r="AB134" i="14"/>
  <c r="AC135" i="14"/>
  <c r="AC130" i="14"/>
  <c r="AB160" i="14"/>
  <c r="AB153" i="14"/>
  <c r="AD152" i="14"/>
  <c r="AC151" i="14"/>
  <c r="AD150" i="14"/>
  <c r="AB149" i="14"/>
  <c r="AB148" i="14"/>
  <c r="AB147" i="14"/>
  <c r="AB174" i="14"/>
  <c r="AB168" i="14"/>
  <c r="AB175" i="14"/>
  <c r="AC167" i="14"/>
  <c r="AC166" i="14"/>
  <c r="AC164" i="14"/>
  <c r="AB163" i="14"/>
  <c r="AD190" i="14"/>
  <c r="AB191" i="14"/>
  <c r="AC184" i="14"/>
  <c r="AB183" i="14"/>
  <c r="AB181" i="14"/>
  <c r="AC180" i="14"/>
  <c r="AB179" i="14"/>
  <c r="AB205" i="14"/>
  <c r="AB204" i="14"/>
  <c r="AD202" i="14"/>
  <c r="AC201" i="14"/>
  <c r="AD200" i="14"/>
  <c r="AB203" i="14"/>
  <c r="AB197" i="14"/>
  <c r="AC198" i="14"/>
  <c r="AB196" i="14"/>
  <c r="AC195" i="14"/>
  <c r="AC217" i="14"/>
  <c r="AD217" i="14"/>
  <c r="AB217" i="14"/>
  <c r="AC219" i="14"/>
  <c r="AD219" i="14"/>
  <c r="AB219" i="14"/>
  <c r="AD215" i="14"/>
  <c r="AC215" i="14"/>
  <c r="AC224" i="14"/>
  <c r="AC221" i="14"/>
  <c r="AD220" i="14"/>
  <c r="AB218" i="14"/>
  <c r="AD214" i="14"/>
  <c r="AD213" i="14"/>
  <c r="AB215" i="14"/>
  <c r="AD211" i="14"/>
  <c r="AC235" i="14"/>
  <c r="AD235" i="14"/>
  <c r="AB234" i="14"/>
  <c r="AC234" i="14"/>
  <c r="AD234" i="14"/>
  <c r="AC236" i="14"/>
  <c r="AC237" i="14"/>
  <c r="AC231" i="14"/>
  <c r="AB232" i="14"/>
  <c r="AD230" i="14"/>
  <c r="AB233" i="14"/>
  <c r="AB229" i="14"/>
  <c r="AB238" i="14"/>
  <c r="AB253" i="14"/>
  <c r="AC253" i="14"/>
  <c r="AD253" i="14"/>
  <c r="AD255" i="14"/>
  <c r="AB255" i="14"/>
  <c r="AC255" i="14"/>
  <c r="AD249" i="14"/>
  <c r="AC249" i="14"/>
  <c r="AD204" i="14"/>
  <c r="AD246" i="14"/>
  <c r="AC204" i="14"/>
  <c r="AC246" i="14"/>
  <c r="AB246" i="14"/>
  <c r="AD203" i="14"/>
  <c r="AB198" i="14"/>
  <c r="AD248" i="14"/>
  <c r="AC247" i="14"/>
  <c r="AB249" i="14"/>
  <c r="AB237" i="14"/>
  <c r="AD237" i="14"/>
  <c r="AB224" i="14"/>
  <c r="AD224" i="14"/>
  <c r="AB210" i="14"/>
  <c r="AC233" i="14"/>
  <c r="AD232" i="14"/>
  <c r="AC232" i="14"/>
  <c r="AC203" i="14"/>
  <c r="AD198" i="14"/>
  <c r="AB167" i="14"/>
  <c r="AC194" i="14"/>
  <c r="AD191" i="14"/>
  <c r="AD167" i="14"/>
  <c r="AB166" i="14"/>
  <c r="AC191" i="14"/>
  <c r="AD166" i="14"/>
  <c r="AD174" i="14"/>
  <c r="AC174" i="14"/>
  <c r="AD160" i="14"/>
  <c r="AC160" i="14"/>
  <c r="AD175" i="14"/>
  <c r="AC175" i="14"/>
  <c r="AC162" i="14"/>
  <c r="AB162" i="14"/>
  <c r="AB135" i="14"/>
  <c r="AD134" i="14"/>
  <c r="AC146" i="14"/>
  <c r="AB146" i="14"/>
  <c r="AD146" i="14"/>
  <c r="AD132" i="14"/>
  <c r="AB132" i="14"/>
  <c r="AB130" i="14"/>
  <c r="AD125" i="14"/>
  <c r="AD130" i="14"/>
  <c r="AD124" i="14"/>
  <c r="AC124" i="14"/>
  <c r="AB123" i="14"/>
  <c r="AD92" i="14"/>
  <c r="AD91" i="14"/>
  <c r="AC63" i="14"/>
  <c r="AC91" i="14"/>
  <c r="AD90" i="14"/>
  <c r="AD135" i="14"/>
  <c r="AD123" i="14"/>
  <c r="AC90" i="14"/>
  <c r="AB92" i="14"/>
  <c r="AB32" i="14"/>
  <c r="AC134" i="14"/>
  <c r="AD111" i="14"/>
  <c r="AD63" i="14"/>
  <c r="AC111" i="14"/>
  <c r="AD110" i="14"/>
  <c r="AC110" i="14"/>
  <c r="AC125" i="14"/>
  <c r="AD74" i="14"/>
  <c r="AC74" i="14"/>
  <c r="A2" i="14" a="1"/>
  <c r="A2" i="14" s="1"/>
  <c r="F2" i="3" a="1"/>
  <c r="F2" i="3" s="1"/>
  <c r="C2" i="3" a="1"/>
  <c r="C2" i="3" s="1"/>
  <c r="F2" i="14" a="1"/>
  <c r="F2" i="14" s="1"/>
  <c r="A2" i="5" a="1"/>
  <c r="A2" i="5" s="1"/>
  <c r="N2" i="22" l="1" a="1"/>
  <c r="N2" i="22" s="1"/>
  <c r="J2" i="22" a="1"/>
  <c r="J2" i="22" s="1"/>
  <c r="L2" i="22" a="1"/>
  <c r="L2" i="22" s="1"/>
  <c r="M2" i="22" a="1"/>
  <c r="M2" i="22" s="1"/>
  <c r="H2" i="20" a="1"/>
  <c r="H2" i="20" s="1"/>
  <c r="M2" i="20" a="1"/>
  <c r="M2" i="20" s="1"/>
  <c r="J2" i="20" a="1"/>
  <c r="J2" i="20" s="1"/>
  <c r="L2" i="20" a="1"/>
  <c r="L2" i="20" s="1"/>
  <c r="H2" i="22" a="1"/>
  <c r="H2" i="22" s="1"/>
  <c r="N2" i="20" a="1"/>
  <c r="N2" i="20" s="1"/>
  <c r="K2" i="22" a="1"/>
  <c r="K2" i="22" s="1"/>
  <c r="AC238" i="14"/>
  <c r="AD238" i="14"/>
  <c r="AB75" i="14"/>
  <c r="AB235" i="14"/>
  <c r="AD178" i="14"/>
  <c r="AC239" i="14"/>
  <c r="AB178" i="14"/>
  <c r="AD239" i="14"/>
  <c r="AD75" i="14"/>
  <c r="AC178" i="14"/>
  <c r="AC75" i="14"/>
  <c r="AB239" i="14"/>
  <c r="AB199" i="14"/>
  <c r="AB192" i="14"/>
  <c r="AD243" i="14"/>
  <c r="AB93" i="14"/>
  <c r="AC93" i="14"/>
  <c r="AB243" i="14"/>
  <c r="AD93" i="14"/>
  <c r="AC192" i="14"/>
  <c r="AC199" i="14"/>
  <c r="AC243" i="14"/>
  <c r="AD192" i="14"/>
  <c r="AD199" i="14"/>
  <c r="AB251" i="14"/>
  <c r="AD122" i="14"/>
  <c r="AC251" i="14"/>
  <c r="AB250" i="14"/>
  <c r="AC250" i="14"/>
  <c r="AD250" i="14"/>
  <c r="AD251" i="14"/>
  <c r="AB64" i="14"/>
  <c r="AD76" i="14"/>
  <c r="AD254" i="14"/>
  <c r="AD64" i="14"/>
  <c r="AB254" i="14"/>
  <c r="AC254" i="14"/>
  <c r="AD47" i="14"/>
  <c r="AC47" i="14"/>
  <c r="AD226" i="14"/>
  <c r="AC226" i="14"/>
  <c r="AC122" i="14"/>
  <c r="AB212" i="14"/>
  <c r="AC212" i="14"/>
  <c r="AB122" i="14"/>
  <c r="AC62" i="14"/>
  <c r="AB242" i="14"/>
  <c r="AD62" i="14"/>
  <c r="AB76" i="14"/>
  <c r="AD136" i="14"/>
  <c r="AD212" i="14"/>
  <c r="AC46" i="14"/>
  <c r="AD46" i="14"/>
  <c r="AC242" i="14"/>
  <c r="AD242" i="14"/>
  <c r="AB244" i="14"/>
  <c r="AC244" i="14"/>
  <c r="AD244" i="14"/>
  <c r="AB245" i="14"/>
  <c r="AB62" i="14"/>
  <c r="AC77" i="14"/>
  <c r="AB77" i="14"/>
  <c r="AB109" i="14"/>
  <c r="AC109" i="14"/>
  <c r="AC245" i="14"/>
  <c r="AD245" i="14"/>
  <c r="AC136" i="14"/>
  <c r="AC107" i="14"/>
  <c r="AD107" i="14"/>
  <c r="AC133" i="14"/>
  <c r="AB126" i="14"/>
  <c r="AC108" i="14"/>
  <c r="AD96" i="14"/>
  <c r="AC96" i="14"/>
  <c r="AD108" i="14"/>
  <c r="AD127" i="14"/>
  <c r="AD126" i="14"/>
  <c r="AD137" i="14"/>
  <c r="AD179" i="14"/>
  <c r="AC106" i="14"/>
  <c r="AB106" i="14"/>
  <c r="AC127" i="14"/>
  <c r="AB131" i="14"/>
  <c r="AB128" i="14"/>
  <c r="AC152" i="14"/>
  <c r="AC128" i="14"/>
  <c r="AB195" i="14"/>
  <c r="AC149" i="14"/>
  <c r="AD133" i="14"/>
  <c r="AC181" i="14"/>
  <c r="AB137" i="14"/>
  <c r="AD131" i="14"/>
  <c r="AC179" i="14"/>
  <c r="AC148" i="14"/>
  <c r="AD148" i="14"/>
  <c r="AD168" i="14"/>
  <c r="AC185" i="14"/>
  <c r="AC153" i="14"/>
  <c r="AB150" i="14"/>
  <c r="AD151" i="14"/>
  <c r="AC150" i="14"/>
  <c r="AB151" i="14"/>
  <c r="AD153" i="14"/>
  <c r="AB152" i="14"/>
  <c r="AC168" i="14"/>
  <c r="AC147" i="14"/>
  <c r="AC218" i="14"/>
  <c r="AD184" i="14"/>
  <c r="AC183" i="14"/>
  <c r="AD163" i="14"/>
  <c r="AB190" i="14"/>
  <c r="AB164" i="14"/>
  <c r="AD164" i="14"/>
  <c r="AB213" i="14"/>
  <c r="AC213" i="14"/>
  <c r="AD149" i="14"/>
  <c r="AD147" i="14"/>
  <c r="AC165" i="14"/>
  <c r="AB202" i="14"/>
  <c r="AD197" i="14"/>
  <c r="AC182" i="14"/>
  <c r="AD181" i="14"/>
  <c r="AD185" i="14"/>
  <c r="AD218" i="14"/>
  <c r="AC163" i="14"/>
  <c r="AD165" i="14"/>
  <c r="AD183" i="14"/>
  <c r="AC190" i="14"/>
  <c r="AC197" i="14"/>
  <c r="AC202" i="14"/>
  <c r="AB180" i="14"/>
  <c r="AD236" i="14"/>
  <c r="AD180" i="14"/>
  <c r="AB184" i="14"/>
  <c r="AD182" i="14"/>
  <c r="AB201" i="14"/>
  <c r="AD195" i="14"/>
  <c r="AC196" i="14"/>
  <c r="AB200" i="14"/>
  <c r="AD196" i="14"/>
  <c r="AC200" i="14"/>
  <c r="AC205" i="14"/>
  <c r="AD205" i="14"/>
  <c r="AC228" i="14"/>
  <c r="AD201" i="14"/>
  <c r="AD221" i="14"/>
  <c r="AB211" i="14"/>
  <c r="AC211" i="14"/>
  <c r="AB214" i="14"/>
  <c r="AC216" i="14"/>
  <c r="AD216" i="14"/>
  <c r="AB221" i="14"/>
  <c r="AB220" i="14"/>
  <c r="AC220" i="14"/>
  <c r="AD231" i="14"/>
  <c r="AC230" i="14"/>
  <c r="AC214" i="14"/>
  <c r="AC248" i="14"/>
  <c r="AB216" i="14"/>
  <c r="AB248" i="14"/>
  <c r="AD247" i="14"/>
  <c r="AC227" i="14"/>
  <c r="AD227" i="14"/>
  <c r="AC229" i="14"/>
  <c r="AD229" i="14"/>
  <c r="AB230" i="14"/>
  <c r="AB228" i="14"/>
  <c r="AB231" i="14"/>
  <c r="AB236" i="14"/>
  <c r="AB247" i="14"/>
  <c r="AD252" i="14"/>
  <c r="AC252" i="14"/>
  <c r="AB252" i="14"/>
  <c r="AD210" i="14"/>
  <c r="AC210" i="14"/>
  <c r="AD194" i="14"/>
  <c r="AB194" i="14"/>
  <c r="AD32" i="14"/>
  <c r="AC32" i="14"/>
  <c r="G2" i="14" a="1"/>
  <c r="G2" i="14" s="1"/>
  <c r="CM2" i="3" a="1"/>
  <c r="CM2" i="3" s="1"/>
  <c r="AA2" i="3" a="1"/>
  <c r="AA2" i="3" s="1"/>
  <c r="C4" i="25" s="1" a="1"/>
  <c r="C4" i="25" s="1"/>
  <c r="E2" i="3" a="1"/>
  <c r="E2" i="3" s="1"/>
  <c r="O2" i="22" l="1" a="1"/>
  <c r="O2" i="22" s="1"/>
  <c r="I2" i="20" a="1"/>
  <c r="I2" i="20" s="1"/>
  <c r="Q2" i="20" s="1" a="1"/>
  <c r="Q2" i="20" s="1"/>
  <c r="O2" i="20" a="1"/>
  <c r="O2" i="20" s="1"/>
  <c r="I2" i="22" a="1"/>
  <c r="I2" i="22" s="1"/>
  <c r="Q2" i="22" s="1" a="1"/>
  <c r="Q2" i="22" s="1"/>
  <c r="AH2" i="22" s="1" a="1"/>
  <c r="AH2" i="22" s="1"/>
  <c r="B4" i="25" a="1"/>
  <c r="B4" i="25" s="1"/>
  <c r="D4" i="25" a="1"/>
  <c r="D4" i="25" s="1"/>
  <c r="H2" i="14" a="1"/>
  <c r="H2" i="14" s="1"/>
  <c r="E4" i="25" a="1"/>
  <c r="E4" i="25" s="1"/>
  <c r="AU2" i="3" a="1"/>
  <c r="AB2" i="3" a="1"/>
  <c r="AB2" i="3" s="1"/>
  <c r="AJ2" i="22" l="1" a="1"/>
  <c r="AJ2" i="22" s="1"/>
  <c r="AI2" i="22" a="1"/>
  <c r="AI2" i="22" s="1"/>
  <c r="AK2" i="20" a="1"/>
  <c r="AK2" i="20" s="1"/>
  <c r="AL2" i="20" s="1" a="1"/>
  <c r="AL2" i="20" s="1"/>
  <c r="AV2" i="3" a="1"/>
  <c r="J4" i="25" a="1"/>
  <c r="J4" i="25" s="1"/>
  <c r="AC2" i="3" a="1"/>
  <c r="AC2" i="3" s="1"/>
  <c r="H4" i="25" a="1"/>
  <c r="H4" i="25" s="1"/>
  <c r="AU2" i="3"/>
  <c r="P2" i="5" l="1" a="1"/>
  <c r="P2" i="5" s="1"/>
  <c r="AV2" i="3"/>
  <c r="BP2" i="3" s="1" a="1"/>
  <c r="BP2" i="3" s="1"/>
  <c r="AM2" i="22" a="1"/>
  <c r="AM2" i="22" s="1"/>
  <c r="AM2" i="20" a="1"/>
  <c r="AM2" i="20" s="1"/>
  <c r="I4" i="25" a="1"/>
  <c r="I4" i="25" s="1"/>
  <c r="G4" i="25" a="1"/>
  <c r="G4" i="25" s="1"/>
  <c r="AD2" i="3" a="1"/>
  <c r="AD2" i="3" s="1"/>
  <c r="AW2" i="3" a="1"/>
  <c r="O4" i="25" a="1"/>
  <c r="O4" i="25" s="1"/>
  <c r="M4" i="25" a="1"/>
  <c r="M4" i="25" s="1"/>
  <c r="BO2" i="3" a="1"/>
  <c r="BO2" i="3" s="1"/>
  <c r="AO2" i="22" l="1" a="1"/>
  <c r="AO2" i="22" s="1"/>
  <c r="AN2" i="22" a="1"/>
  <c r="AN2" i="22" s="1"/>
  <c r="B3" i="23" a="1"/>
  <c r="B3" i="23" s="1"/>
  <c r="L2" i="5" a="1"/>
  <c r="L2" i="5" s="1"/>
  <c r="AP2" i="20" a="1"/>
  <c r="AP2" i="20" s="1"/>
  <c r="AW2" i="3"/>
  <c r="BQ2" i="3" s="1" a="1"/>
  <c r="BQ2" i="3" s="1"/>
  <c r="T4" i="25" a="1"/>
  <c r="T4" i="25" s="1"/>
  <c r="AX2" i="3" a="1"/>
  <c r="AE2" i="3" a="1"/>
  <c r="AE2" i="3" s="1"/>
  <c r="R4" i="25" a="1"/>
  <c r="R4" i="25" s="1"/>
  <c r="N4" i="25" a="1"/>
  <c r="N4" i="25" s="1"/>
  <c r="L4" i="25" a="1"/>
  <c r="L4" i="25" s="1"/>
  <c r="AR2" i="20" l="1" a="1"/>
  <c r="AR2" i="20" s="1"/>
  <c r="AQ2" i="20" a="1"/>
  <c r="AQ2" i="20" s="1"/>
  <c r="AX2" i="3"/>
  <c r="BR2" i="3" s="1" a="1"/>
  <c r="BR2" i="3" s="1"/>
  <c r="AF2" i="3" a="1"/>
  <c r="AF2" i="3" s="1"/>
  <c r="Y4" i="25" a="1"/>
  <c r="Y4" i="25" s="1"/>
  <c r="AY2" i="3" a="1"/>
  <c r="W4" i="25" a="1"/>
  <c r="W4" i="25" s="1"/>
  <c r="Q4" i="25" a="1"/>
  <c r="Q4" i="25" s="1"/>
  <c r="S4" i="25" a="1"/>
  <c r="S4" i="25" s="1"/>
  <c r="AY2" i="3" l="1"/>
  <c r="BS2" i="3" s="1" a="1"/>
  <c r="BS2" i="3" s="1"/>
  <c r="AZ2" i="3" a="1"/>
  <c r="AD4" i="25" a="1"/>
  <c r="AD4" i="25" s="1"/>
  <c r="AG2" i="3" a="1"/>
  <c r="AG2" i="3" s="1"/>
  <c r="AB4" i="25" a="1"/>
  <c r="AB4" i="25" s="1"/>
  <c r="X4" i="25" a="1"/>
  <c r="X4" i="25" s="1"/>
  <c r="V4" i="25" a="1"/>
  <c r="V4" i="25" s="1"/>
  <c r="AZ2" i="3" l="1"/>
  <c r="BT2" i="3" s="1" a="1"/>
  <c r="BT2" i="3" s="1"/>
  <c r="AA4" i="25" a="1"/>
  <c r="AA4" i="25" s="1"/>
  <c r="AC4" i="25" a="1"/>
  <c r="AC4" i="25" s="1"/>
  <c r="AH2" i="3" a="1"/>
  <c r="AH2" i="3" s="1"/>
  <c r="AI4" i="25" a="1"/>
  <c r="AI4" i="25" s="1"/>
  <c r="BA2" i="3" a="1"/>
  <c r="AG4" i="25" a="1"/>
  <c r="AG4" i="25" s="1"/>
  <c r="BA2" i="3" l="1"/>
  <c r="BU2" i="3" s="1" a="1"/>
  <c r="BU2" i="3" s="1"/>
  <c r="AN4" i="25" a="1"/>
  <c r="AN4" i="25" s="1"/>
  <c r="AI2" i="3" a="1"/>
  <c r="AI2" i="3" s="1"/>
  <c r="BB2" i="3" a="1"/>
  <c r="AL4" i="25" a="1"/>
  <c r="AL4" i="25" s="1"/>
  <c r="AH4" i="25" a="1"/>
  <c r="AH4" i="25" s="1"/>
  <c r="AF4" i="25" a="1"/>
  <c r="AF4" i="25" s="1"/>
  <c r="BB2" i="3" l="1"/>
  <c r="BV2" i="3" s="1" a="1"/>
  <c r="BV2" i="3" s="1"/>
  <c r="AK4" i="25" a="1"/>
  <c r="AK4" i="25" s="1"/>
  <c r="AM4" i="25" a="1"/>
  <c r="AM4" i="25" s="1"/>
  <c r="AS4" i="25" a="1"/>
  <c r="AS4" i="25" s="1"/>
  <c r="AJ2" i="3" a="1"/>
  <c r="AJ2" i="3" s="1"/>
  <c r="BC2" i="3" a="1"/>
  <c r="AQ4" i="25" a="1"/>
  <c r="AQ4" i="25" s="1"/>
  <c r="BC2" i="3" l="1"/>
  <c r="BW2" i="3" s="1" a="1"/>
  <c r="BW2" i="3" s="1"/>
  <c r="AR4" i="25" a="1"/>
  <c r="AR4" i="25" s="1"/>
  <c r="AP4" i="25" a="1"/>
  <c r="AP4" i="25" s="1"/>
  <c r="BD2" i="3" a="1"/>
  <c r="AK2" i="3" a="1"/>
  <c r="AK2" i="3" s="1"/>
  <c r="AX4" i="25" a="1"/>
  <c r="AX4" i="25" s="1"/>
  <c r="AV4" i="25" a="1"/>
  <c r="AV4" i="25" s="1"/>
  <c r="BD2" i="3" l="1"/>
  <c r="BX2" i="3" s="1" a="1"/>
  <c r="BX2" i="3" s="1"/>
  <c r="AW4" i="25" a="1"/>
  <c r="AW4" i="25" s="1"/>
  <c r="AU4" i="25" a="1"/>
  <c r="AU4" i="25" s="1"/>
  <c r="BC4" i="25" a="1"/>
  <c r="BC4" i="25" s="1"/>
  <c r="AL2" i="3" a="1"/>
  <c r="AL2" i="3" s="1"/>
  <c r="BE2" i="3" a="1"/>
  <c r="BA4" i="25" a="1"/>
  <c r="BA4" i="25" s="1"/>
  <c r="BE2" i="3" l="1"/>
  <c r="BY2" i="3" s="1" a="1"/>
  <c r="BY2" i="3" s="1"/>
  <c r="AZ4" i="25" a="1"/>
  <c r="AZ4" i="25" s="1"/>
  <c r="BB4" i="25" a="1"/>
  <c r="BB4" i="25" s="1"/>
  <c r="BH4" i="25" a="1"/>
  <c r="BH4" i="25" s="1"/>
  <c r="AM2" i="3" a="1"/>
  <c r="AM2" i="3" s="1"/>
  <c r="BF2" i="3" a="1"/>
  <c r="BF4" i="25" a="1"/>
  <c r="BF4" i="25" s="1"/>
  <c r="BF2" i="3" l="1"/>
  <c r="BZ2" i="3" s="1" a="1"/>
  <c r="BZ2" i="3" s="1"/>
  <c r="BE4" i="25" a="1"/>
  <c r="BE4" i="25" s="1"/>
  <c r="BG4" i="25" a="1"/>
  <c r="BG4" i="25" s="1"/>
  <c r="BM4" i="25" a="1"/>
  <c r="BM4" i="25" s="1"/>
  <c r="AN2" i="3" a="1"/>
  <c r="AN2" i="3" s="1"/>
  <c r="BG2" i="3" a="1"/>
  <c r="BK4" i="25" a="1"/>
  <c r="BK4" i="25" s="1"/>
  <c r="BG2" i="3" l="1"/>
  <c r="CA2" i="3" s="1" a="1"/>
  <c r="CA2" i="3" s="1"/>
  <c r="BL4" i="25" a="1"/>
  <c r="BL4" i="25" s="1"/>
  <c r="BJ4" i="25" a="1"/>
  <c r="BJ4" i="25" s="1"/>
  <c r="BH2" i="3" a="1"/>
  <c r="BR4" i="25" a="1"/>
  <c r="BR4" i="25" s="1"/>
  <c r="AO2" i="3" a="1"/>
  <c r="AO2" i="3" s="1"/>
  <c r="BP4" i="25" a="1"/>
  <c r="BP4" i="25" s="1"/>
  <c r="BH2" i="3" l="1"/>
  <c r="CB2" i="3" s="1" a="1"/>
  <c r="CB2" i="3" s="1"/>
  <c r="BQ4" i="25" a="1"/>
  <c r="BQ4" i="25" s="1"/>
  <c r="BO4" i="25" a="1"/>
  <c r="BO4" i="25" s="1"/>
  <c r="BW4" i="25" a="1"/>
  <c r="BW4" i="25" s="1"/>
  <c r="BI2" i="3" a="1"/>
  <c r="AP2" i="3" a="1"/>
  <c r="AP2" i="3" s="1"/>
  <c r="BU4" i="25" a="1"/>
  <c r="BU4" i="25" s="1"/>
  <c r="BI2" i="3" l="1"/>
  <c r="CC2" i="3" s="1" a="1"/>
  <c r="CC2" i="3" s="1"/>
  <c r="BV4" i="25" a="1"/>
  <c r="BV4" i="25" s="1"/>
  <c r="BT4" i="25" a="1"/>
  <c r="BT4" i="25" s="1"/>
  <c r="CB4" i="25" a="1"/>
  <c r="CB4" i="25" s="1"/>
  <c r="BJ2" i="3" a="1"/>
  <c r="AQ2" i="3" a="1"/>
  <c r="AQ2" i="3" s="1"/>
  <c r="BZ4" i="25" a="1"/>
  <c r="BZ4" i="25" s="1"/>
  <c r="BJ2" i="3" l="1"/>
  <c r="CD2" i="3" s="1" a="1"/>
  <c r="CD2" i="3" s="1"/>
  <c r="BY4" i="25" a="1"/>
  <c r="BY4" i="25" s="1"/>
  <c r="CA4" i="25" a="1"/>
  <c r="CA4" i="25" s="1"/>
  <c r="CG4" i="25" a="1"/>
  <c r="CG4" i="25" s="1"/>
  <c r="BK2" i="3" a="1"/>
  <c r="AR2" i="3" a="1"/>
  <c r="AR2" i="3" s="1"/>
  <c r="CE4" i="25" a="1"/>
  <c r="CE4" i="25" s="1"/>
  <c r="BK2" i="3" l="1"/>
  <c r="CE2" i="3" s="1" a="1"/>
  <c r="CE2" i="3" s="1"/>
  <c r="BL2" i="3" a="1"/>
  <c r="AS2" i="3" a="1"/>
  <c r="AS2" i="3" s="1"/>
  <c r="CL4" i="25" a="1"/>
  <c r="CL4" i="25" s="1"/>
  <c r="CJ4" i="25" a="1"/>
  <c r="CJ4" i="25" s="1"/>
  <c r="CF4" i="25" a="1"/>
  <c r="CF4" i="25" s="1"/>
  <c r="CD4" i="25" a="1"/>
  <c r="CD4" i="25" s="1"/>
  <c r="BL2" i="3" l="1"/>
  <c r="CF2" i="3" s="1" a="1"/>
  <c r="CF2" i="3" s="1"/>
  <c r="CI4" i="25" a="1"/>
  <c r="CI4" i="25" s="1"/>
  <c r="CK4" i="25" a="1"/>
  <c r="CK4" i="25" s="1"/>
  <c r="AT2" i="3" a="1"/>
  <c r="AT2" i="3" s="1"/>
  <c r="CJ2" i="3" s="1" a="1"/>
  <c r="CJ2" i="3" s="1"/>
  <c r="BM2" i="3" a="1"/>
  <c r="CQ4" i="25" a="1"/>
  <c r="CQ4" i="25" s="1"/>
  <c r="CO4" i="25" a="1"/>
  <c r="CO4" i="25" s="1"/>
  <c r="BM2" i="3" l="1"/>
  <c r="CG2" i="3" s="1" a="1"/>
  <c r="CG2" i="3" s="1"/>
  <c r="CP4" i="25" a="1"/>
  <c r="CP4" i="25" s="1"/>
  <c r="CN4" i="25" a="1"/>
  <c r="CN4" i="25" s="1"/>
  <c r="CV4" i="25" a="1"/>
  <c r="CV4" i="25" s="1"/>
  <c r="BN2" i="3" a="1"/>
  <c r="CT4" i="25" a="1"/>
  <c r="CT4" i="25" s="1"/>
  <c r="CK40" i="3" l="1"/>
  <c r="CK41" i="3"/>
  <c r="CK42" i="3"/>
  <c r="CK43" i="3"/>
  <c r="CK44" i="3"/>
  <c r="CK45" i="3"/>
  <c r="CK46" i="3"/>
  <c r="CK47" i="3"/>
  <c r="CK48" i="3"/>
  <c r="CS4" i="25" a="1"/>
  <c r="CS4" i="25" s="1"/>
  <c r="CU4" i="25" a="1"/>
  <c r="CU4" i="25" s="1"/>
  <c r="BN2" i="3"/>
  <c r="CK25" i="3"/>
  <c r="CK3" i="3"/>
  <c r="CK19" i="3"/>
  <c r="CK33" i="3"/>
  <c r="CK13" i="3"/>
  <c r="CK16" i="3"/>
  <c r="CK39" i="3"/>
  <c r="CK17" i="3"/>
  <c r="CK23" i="3"/>
  <c r="CK27" i="3"/>
  <c r="CK35" i="3"/>
  <c r="CK30" i="3"/>
  <c r="CK18" i="3"/>
  <c r="CK26" i="3"/>
  <c r="CK38" i="3"/>
  <c r="CK14" i="3"/>
  <c r="CK7" i="3"/>
  <c r="CK22" i="3"/>
  <c r="CK36" i="3"/>
  <c r="CK24" i="3"/>
  <c r="CK5" i="3"/>
  <c r="CK29" i="3"/>
  <c r="CK8" i="3"/>
  <c r="CK21" i="3"/>
  <c r="CK20" i="3"/>
  <c r="CK10" i="3"/>
  <c r="CK15" i="3"/>
  <c r="CK12" i="3"/>
  <c r="CK9" i="3"/>
  <c r="CK31" i="3"/>
  <c r="CK6" i="3"/>
  <c r="CK4" i="3"/>
  <c r="CK34" i="3"/>
  <c r="CK28" i="3"/>
  <c r="CK37" i="3"/>
  <c r="CK11" i="3"/>
  <c r="CK32" i="3"/>
  <c r="CH2" i="3" l="1" a="1"/>
  <c r="CH2" i="3" s="1"/>
  <c r="CI2" i="3" s="1" a="1"/>
  <c r="CI2" i="3" s="1"/>
  <c r="CN2" i="3" s="1" a="1"/>
  <c r="CN2" i="3" s="1"/>
  <c r="CQ2" i="3" s="1" a="1"/>
  <c r="CQ2" i="3" s="1"/>
  <c r="CK2" i="3"/>
  <c r="CP2" i="3" l="1" a="1"/>
  <c r="CP2" i="3" s="1"/>
  <c r="CO2" i="3" a="1"/>
  <c r="CO2" i="3" s="1"/>
  <c r="B3" i="4" a="1"/>
  <c r="B3" i="4" s="1"/>
  <c r="CR2" i="3" a="1"/>
  <c r="CR2" i="3" s="1"/>
  <c r="J3" i="4" l="1" a="1"/>
  <c r="J3" i="4" s="1"/>
  <c r="D2" i="5" a="1"/>
  <c r="D2" i="5" s="1"/>
  <c r="A3" i="4" a="1"/>
  <c r="A3" i="4" s="1"/>
  <c r="TA3" i="4" s="1" a="1"/>
  <c r="TA3" i="4" s="1"/>
  <c r="TD3" i="4" s="1" a="1"/>
  <c r="TD3" i="4" s="1"/>
  <c r="H3" i="4" a="1"/>
  <c r="H3" i="4" s="1"/>
  <c r="G3" i="4" l="1" a="1"/>
  <c r="G3" i="4" s="1"/>
  <c r="I3" i="4" a="1"/>
  <c r="I3" i="4" s="1"/>
  <c r="L3" i="4" a="1"/>
  <c r="L3" i="4" s="1"/>
  <c r="P3" i="4" s="1" a="1"/>
  <c r="P3" i="4" s="1"/>
  <c r="O3" i="4" l="1" a="1"/>
  <c r="O3" i="4" s="1"/>
  <c r="N3" i="4" l="1" a="1"/>
  <c r="N3" i="4" s="1"/>
  <c r="U3" i="4" a="1"/>
  <c r="U3" i="4" s="1"/>
  <c r="W3" i="4" a="1"/>
  <c r="W3" i="4" s="1"/>
  <c r="V3" i="4" l="1" a="1"/>
  <c r="V3" i="4" s="1"/>
  <c r="T3" i="4" a="1"/>
  <c r="T3" i="4" s="1"/>
  <c r="Y3" i="4" a="1"/>
  <c r="Y3" i="4" s="1"/>
  <c r="AC3" i="4" s="1" a="1"/>
  <c r="AC3" i="4" s="1"/>
  <c r="AB3" i="4" l="1" a="1"/>
  <c r="AB3" i="4" s="1"/>
  <c r="AA3" i="4" l="1" a="1"/>
  <c r="AA3" i="4" s="1"/>
  <c r="AH3" i="4" a="1"/>
  <c r="AH3" i="4" s="1"/>
  <c r="AJ3" i="4" a="1"/>
  <c r="AJ3" i="4" s="1"/>
  <c r="AL3" i="4" l="1" a="1"/>
  <c r="AL3" i="4" s="1"/>
  <c r="AP3" i="4" s="1" a="1"/>
  <c r="AP3" i="4" s="1"/>
  <c r="AI3" i="4" a="1"/>
  <c r="AI3" i="4" s="1"/>
  <c r="AG3" i="4" a="1"/>
  <c r="AG3" i="4" s="1"/>
  <c r="AO3" i="4" l="1" a="1"/>
  <c r="AO3" i="4" s="1"/>
  <c r="AU3" i="4" l="1" a="1"/>
  <c r="AU3" i="4" s="1"/>
  <c r="AW3" i="4" a="1"/>
  <c r="AW3" i="4" s="1"/>
  <c r="AN3" i="4" a="1"/>
  <c r="AN3" i="4" s="1"/>
  <c r="AY3" i="4" l="1" a="1"/>
  <c r="AY3" i="4" s="1"/>
  <c r="BC3" i="4" s="1" a="1"/>
  <c r="BC3" i="4" s="1"/>
  <c r="AT3" i="4" a="1"/>
  <c r="AT3" i="4" s="1"/>
  <c r="AV3" i="4" a="1"/>
  <c r="AV3" i="4" s="1"/>
  <c r="BB3" i="4" l="1" a="1"/>
  <c r="BB3" i="4" s="1"/>
  <c r="BA3" i="4" l="1" a="1"/>
  <c r="BA3" i="4" s="1"/>
  <c r="BH3" i="4" a="1"/>
  <c r="BH3" i="4" s="1"/>
  <c r="BJ3" i="4" a="1"/>
  <c r="BJ3" i="4" s="1"/>
  <c r="BI3" i="4" l="1" a="1"/>
  <c r="BI3" i="4" s="1"/>
  <c r="BL3" i="4" a="1"/>
  <c r="BL3" i="4" s="1"/>
  <c r="BG3" i="4" a="1"/>
  <c r="BG3" i="4" s="1"/>
  <c r="BP3" i="4" l="1" a="1"/>
  <c r="BP3" i="4" s="1"/>
  <c r="BO3" i="4" a="1"/>
  <c r="BO3" i="4" s="1"/>
  <c r="BW3" i="4" l="1" a="1"/>
  <c r="BW3" i="4" s="1"/>
  <c r="BN3" i="4" a="1"/>
  <c r="BN3" i="4" s="1"/>
  <c r="BU3" i="4" a="1"/>
  <c r="BU3" i="4" s="1"/>
  <c r="BT3" i="4" l="1" a="1"/>
  <c r="BT3" i="4" s="1"/>
  <c r="BY3" i="4" a="1"/>
  <c r="BY3" i="4" s="1"/>
  <c r="CC3" i="4" s="1" a="1"/>
  <c r="CC3" i="4" s="1"/>
  <c r="BV3" i="4" a="1"/>
  <c r="BV3" i="4" s="1"/>
  <c r="CB3" i="4" l="1" a="1"/>
  <c r="CB3" i="4" s="1"/>
  <c r="CA3" i="4" l="1" a="1"/>
  <c r="CA3" i="4" s="1"/>
  <c r="CH3" i="4" a="1"/>
  <c r="CH3" i="4" s="1"/>
  <c r="CJ3" i="4" a="1"/>
  <c r="CJ3" i="4" s="1"/>
  <c r="CI3" i="4" l="1" a="1"/>
  <c r="CI3" i="4" s="1"/>
  <c r="CG3" i="4" a="1"/>
  <c r="CG3" i="4" s="1"/>
  <c r="CL3" i="4" a="1"/>
  <c r="CL3" i="4" s="1"/>
  <c r="CP3" i="4" s="1" a="1"/>
  <c r="CP3" i="4" s="1"/>
  <c r="CO3" i="4" l="1" a="1"/>
  <c r="CO3" i="4" s="1"/>
  <c r="CW3" i="4" l="1" a="1"/>
  <c r="CW3" i="4" s="1"/>
  <c r="CU3" i="4" a="1"/>
  <c r="CU3" i="4" s="1"/>
  <c r="CN3" i="4" a="1"/>
  <c r="CN3" i="4" s="1"/>
  <c r="CY3" i="4" l="1" a="1"/>
  <c r="CY3" i="4" s="1"/>
  <c r="DC3" i="4" s="1" a="1"/>
  <c r="DC3" i="4" s="1"/>
  <c r="CT3" i="4" a="1"/>
  <c r="CT3" i="4" s="1"/>
  <c r="CV3" i="4" a="1"/>
  <c r="CV3" i="4" s="1"/>
  <c r="DB3" i="4" l="1" a="1"/>
  <c r="DB3" i="4" s="1"/>
  <c r="DH3" i="4" l="1" a="1"/>
  <c r="DH3" i="4" s="1"/>
  <c r="DA3" i="4" a="1"/>
  <c r="DA3" i="4" s="1"/>
  <c r="DJ3" i="4" a="1"/>
  <c r="DJ3" i="4" s="1"/>
  <c r="DG3" i="4" l="1" a="1"/>
  <c r="DG3" i="4" s="1"/>
  <c r="DI3" i="4" a="1"/>
  <c r="DI3" i="4" s="1"/>
  <c r="DL3" i="4" a="1"/>
  <c r="DL3" i="4" s="1"/>
  <c r="DP3" i="4" s="1" a="1"/>
  <c r="DP3" i="4" s="1"/>
  <c r="DO3" i="4" l="1" a="1"/>
  <c r="DO3" i="4" s="1"/>
  <c r="DW3" i="4" l="1" a="1"/>
  <c r="DW3" i="4" s="1"/>
  <c r="DU3" i="4" a="1"/>
  <c r="DU3" i="4" s="1"/>
  <c r="DN3" i="4" a="1"/>
  <c r="DN3" i="4" s="1"/>
  <c r="DY3" i="4" l="1" a="1"/>
  <c r="DY3" i="4" s="1"/>
  <c r="EC3" i="4" s="1" a="1"/>
  <c r="EC3" i="4" s="1"/>
  <c r="DT3" i="4" a="1"/>
  <c r="DT3" i="4" s="1"/>
  <c r="DV3" i="4" a="1"/>
  <c r="DV3" i="4" s="1"/>
  <c r="EB3" i="4" l="1" a="1"/>
  <c r="EB3" i="4" s="1"/>
  <c r="EH3" i="4" l="1" a="1"/>
  <c r="EH3" i="4" s="1"/>
  <c r="EJ3" i="4" a="1"/>
  <c r="EJ3" i="4" s="1"/>
  <c r="EA3" i="4" a="1"/>
  <c r="EA3" i="4" s="1"/>
  <c r="EG3" i="4" l="1" a="1"/>
  <c r="EG3" i="4" s="1"/>
  <c r="EI3" i="4" a="1"/>
  <c r="EI3" i="4" s="1"/>
  <c r="EL3" i="4" a="1"/>
  <c r="EL3" i="4" s="1"/>
  <c r="EP3" i="4" s="1" a="1"/>
  <c r="EP3" i="4" s="1"/>
  <c r="EO3" i="4" l="1" a="1"/>
  <c r="EO3" i="4" s="1"/>
  <c r="EW3" i="4" l="1" a="1"/>
  <c r="EW3" i="4" s="1"/>
  <c r="EU3" i="4" a="1"/>
  <c r="EU3" i="4" s="1"/>
  <c r="EN3" i="4" a="1"/>
  <c r="EN3" i="4" s="1"/>
  <c r="EV3" i="4" l="1" a="1"/>
  <c r="EV3" i="4" s="1"/>
  <c r="EY3" i="4" a="1"/>
  <c r="EY3" i="4" s="1"/>
  <c r="FC3" i="4" s="1" a="1"/>
  <c r="FC3" i="4" s="1"/>
  <c r="ET3" i="4" a="1"/>
  <c r="ET3" i="4" s="1"/>
  <c r="FB3" i="4" l="1" a="1"/>
  <c r="FB3" i="4" s="1"/>
  <c r="FJ3" i="4" l="1" a="1"/>
  <c r="FJ3" i="4" s="1"/>
  <c r="FH3" i="4" a="1"/>
  <c r="FH3" i="4" s="1"/>
  <c r="FA3" i="4" a="1"/>
  <c r="FA3" i="4" s="1"/>
  <c r="FG3" i="4" l="1" a="1"/>
  <c r="FG3" i="4" s="1"/>
  <c r="FL3" i="4" a="1"/>
  <c r="FL3" i="4" s="1"/>
  <c r="FP3" i="4" s="1" a="1"/>
  <c r="FP3" i="4" s="1"/>
  <c r="FI3" i="4" a="1"/>
  <c r="FI3" i="4" s="1"/>
  <c r="FO3" i="4" l="1" a="1"/>
  <c r="FO3" i="4" s="1"/>
  <c r="FU3" i="4" l="1" a="1"/>
  <c r="FU3" i="4" s="1"/>
  <c r="FW3" i="4" a="1"/>
  <c r="FW3" i="4" s="1"/>
  <c r="FN3" i="4" a="1"/>
  <c r="FN3" i="4" s="1"/>
  <c r="FY3" i="4" l="1" a="1"/>
  <c r="FY3" i="4" s="1"/>
  <c r="GC3" i="4" s="1" a="1"/>
  <c r="GC3" i="4" s="1"/>
  <c r="FV3" i="4" a="1"/>
  <c r="FV3" i="4" s="1"/>
  <c r="FT3" i="4" a="1"/>
  <c r="FT3" i="4" s="1"/>
  <c r="GB3" i="4" l="1" a="1"/>
  <c r="GB3" i="4" s="1"/>
  <c r="GA3" i="4" l="1" a="1"/>
  <c r="GA3" i="4" s="1"/>
  <c r="GH3" i="4" a="1"/>
  <c r="GH3" i="4" s="1"/>
  <c r="GJ3" i="4" a="1"/>
  <c r="GJ3" i="4" s="1"/>
  <c r="GI3" i="4" l="1" a="1"/>
  <c r="GI3" i="4" s="1"/>
  <c r="GG3" i="4" a="1"/>
  <c r="GG3" i="4" s="1"/>
  <c r="GL3" i="4" a="1"/>
  <c r="GL3" i="4" s="1"/>
  <c r="GP3" i="4" s="1" a="1"/>
  <c r="GP3" i="4" s="1"/>
  <c r="GO3" i="4" l="1" a="1"/>
  <c r="GO3" i="4" s="1"/>
  <c r="GU3" i="4" l="1" a="1"/>
  <c r="GU3" i="4" s="1"/>
  <c r="GN3" i="4" a="1"/>
  <c r="GN3" i="4" s="1"/>
  <c r="GW3" i="4" a="1"/>
  <c r="GW3" i="4" s="1"/>
  <c r="GT3" i="4" l="1" a="1"/>
  <c r="GT3" i="4" s="1"/>
  <c r="GV3" i="4" a="1"/>
  <c r="GV3" i="4" s="1"/>
  <c r="GY3" i="4" a="1"/>
  <c r="GY3" i="4" s="1"/>
  <c r="HC3" i="4" s="1" a="1"/>
  <c r="HC3" i="4" s="1"/>
  <c r="HB3" i="4" l="1" a="1"/>
  <c r="HB3" i="4" s="1"/>
  <c r="HJ3" i="4" l="1" a="1"/>
  <c r="HJ3" i="4" s="1"/>
  <c r="HA3" i="4" a="1"/>
  <c r="HA3" i="4" s="1"/>
  <c r="HH3" i="4" a="1"/>
  <c r="HH3" i="4" s="1"/>
  <c r="HL3" i="4" l="1" a="1"/>
  <c r="HL3" i="4" s="1"/>
  <c r="HP3" i="4" s="1" a="1"/>
  <c r="HP3" i="4" s="1"/>
  <c r="HG3" i="4" a="1"/>
  <c r="HG3" i="4" s="1"/>
  <c r="HI3" i="4" a="1"/>
  <c r="HI3" i="4" s="1"/>
  <c r="HO3" i="4" l="1" a="1"/>
  <c r="HO3" i="4" s="1"/>
  <c r="HW3" i="4" l="1" a="1"/>
  <c r="HW3" i="4" s="1"/>
  <c r="HU3" i="4" a="1"/>
  <c r="HU3" i="4" s="1"/>
  <c r="HN3" i="4" a="1"/>
  <c r="HN3" i="4" s="1"/>
  <c r="HY3" i="4" l="1" a="1"/>
  <c r="HY3" i="4" s="1"/>
  <c r="IC3" i="4" s="1" a="1"/>
  <c r="IC3" i="4" s="1"/>
  <c r="HV3" i="4" a="1"/>
  <c r="HV3" i="4" s="1"/>
  <c r="HT3" i="4" a="1"/>
  <c r="HT3" i="4" s="1"/>
  <c r="IB3" i="4" l="1" a="1"/>
  <c r="IB3" i="4" s="1"/>
  <c r="IJ3" i="4" l="1" a="1"/>
  <c r="IJ3" i="4" s="1"/>
  <c r="IH3" i="4" a="1"/>
  <c r="IH3" i="4" s="1"/>
  <c r="IA3" i="4" a="1"/>
  <c r="IA3" i="4" s="1"/>
  <c r="II3" i="4" l="1" a="1"/>
  <c r="II3" i="4" s="1"/>
  <c r="IG3" i="4" a="1"/>
  <c r="IG3" i="4" s="1"/>
  <c r="IL3" i="4" a="1"/>
  <c r="IL3" i="4" s="1"/>
  <c r="IP3" i="4" s="1" a="1"/>
  <c r="IP3" i="4" s="1"/>
  <c r="IO3" i="4" l="1" a="1"/>
  <c r="IO3" i="4" s="1"/>
  <c r="IN3" i="4" l="1" a="1"/>
  <c r="IN3" i="4" s="1"/>
  <c r="IU3" i="4" a="1"/>
  <c r="IU3" i="4" s="1"/>
  <c r="IW3" i="4" a="1"/>
  <c r="IW3" i="4" s="1"/>
  <c r="IV3" i="4" l="1" a="1"/>
  <c r="IV3" i="4" s="1"/>
  <c r="IY3" i="4" a="1"/>
  <c r="IY3" i="4" s="1"/>
  <c r="JC3" i="4" s="1" a="1"/>
  <c r="JC3" i="4" s="1"/>
  <c r="IT3" i="4" a="1"/>
  <c r="IT3" i="4" s="1"/>
  <c r="JB3" i="4" l="1" a="1"/>
  <c r="JB3" i="4" s="1"/>
  <c r="JH3" i="4" l="1" a="1"/>
  <c r="JH3" i="4" s="1"/>
  <c r="JA3" i="4" a="1"/>
  <c r="JA3" i="4" s="1"/>
  <c r="JJ3" i="4" a="1"/>
  <c r="JJ3" i="4" s="1"/>
  <c r="JL3" i="4" l="1" a="1"/>
  <c r="JL3" i="4" s="1"/>
  <c r="JP3" i="4" s="1" a="1"/>
  <c r="JP3" i="4" s="1"/>
  <c r="JG3" i="4" a="1"/>
  <c r="JG3" i="4" s="1"/>
  <c r="JI3" i="4" a="1"/>
  <c r="JI3" i="4" s="1"/>
  <c r="JO3" i="4" l="1" a="1"/>
  <c r="JO3" i="4" s="1"/>
  <c r="JU3" i="4" l="1" a="1"/>
  <c r="JU3" i="4" s="1"/>
  <c r="JN3" i="4" a="1"/>
  <c r="JN3" i="4" s="1"/>
  <c r="JW3" i="4" a="1"/>
  <c r="JW3" i="4" s="1"/>
  <c r="JY3" i="4" l="1" a="1"/>
  <c r="JY3" i="4" s="1"/>
  <c r="KC3" i="4" s="1" a="1"/>
  <c r="KC3" i="4" s="1"/>
  <c r="JV3" i="4" a="1"/>
  <c r="JV3" i="4" s="1"/>
  <c r="JT3" i="4" a="1"/>
  <c r="JT3" i="4" s="1"/>
  <c r="KB3" i="4" l="1" a="1"/>
  <c r="KB3" i="4" s="1"/>
  <c r="KJ3" i="4" l="1" a="1"/>
  <c r="KJ3" i="4" s="1"/>
  <c r="KA3" i="4" a="1"/>
  <c r="KA3" i="4" s="1"/>
  <c r="KH3" i="4" a="1"/>
  <c r="KH3" i="4" s="1"/>
  <c r="KL3" i="4" l="1" a="1"/>
  <c r="KL3" i="4" s="1"/>
  <c r="KP3" i="4" s="1" a="1"/>
  <c r="KP3" i="4" s="1"/>
  <c r="KG3" i="4" a="1"/>
  <c r="KG3" i="4" s="1"/>
  <c r="KI3" i="4" a="1"/>
  <c r="KI3" i="4" s="1"/>
  <c r="KO3" i="4" l="1" a="1"/>
  <c r="KO3" i="4" s="1"/>
  <c r="KN3" i="4" l="1" a="1"/>
  <c r="KN3" i="4" s="1"/>
  <c r="KU3" i="4" a="1"/>
  <c r="KU3" i="4" s="1"/>
  <c r="KW3" i="4" a="1"/>
  <c r="KW3" i="4" s="1"/>
  <c r="KT3" i="4" l="1" a="1"/>
  <c r="KT3" i="4" s="1"/>
  <c r="KY3" i="4" a="1"/>
  <c r="KY3" i="4" s="1"/>
  <c r="LC3" i="4" s="1" a="1"/>
  <c r="LC3" i="4" s="1"/>
  <c r="KV3" i="4" a="1"/>
  <c r="KV3" i="4" s="1"/>
  <c r="LB3" i="4" l="1" a="1"/>
  <c r="LB3" i="4" s="1"/>
  <c r="LH3" i="4" l="1" a="1"/>
  <c r="LH3" i="4" s="1"/>
  <c r="LJ3" i="4" a="1"/>
  <c r="LJ3" i="4" s="1"/>
  <c r="LA3" i="4" a="1"/>
  <c r="LA3" i="4" s="1"/>
  <c r="LL3" i="4" l="1" a="1"/>
  <c r="LL3" i="4" s="1"/>
  <c r="LP3" i="4" s="1" a="1"/>
  <c r="LP3" i="4" s="1"/>
  <c r="LG3" i="4" a="1"/>
  <c r="LG3" i="4" s="1"/>
  <c r="LI3" i="4" a="1"/>
  <c r="LI3" i="4" s="1"/>
  <c r="LO3" i="4" l="1" a="1"/>
  <c r="LO3" i="4" s="1"/>
  <c r="LW3" i="4" l="1" a="1"/>
  <c r="LW3" i="4" s="1"/>
  <c r="LN3" i="4" a="1"/>
  <c r="LN3" i="4" s="1"/>
  <c r="LU3" i="4" a="1"/>
  <c r="LU3" i="4" s="1"/>
  <c r="LV3" i="4" l="1" a="1"/>
  <c r="LV3" i="4" s="1"/>
  <c r="LT3" i="4" a="1"/>
  <c r="LT3" i="4" s="1"/>
  <c r="LY3" i="4" a="1"/>
  <c r="LY3" i="4" s="1"/>
  <c r="MC3" i="4" s="1" a="1"/>
  <c r="MC3" i="4" s="1"/>
  <c r="MB3" i="4" l="1" a="1"/>
  <c r="MB3" i="4" s="1"/>
  <c r="MJ3" i="4" l="1" a="1"/>
  <c r="MJ3" i="4" s="1"/>
  <c r="MA3" i="4" a="1"/>
  <c r="MA3" i="4" s="1"/>
  <c r="MH3" i="4" a="1"/>
  <c r="MH3" i="4" s="1"/>
  <c r="MI3" i="4" l="1" a="1"/>
  <c r="MI3" i="4" s="1"/>
  <c r="ML3" i="4" a="1"/>
  <c r="ML3" i="4" s="1"/>
  <c r="MP3" i="4" s="1" a="1"/>
  <c r="MP3" i="4" s="1"/>
  <c r="MG3" i="4" a="1"/>
  <c r="MG3" i="4" s="1"/>
  <c r="MO3" i="4" l="1" a="1"/>
  <c r="MO3" i="4" s="1"/>
  <c r="MN3" i="4" l="1" a="1"/>
  <c r="MN3" i="4" s="1"/>
  <c r="MW3" i="4" a="1"/>
  <c r="MW3" i="4" s="1"/>
  <c r="MU3" i="4" a="1"/>
  <c r="MU3" i="4" s="1"/>
  <c r="MY3" i="4" l="1" a="1"/>
  <c r="MY3" i="4" s="1"/>
  <c r="NC3" i="4" s="1" a="1"/>
  <c r="NC3" i="4" s="1"/>
  <c r="MV3" i="4" a="1"/>
  <c r="MV3" i="4" s="1"/>
  <c r="MT3" i="4" a="1"/>
  <c r="MT3" i="4" s="1"/>
  <c r="NB3" i="4" l="1" a="1"/>
  <c r="NB3" i="4" s="1"/>
  <c r="NH3" i="4" l="1" a="1"/>
  <c r="NH3" i="4" s="1"/>
  <c r="NA3" i="4" a="1"/>
  <c r="NA3" i="4" s="1"/>
  <c r="NJ3" i="4" a="1"/>
  <c r="NJ3" i="4" s="1"/>
  <c r="NI3" i="4" l="1" a="1"/>
  <c r="NI3" i="4" s="1"/>
  <c r="NL3" i="4" a="1"/>
  <c r="NL3" i="4" s="1"/>
  <c r="NP3" i="4" s="1" a="1"/>
  <c r="NP3" i="4" s="1"/>
  <c r="NG3" i="4" a="1"/>
  <c r="NG3" i="4" s="1"/>
  <c r="NO3" i="4" l="1" a="1"/>
  <c r="NO3" i="4" s="1"/>
  <c r="NW3" i="4" l="1" a="1"/>
  <c r="NW3" i="4" s="1"/>
  <c r="NU3" i="4" a="1"/>
  <c r="NU3" i="4" s="1"/>
  <c r="NN3" i="4" a="1"/>
  <c r="NN3" i="4" s="1"/>
  <c r="NT3" i="4" l="1" a="1"/>
  <c r="NT3" i="4" s="1"/>
  <c r="NV3" i="4" a="1"/>
  <c r="NV3" i="4" s="1"/>
  <c r="NY3" i="4" a="1"/>
  <c r="NY3" i="4" s="1"/>
  <c r="OC3" i="4" s="1" a="1"/>
  <c r="OC3" i="4" s="1"/>
  <c r="OB3" i="4" l="1" a="1"/>
  <c r="OB3" i="4" s="1"/>
  <c r="OA3" i="4" l="1" a="1"/>
  <c r="OA3" i="4" s="1"/>
  <c r="OH3" i="4" a="1"/>
  <c r="OH3" i="4" s="1"/>
  <c r="OJ3" i="4" a="1"/>
  <c r="OJ3" i="4" s="1"/>
  <c r="OI3" i="4" l="1" a="1"/>
  <c r="OI3" i="4" s="1"/>
  <c r="OL3" i="4" a="1"/>
  <c r="OL3" i="4" s="1"/>
  <c r="OP3" i="4" s="1" a="1"/>
  <c r="OP3" i="4" s="1"/>
  <c r="OG3" i="4" a="1"/>
  <c r="OG3" i="4" s="1"/>
  <c r="OO3" i="4" l="1" a="1"/>
  <c r="OO3" i="4" s="1"/>
  <c r="ON3" i="4" l="1" a="1"/>
  <c r="ON3" i="4" s="1"/>
  <c r="OU3" i="4" a="1"/>
  <c r="OU3" i="4" s="1"/>
  <c r="OW3" i="4" a="1"/>
  <c r="OW3" i="4" s="1"/>
  <c r="OY3" i="4" l="1" a="1"/>
  <c r="OY3" i="4" s="1"/>
  <c r="PC3" i="4" s="1" a="1"/>
  <c r="PC3" i="4" s="1"/>
  <c r="OV3" i="4" a="1"/>
  <c r="OV3" i="4" s="1"/>
  <c r="OT3" i="4" a="1"/>
  <c r="OT3" i="4" s="1"/>
  <c r="PB3" i="4" l="1" a="1"/>
  <c r="PB3" i="4" s="1"/>
  <c r="PJ3" i="4" l="1" a="1"/>
  <c r="PJ3" i="4" s="1"/>
  <c r="PH3" i="4" a="1"/>
  <c r="PH3" i="4" s="1"/>
  <c r="PA3" i="4" a="1"/>
  <c r="PA3" i="4" s="1"/>
  <c r="PG3" i="4" l="1" a="1"/>
  <c r="PG3" i="4" s="1"/>
  <c r="PL3" i="4" a="1"/>
  <c r="PL3" i="4" s="1"/>
  <c r="PP3" i="4" s="1" a="1"/>
  <c r="PP3" i="4" s="1"/>
  <c r="PI3" i="4" a="1"/>
  <c r="PI3" i="4" s="1"/>
  <c r="PO3" i="4" l="1" a="1"/>
  <c r="PO3" i="4" s="1"/>
  <c r="PN3" i="4" l="1" a="1"/>
  <c r="PN3" i="4" s="1"/>
  <c r="PW3" i="4" a="1"/>
  <c r="PW3" i="4" s="1"/>
  <c r="PU3" i="4" a="1"/>
  <c r="PU3" i="4" s="1"/>
  <c r="PV3" i="4" l="1" a="1"/>
  <c r="PV3" i="4" s="1"/>
  <c r="PY3" i="4" a="1"/>
  <c r="PY3" i="4" s="1"/>
  <c r="QC3" i="4" s="1" a="1"/>
  <c r="QC3" i="4" s="1"/>
  <c r="PT3" i="4" a="1"/>
  <c r="PT3" i="4" s="1"/>
  <c r="QB3" i="4" l="1" a="1"/>
  <c r="QB3" i="4" s="1"/>
  <c r="QA3" i="4" l="1" a="1"/>
  <c r="QA3" i="4" s="1"/>
  <c r="QJ3" i="4" a="1"/>
  <c r="QJ3" i="4" s="1"/>
  <c r="QH3" i="4" a="1"/>
  <c r="QH3" i="4" s="1"/>
  <c r="QL3" i="4" l="1" a="1"/>
  <c r="QL3" i="4" s="1"/>
  <c r="QP3" i="4" s="1" a="1"/>
  <c r="QP3" i="4" s="1"/>
  <c r="QG3" i="4" a="1"/>
  <c r="QG3" i="4" s="1"/>
  <c r="QI3" i="4" a="1"/>
  <c r="QI3" i="4" s="1"/>
  <c r="QO3" i="4" l="1" a="1"/>
  <c r="QO3" i="4" s="1"/>
  <c r="QU3" i="4" l="1" a="1"/>
  <c r="QU3" i="4" s="1"/>
  <c r="QW3" i="4" a="1"/>
  <c r="QW3" i="4" s="1"/>
  <c r="QN3" i="4" a="1"/>
  <c r="QN3" i="4" s="1"/>
  <c r="QY3" i="4" l="1" a="1"/>
  <c r="QY3" i="4" s="1"/>
  <c r="RC3" i="4" s="1" a="1"/>
  <c r="RC3" i="4" s="1"/>
  <c r="QT3" i="4" a="1"/>
  <c r="QT3" i="4" s="1"/>
  <c r="QV3" i="4" a="1"/>
  <c r="QV3" i="4" s="1"/>
  <c r="RB3" i="4" l="1" a="1"/>
  <c r="RB3" i="4" s="1"/>
  <c r="RJ3" i="4" l="1" a="1"/>
  <c r="RJ3" i="4" s="1"/>
  <c r="RA3" i="4" a="1"/>
  <c r="RA3" i="4" s="1"/>
  <c r="RH3" i="4" a="1"/>
  <c r="RH3" i="4" s="1"/>
  <c r="RG3" i="4" l="1" a="1"/>
  <c r="RG3" i="4" s="1"/>
  <c r="RI3" i="4" a="1"/>
  <c r="RI3" i="4" s="1"/>
  <c r="RL3" i="4" a="1"/>
  <c r="RL3" i="4" s="1"/>
  <c r="RP3" i="4" s="1" a="1"/>
  <c r="RP3" i="4" s="1"/>
  <c r="RO3" i="4" l="1" a="1"/>
  <c r="RO3" i="4" s="1"/>
  <c r="RW3" i="4" l="1" a="1"/>
  <c r="RW3" i="4" s="1"/>
  <c r="RU3" i="4" a="1"/>
  <c r="RU3" i="4" s="1"/>
  <c r="RN3" i="4" a="1"/>
  <c r="RN3" i="4" s="1"/>
  <c r="RT3" i="4" l="1" a="1"/>
  <c r="RT3" i="4" s="1"/>
  <c r="RY3" i="4" a="1"/>
  <c r="RY3" i="4" s="1"/>
  <c r="SC3" i="4" s="1" a="1"/>
  <c r="SC3" i="4" s="1"/>
  <c r="RV3" i="4" a="1"/>
  <c r="RV3" i="4" s="1"/>
  <c r="SB3" i="4" l="1" a="1"/>
  <c r="SB3" i="4" s="1"/>
  <c r="SA3" i="4" l="1" a="1"/>
  <c r="SA3" i="4" s="1"/>
  <c r="SH3" i="4" a="1"/>
  <c r="SH3" i="4" s="1"/>
  <c r="SJ3" i="4" a="1"/>
  <c r="SJ3" i="4" s="1"/>
  <c r="SI3" i="4" l="1" a="1"/>
  <c r="SI3" i="4" s="1"/>
  <c r="SG3" i="4" a="1"/>
  <c r="SG3" i="4" s="1"/>
  <c r="SL3" i="4" a="1"/>
  <c r="SL3" i="4" s="1"/>
  <c r="SP3" i="4" s="1" a="1"/>
  <c r="SP3" i="4" s="1"/>
  <c r="AB256" i="14"/>
  <c r="J2" i="14" s="1" a="1"/>
  <c r="J2" i="14" s="1"/>
  <c r="AC256" i="14"/>
  <c r="AD256" i="14"/>
  <c r="M2" i="14" a="1"/>
  <c r="M2" i="14" s="1"/>
  <c r="N2" i="14" a="1"/>
  <c r="N2" i="14" s="1"/>
  <c r="K2" i="14" a="1"/>
  <c r="K2" i="14" s="1"/>
  <c r="L2" i="14" a="1"/>
  <c r="L2" i="14" s="1"/>
  <c r="SO3" i="4" l="1" a="1"/>
  <c r="SO3" i="4" s="1"/>
  <c r="O2" i="14" a="1"/>
  <c r="O2" i="14" s="1"/>
  <c r="I2" i="14" a="1"/>
  <c r="I2" i="14" s="1"/>
  <c r="Q2" i="14" s="1" a="1"/>
  <c r="Q2" i="14" s="1"/>
  <c r="AG2" i="14" s="1" a="1"/>
  <c r="AG2" i="14" s="1"/>
  <c r="AI2" i="14" l="1" a="1"/>
  <c r="SU3" i="4" a="1"/>
  <c r="SU3" i="4" s="1"/>
  <c r="SN3" i="4" a="1"/>
  <c r="SN3" i="4" s="1"/>
  <c r="SW3" i="4" a="1"/>
  <c r="SW3" i="4" s="1"/>
  <c r="AH2" i="14" l="1" a="1"/>
  <c r="AH2" i="14" s="1"/>
  <c r="SY3" i="4" a="1"/>
  <c r="SY3" i="4" s="1"/>
  <c r="TB3" i="4" s="1" a="1"/>
  <c r="TB3" i="4" s="1"/>
  <c r="ST3" i="4" a="1"/>
  <c r="ST3" i="4" s="1"/>
  <c r="SV3" i="4" a="1"/>
  <c r="SV3" i="4" s="1"/>
  <c r="AI2" i="14"/>
  <c r="H2" i="5" l="1" a="1"/>
  <c r="H2" i="5" s="1"/>
  <c r="AL2" i="14" a="1"/>
  <c r="AL2" i="14" s="1"/>
  <c r="TC3" i="4" a="1"/>
  <c r="TC3" i="4" s="1"/>
  <c r="E2" i="5" a="1"/>
  <c r="E2" i="5" s="1"/>
  <c r="F2" i="5" s="1" a="1"/>
  <c r="F2" i="5" s="1"/>
  <c r="M29" i="15" l="1"/>
  <c r="T9" i="23"/>
  <c r="F14" i="23"/>
  <c r="T33" i="23"/>
  <c r="F22" i="23"/>
  <c r="T10" i="23"/>
  <c r="U10" i="23" s="1" a="1"/>
  <c r="U10" i="23" s="1"/>
  <c r="M5" i="23"/>
  <c r="T29" i="23"/>
  <c r="F30" i="23"/>
  <c r="M21" i="23"/>
  <c r="T18" i="23"/>
  <c r="U18" i="23" s="1" a="1"/>
  <c r="U18" i="23" s="1"/>
  <c r="T17" i="23"/>
  <c r="F21" i="23"/>
  <c r="M13" i="23"/>
  <c r="T25" i="23"/>
  <c r="M29" i="23"/>
  <c r="F5" i="23"/>
  <c r="T13" i="23"/>
  <c r="T21" i="23"/>
  <c r="F6" i="23"/>
  <c r="F29" i="23"/>
  <c r="F13" i="23"/>
  <c r="T34" i="23"/>
  <c r="U34" i="23" s="1" a="1"/>
  <c r="U34" i="23" s="1"/>
  <c r="T26" i="23"/>
  <c r="U26" i="23" s="1" a="1"/>
  <c r="U26" i="23" s="1"/>
  <c r="F30" i="21"/>
  <c r="T29" i="21"/>
  <c r="T10" i="21"/>
  <c r="U10" i="21" s="1" a="1"/>
  <c r="U10" i="21" s="1"/>
  <c r="F21" i="21"/>
  <c r="F13" i="21"/>
  <c r="M21" i="21"/>
  <c r="T33" i="21"/>
  <c r="F14" i="21"/>
  <c r="T34" i="21"/>
  <c r="U34" i="21" s="1" a="1"/>
  <c r="U34" i="21" s="1"/>
  <c r="T9" i="21"/>
  <c r="T17" i="21"/>
  <c r="T21" i="21"/>
  <c r="M29" i="21"/>
  <c r="M13" i="21"/>
  <c r="F6" i="21"/>
  <c r="F29" i="21"/>
  <c r="T13" i="21"/>
  <c r="F5" i="21"/>
  <c r="T25" i="21"/>
  <c r="M5" i="21"/>
  <c r="F22" i="21"/>
  <c r="T26" i="21"/>
  <c r="U26" i="21" s="1" a="1"/>
  <c r="U26" i="21" s="1"/>
  <c r="T18" i="21"/>
  <c r="U18" i="21" s="1" a="1"/>
  <c r="U18" i="21" s="1"/>
  <c r="T29" i="15"/>
  <c r="T30" i="15" a="1"/>
  <c r="T30" i="15" s="1"/>
  <c r="S30" i="15" s="1"/>
  <c r="N29" i="15" a="1"/>
  <c r="N29" i="15" s="1"/>
  <c r="T25" i="15" l="1"/>
  <c r="F21" i="15"/>
  <c r="G21" i="15" s="1" a="1"/>
  <c r="G21" i="15" s="1"/>
  <c r="T33" i="15"/>
  <c r="U33" i="15" s="1" a="1"/>
  <c r="U33" i="15" s="1"/>
  <c r="F6" i="15"/>
  <c r="BH26" i="15" s="1"/>
  <c r="F5" i="15"/>
  <c r="M6" i="15" s="1" a="1"/>
  <c r="M6" i="15" s="1"/>
  <c r="N6" i="15" s="1" a="1"/>
  <c r="N6" i="15" s="1"/>
  <c r="F14" i="15"/>
  <c r="M5" i="15"/>
  <c r="BH19" i="15" s="1"/>
  <c r="T26" i="15"/>
  <c r="U26" i="15" s="1" a="1"/>
  <c r="U26" i="15" s="1"/>
  <c r="F29" i="15"/>
  <c r="G29" i="15" s="1" a="1"/>
  <c r="G29" i="15" s="1"/>
  <c r="T34" i="15"/>
  <c r="U34" i="15" s="1" a="1"/>
  <c r="U34" i="15" s="1"/>
  <c r="M21" i="15"/>
  <c r="N21" i="15" s="1" a="1"/>
  <c r="N21" i="15" s="1"/>
  <c r="T13" i="15"/>
  <c r="U13" i="15" s="1" a="1"/>
  <c r="U13" i="15" s="1"/>
  <c r="T21" i="15"/>
  <c r="AA23" i="15" s="1" a="1"/>
  <c r="AA23" i="15" s="1"/>
  <c r="Z23" i="15" s="1"/>
  <c r="T9" i="15"/>
  <c r="T17" i="15"/>
  <c r="F22" i="15"/>
  <c r="G22" i="15" s="1" a="1"/>
  <c r="G22" i="15" s="1"/>
  <c r="M13" i="15"/>
  <c r="F30" i="15"/>
  <c r="T10" i="15"/>
  <c r="U10" i="15" s="1" a="1"/>
  <c r="U10" i="15" s="1"/>
  <c r="T18" i="15"/>
  <c r="U18" i="15" s="1" a="1"/>
  <c r="U18" i="15" s="1"/>
  <c r="F13" i="15"/>
  <c r="BH23" i="15" s="1"/>
  <c r="G6" i="21" a="1"/>
  <c r="G6" i="21" s="1"/>
  <c r="BH26" i="21"/>
  <c r="N5" i="23" a="1"/>
  <c r="N5" i="23" s="1"/>
  <c r="G5" i="21" a="1"/>
  <c r="G5" i="21" s="1"/>
  <c r="M6" i="21" a="1"/>
  <c r="M6" i="21" s="1"/>
  <c r="T22" i="23" a="1"/>
  <c r="T22" i="23" s="1"/>
  <c r="N21" i="23" a="1"/>
  <c r="N21" i="23" s="1"/>
  <c r="BH24" i="23"/>
  <c r="G30" i="23" a="1"/>
  <c r="G30" i="23" s="1"/>
  <c r="BH22" i="21"/>
  <c r="N13" i="21" a="1"/>
  <c r="N13" i="21" s="1"/>
  <c r="U13" i="21" a="1"/>
  <c r="U13" i="21" s="1"/>
  <c r="AA15" i="21" a="1"/>
  <c r="AA15" i="21" s="1"/>
  <c r="N29" i="21" a="1"/>
  <c r="N29" i="21" s="1"/>
  <c r="U21" i="21" a="1"/>
  <c r="U21" i="21" s="1"/>
  <c r="AA23" i="21" a="1"/>
  <c r="AA23" i="21" s="1"/>
  <c r="T54" i="23" a="1"/>
  <c r="T54" i="23" s="1"/>
  <c r="AA32" i="23" a="1"/>
  <c r="AA32" i="23" s="1"/>
  <c r="U33" i="23" a="1"/>
  <c r="U33" i="23" s="1"/>
  <c r="T46" i="21" a="1"/>
  <c r="T46" i="21" s="1"/>
  <c r="U17" i="21" a="1"/>
  <c r="U17" i="21" s="1"/>
  <c r="AA16" i="21" a="1"/>
  <c r="AA16" i="21" s="1"/>
  <c r="BH23" i="23"/>
  <c r="G14" i="23" a="1"/>
  <c r="G14" i="23" s="1"/>
  <c r="G29" i="21" a="1"/>
  <c r="G29" i="21" s="1"/>
  <c r="M30" i="21" a="1"/>
  <c r="M30" i="21" s="1"/>
  <c r="U29" i="23" a="1"/>
  <c r="U29" i="23" s="1"/>
  <c r="AA31" i="23" a="1"/>
  <c r="AA31" i="23" s="1"/>
  <c r="G22" i="23" a="1"/>
  <c r="G22" i="23" s="1"/>
  <c r="BH25" i="23"/>
  <c r="U9" i="21" a="1"/>
  <c r="U9" i="21" s="1"/>
  <c r="T42" i="21" a="1"/>
  <c r="T42" i="21" s="1"/>
  <c r="AA8" i="21" a="1"/>
  <c r="AA8" i="21" s="1"/>
  <c r="AA8" i="23" a="1"/>
  <c r="AA8" i="23" s="1"/>
  <c r="U9" i="23" a="1"/>
  <c r="U9" i="23" s="1"/>
  <c r="BH23" i="21"/>
  <c r="G14" i="21" a="1"/>
  <c r="G14" i="21" s="1"/>
  <c r="G13" i="21" a="1"/>
  <c r="G13" i="21" s="1"/>
  <c r="M14" i="21" a="1"/>
  <c r="M14" i="21" s="1"/>
  <c r="M22" i="21" a="1"/>
  <c r="M22" i="21" s="1"/>
  <c r="G21" i="21" a="1"/>
  <c r="G21" i="21" s="1"/>
  <c r="T5" i="23"/>
  <c r="AA32" i="21" a="1"/>
  <c r="AA32" i="21" s="1"/>
  <c r="U33" i="21" a="1"/>
  <c r="U33" i="21" s="1"/>
  <c r="T54" i="21" a="1"/>
  <c r="T54" i="21" s="1"/>
  <c r="T22" i="21" a="1"/>
  <c r="T22" i="21" s="1"/>
  <c r="N21" i="21" a="1"/>
  <c r="N21" i="21" s="1"/>
  <c r="U29" i="21" a="1"/>
  <c r="U29" i="21" s="1"/>
  <c r="AA31" i="21" a="1"/>
  <c r="AA31" i="21" s="1"/>
  <c r="T5" i="21"/>
  <c r="M14" i="23" a="1"/>
  <c r="M14" i="23" s="1"/>
  <c r="BH22" i="23" s="1"/>
  <c r="G13" i="23" a="1"/>
  <c r="G13" i="23" s="1"/>
  <c r="M30" i="23" a="1"/>
  <c r="M30" i="23" s="1"/>
  <c r="G29" i="23" a="1"/>
  <c r="G29" i="23" s="1"/>
  <c r="AA15" i="15" a="1"/>
  <c r="AA15" i="15" s="1"/>
  <c r="G6" i="23" a="1"/>
  <c r="G6" i="23" s="1"/>
  <c r="BH26" i="23"/>
  <c r="AA24" i="15" a="1"/>
  <c r="AA24" i="15" s="1"/>
  <c r="Z24" i="15" s="1"/>
  <c r="U25" i="15" a="1"/>
  <c r="U25" i="15" s="1"/>
  <c r="AA15" i="23" a="1"/>
  <c r="AA15" i="23" s="1"/>
  <c r="U13" i="23" a="1"/>
  <c r="U13" i="23" s="1"/>
  <c r="U21" i="23" a="1"/>
  <c r="U21" i="23" s="1"/>
  <c r="AA23" i="23" a="1"/>
  <c r="AA23" i="23" s="1"/>
  <c r="G5" i="23" a="1"/>
  <c r="G5" i="23" s="1"/>
  <c r="M6" i="23" a="1"/>
  <c r="M6" i="23" s="1"/>
  <c r="BH19" i="23" s="1"/>
  <c r="N29" i="23" a="1"/>
  <c r="N29" i="23" s="1"/>
  <c r="T50" i="23" a="1"/>
  <c r="T50" i="23" s="1"/>
  <c r="U25" i="23" a="1"/>
  <c r="U25" i="23" s="1"/>
  <c r="AA24" i="23" a="1"/>
  <c r="AA24" i="23" s="1"/>
  <c r="G30" i="15" a="1"/>
  <c r="G30" i="15" s="1"/>
  <c r="BH24" i="15"/>
  <c r="G30" i="21" a="1"/>
  <c r="G30" i="21" s="1"/>
  <c r="BH24" i="21"/>
  <c r="BH25" i="21"/>
  <c r="G22" i="21" a="1"/>
  <c r="G22" i="21" s="1"/>
  <c r="N13" i="23" a="1"/>
  <c r="N13" i="23" s="1"/>
  <c r="G14" i="15" a="1"/>
  <c r="G14" i="15" s="1"/>
  <c r="N5" i="21" a="1"/>
  <c r="N5" i="21" s="1"/>
  <c r="BH19" i="21"/>
  <c r="T6" i="21" a="1"/>
  <c r="T6" i="21" s="1"/>
  <c r="M22" i="23" a="1"/>
  <c r="M22" i="23" s="1"/>
  <c r="G21" i="23" a="1"/>
  <c r="G21" i="23" s="1"/>
  <c r="AA24" i="21" a="1"/>
  <c r="AA24" i="21" s="1"/>
  <c r="U25" i="21" a="1"/>
  <c r="U25" i="21" s="1"/>
  <c r="T50" i="21" a="1"/>
  <c r="T50" i="21" s="1"/>
  <c r="AA16" i="23" a="1"/>
  <c r="AA16" i="23" s="1"/>
  <c r="U17" i="23" a="1"/>
  <c r="U17" i="23" s="1"/>
  <c r="T46" i="23" a="1"/>
  <c r="T46" i="23" s="1"/>
  <c r="U30" i="15" a="1"/>
  <c r="U30" i="15" s="1"/>
  <c r="AA31" i="15" a="1"/>
  <c r="AA31" i="15" s="1"/>
  <c r="Z31" i="15" s="1"/>
  <c r="U29" i="15" a="1"/>
  <c r="U29" i="15" s="1"/>
  <c r="L6" i="15"/>
  <c r="BH25" i="15" l="1"/>
  <c r="U9" i="15" a="1"/>
  <c r="U9" i="15" s="1"/>
  <c r="AA8" i="15" a="1"/>
  <c r="AA8" i="15" s="1"/>
  <c r="T42" i="15" a="1"/>
  <c r="T42" i="15" s="1"/>
  <c r="U17" i="15" a="1"/>
  <c r="U17" i="15" s="1"/>
  <c r="AA16" i="15" a="1"/>
  <c r="AA16" i="15" s="1"/>
  <c r="AB23" i="15" a="1"/>
  <c r="AB23" i="15" s="1"/>
  <c r="G5" i="15" a="1"/>
  <c r="G5" i="15" s="1"/>
  <c r="G6" i="15" a="1"/>
  <c r="G6" i="15" s="1"/>
  <c r="N5" i="15" a="1"/>
  <c r="N5" i="15" s="1"/>
  <c r="U21" i="15" a="1"/>
  <c r="U21" i="15" s="1"/>
  <c r="AB15" i="15" a="1"/>
  <c r="AB15" i="15" s="1"/>
  <c r="Z15" i="15"/>
  <c r="G13" i="15" a="1"/>
  <c r="G13" i="15" s="1"/>
  <c r="M14" i="15" a="1"/>
  <c r="M14" i="15" s="1"/>
  <c r="BH22" i="15" s="1"/>
  <c r="N13" i="15" a="1"/>
  <c r="N13" i="15" s="1"/>
  <c r="T5" i="15"/>
  <c r="U46" i="23" a="1"/>
  <c r="U46" i="23" s="1"/>
  <c r="S46" i="23" a="1"/>
  <c r="S46" i="23" s="1"/>
  <c r="U6" i="21" a="1"/>
  <c r="U6" i="21" s="1"/>
  <c r="S6" i="21" a="1"/>
  <c r="S6" i="21" s="1"/>
  <c r="L30" i="23"/>
  <c r="BH21" i="23"/>
  <c r="N30" i="23" a="1"/>
  <c r="N30" i="23" s="1"/>
  <c r="Z31" i="23" a="1"/>
  <c r="Z31" i="23" s="1"/>
  <c r="AA41" i="23" a="1"/>
  <c r="AA41" i="23" s="1"/>
  <c r="AH28" i="23" a="1"/>
  <c r="AH28" i="23" s="1"/>
  <c r="AB31" i="23" a="1"/>
  <c r="AB31" i="23" s="1"/>
  <c r="BH21" i="21"/>
  <c r="L30" i="21"/>
  <c r="N30" i="21" a="1"/>
  <c r="N30" i="21" s="1"/>
  <c r="N14" i="23" a="1"/>
  <c r="N14" i="23" s="1"/>
  <c r="L14" i="23"/>
  <c r="AA7" i="21" a="1"/>
  <c r="AA7" i="21" s="1"/>
  <c r="U5" i="21" a="1"/>
  <c r="U5" i="21" s="1"/>
  <c r="Z16" i="21" a="1"/>
  <c r="Z16" i="21" s="1"/>
  <c r="AB16" i="21" a="1"/>
  <c r="AB16" i="21" s="1"/>
  <c r="AH28" i="21" a="1"/>
  <c r="AH28" i="21" s="1"/>
  <c r="Z31" i="21" a="1"/>
  <c r="Z31" i="21" s="1"/>
  <c r="AB31" i="21" a="1"/>
  <c r="AB31" i="21" s="1"/>
  <c r="AA41" i="21" a="1"/>
  <c r="AA41" i="21" s="1"/>
  <c r="S46" i="21" a="1"/>
  <c r="S46" i="21" s="1"/>
  <c r="U46" i="21" a="1"/>
  <c r="U46" i="21" s="1"/>
  <c r="Z32" i="23" a="1"/>
  <c r="Z32" i="23" s="1"/>
  <c r="AB32" i="23" a="1"/>
  <c r="AB32" i="23" s="1"/>
  <c r="U22" i="21" a="1"/>
  <c r="U22" i="21" s="1"/>
  <c r="S22" i="21" a="1"/>
  <c r="S22" i="21" s="1"/>
  <c r="U54" i="23" a="1"/>
  <c r="U54" i="23" s="1"/>
  <c r="S54" i="23" a="1"/>
  <c r="S54" i="23" s="1"/>
  <c r="U54" i="21" a="1"/>
  <c r="U54" i="21" s="1"/>
  <c r="S54" i="21" a="1"/>
  <c r="S54" i="21" s="1"/>
  <c r="BH15" i="21"/>
  <c r="AH27" i="21" a="1"/>
  <c r="AH27" i="21" s="1"/>
  <c r="Z23" i="21" a="1"/>
  <c r="Z23" i="21" s="1"/>
  <c r="AA45" i="21" a="1"/>
  <c r="AA45" i="21" s="1"/>
  <c r="AB23" i="21" a="1"/>
  <c r="AB23" i="21" s="1"/>
  <c r="BH20" i="23"/>
  <c r="N22" i="23" a="1"/>
  <c r="N22" i="23" s="1"/>
  <c r="L22" i="23"/>
  <c r="U50" i="23" a="1"/>
  <c r="U50" i="23" s="1"/>
  <c r="S50" i="23" a="1"/>
  <c r="S50" i="23" s="1"/>
  <c r="U5" i="23" a="1"/>
  <c r="U5" i="23" s="1"/>
  <c r="AA7" i="23" a="1"/>
  <c r="AA7" i="23" s="1"/>
  <c r="AB32" i="21" a="1"/>
  <c r="AB32" i="21" s="1"/>
  <c r="Z32" i="21" a="1"/>
  <c r="Z32" i="21" s="1"/>
  <c r="AA49" i="21" a="1"/>
  <c r="AA49" i="21" s="1"/>
  <c r="AB15" i="21" a="1"/>
  <c r="AB15" i="21" s="1"/>
  <c r="AH12" i="21" a="1"/>
  <c r="AH12" i="21" s="1"/>
  <c r="Z15" i="21" a="1"/>
  <c r="Z15" i="21" s="1"/>
  <c r="N6" i="23" a="1"/>
  <c r="N6" i="23" s="1"/>
  <c r="L6" i="23"/>
  <c r="AA53" i="15" a="1"/>
  <c r="AA53" i="15" s="1"/>
  <c r="Z53" i="15" s="1"/>
  <c r="Z24" i="23" a="1"/>
  <c r="Z24" i="23" s="1"/>
  <c r="AB24" i="23" a="1"/>
  <c r="AB24" i="23" s="1"/>
  <c r="AA50" i="23" a="1"/>
  <c r="AA50" i="23" s="1"/>
  <c r="N22" i="21" a="1"/>
  <c r="N22" i="21" s="1"/>
  <c r="BH20" i="21"/>
  <c r="L22" i="21"/>
  <c r="AB23" i="23" a="1"/>
  <c r="AB23" i="23" s="1"/>
  <c r="Z23" i="23" a="1"/>
  <c r="Z23" i="23" s="1"/>
  <c r="AH27" i="23" a="1"/>
  <c r="AH27" i="23" s="1"/>
  <c r="AA45" i="23" a="1"/>
  <c r="AA45" i="23" s="1"/>
  <c r="L14" i="21"/>
  <c r="N14" i="21" a="1"/>
  <c r="N14" i="21" s="1"/>
  <c r="AB16" i="23" a="1"/>
  <c r="AB16" i="23" s="1"/>
  <c r="Z16" i="23" a="1"/>
  <c r="Z16" i="23" s="1"/>
  <c r="AA49" i="23" a="1"/>
  <c r="AA49" i="23" s="1"/>
  <c r="AB15" i="23" a="1"/>
  <c r="AB15" i="23" s="1"/>
  <c r="AH12" i="23" a="1"/>
  <c r="AH12" i="23" s="1"/>
  <c r="Z15" i="23" a="1"/>
  <c r="Z15" i="23" s="1"/>
  <c r="S22" i="23" a="1"/>
  <c r="S22" i="23" s="1"/>
  <c r="U22" i="23" a="1"/>
  <c r="U22" i="23" s="1"/>
  <c r="U50" i="21" a="1"/>
  <c r="U50" i="21" s="1"/>
  <c r="S50" i="21" a="1"/>
  <c r="S50" i="21" s="1"/>
  <c r="N6" i="21" a="1"/>
  <c r="N6" i="21" s="1"/>
  <c r="L6" i="21"/>
  <c r="Z24" i="21" a="1"/>
  <c r="Z24" i="21" s="1"/>
  <c r="AB24" i="21" a="1"/>
  <c r="AB24" i="21" s="1"/>
  <c r="AB8" i="21" a="1"/>
  <c r="AB8" i="21" s="1"/>
  <c r="Z8" i="21" a="1"/>
  <c r="Z8" i="21" s="1"/>
  <c r="Z8" i="23" a="1"/>
  <c r="Z8" i="23" s="1"/>
  <c r="AB8" i="23" a="1"/>
  <c r="AB8" i="23" s="1"/>
  <c r="AB24" i="15" a="1"/>
  <c r="AB24" i="15" s="1"/>
  <c r="U42" i="21" a="1"/>
  <c r="U42" i="21" s="1"/>
  <c r="S42" i="21" a="1"/>
  <c r="S42" i="21" s="1"/>
  <c r="AA49" i="15" a="1"/>
  <c r="AA49" i="15" s="1"/>
  <c r="Z49" i="15" s="1"/>
  <c r="AB31" i="15" a="1"/>
  <c r="AB31" i="15" s="1"/>
  <c r="T53" i="15" a="1"/>
  <c r="T53" i="15" s="1"/>
  <c r="S53" i="15" s="1"/>
  <c r="S42" i="15" l="1"/>
  <c r="U42" i="15" a="1"/>
  <c r="U42" i="15" s="1"/>
  <c r="Z8" i="15"/>
  <c r="AB8" i="15" a="1"/>
  <c r="AB8" i="15" s="1"/>
  <c r="Z16" i="15"/>
  <c r="AB16" i="15" a="1"/>
  <c r="AB16" i="15" s="1"/>
  <c r="U5" i="15" a="1"/>
  <c r="U5" i="15" s="1"/>
  <c r="AA7" i="15" a="1"/>
  <c r="AA7" i="15" s="1"/>
  <c r="L14" i="15"/>
  <c r="N14" i="15" a="1"/>
  <c r="N14" i="15" s="1"/>
  <c r="AB53" i="15" a="1"/>
  <c r="AB53" i="15" s="1"/>
  <c r="AH52" i="15" a="1"/>
  <c r="AH52" i="15" s="1"/>
  <c r="AG52" i="15" s="1"/>
  <c r="AG12" i="21" a="1"/>
  <c r="AG12" i="21" s="1"/>
  <c r="AI12" i="21" a="1"/>
  <c r="AI12" i="21" s="1"/>
  <c r="AB41" i="21" a="1"/>
  <c r="AB41" i="21" s="1"/>
  <c r="Z41" i="21" a="1"/>
  <c r="Z41" i="21" s="1"/>
  <c r="AB49" i="21" a="1"/>
  <c r="AB49" i="21" s="1"/>
  <c r="AH51" i="21" a="1"/>
  <c r="AH51" i="21" s="1"/>
  <c r="Z49" i="21" a="1"/>
  <c r="Z49" i="21" s="1"/>
  <c r="AI28" i="21" a="1"/>
  <c r="AI28" i="21" s="1"/>
  <c r="AG28" i="21" a="1"/>
  <c r="AG28" i="21" s="1"/>
  <c r="AG12" i="23" a="1"/>
  <c r="AG12" i="23" s="1"/>
  <c r="AI12" i="23" a="1"/>
  <c r="AI12" i="23" s="1"/>
  <c r="Z49" i="23" a="1"/>
  <c r="Z49" i="23" s="1"/>
  <c r="AH51" i="23" a="1"/>
  <c r="AH51" i="23" s="1"/>
  <c r="AB49" i="23" a="1"/>
  <c r="AB49" i="23" s="1"/>
  <c r="AB7" i="21" a="1"/>
  <c r="AB7" i="21" s="1"/>
  <c r="AH11" i="21" a="1"/>
  <c r="AH11" i="21" s="1"/>
  <c r="Z7" i="21" a="1"/>
  <c r="Z7" i="21" s="1"/>
  <c r="AA53" i="21" a="1"/>
  <c r="AA53" i="21" s="1"/>
  <c r="AB7" i="23" a="1"/>
  <c r="AB7" i="23" s="1"/>
  <c r="AH11" i="23" a="1"/>
  <c r="AH11" i="23" s="1"/>
  <c r="AA53" i="23" a="1"/>
  <c r="AA53" i="23" s="1"/>
  <c r="Z7" i="23" a="1"/>
  <c r="Z7" i="23" s="1"/>
  <c r="AH44" i="23" a="1"/>
  <c r="AH44" i="23" s="1"/>
  <c r="AB45" i="23" a="1"/>
  <c r="AB45" i="23" s="1"/>
  <c r="Z45" i="23" a="1"/>
  <c r="Z45" i="23" s="1"/>
  <c r="AO20" i="23" a="1"/>
  <c r="AO20" i="23" s="1"/>
  <c r="AG27" i="23" a="1"/>
  <c r="AG27" i="23" s="1"/>
  <c r="AO51" i="23" a="1"/>
  <c r="AO51" i="23" s="1"/>
  <c r="AI27" i="23" a="1"/>
  <c r="AI27" i="23" s="1"/>
  <c r="AI28" i="23" a="1"/>
  <c r="AI28" i="23" s="1"/>
  <c r="AG28" i="23" a="1"/>
  <c r="AG28" i="23" s="1"/>
  <c r="Z41" i="23" a="1"/>
  <c r="Z41" i="23" s="1"/>
  <c r="AH43" i="23" a="1"/>
  <c r="AH43" i="23" s="1"/>
  <c r="AB41" i="23" a="1"/>
  <c r="AB41" i="23" s="1"/>
  <c r="AI27" i="21" a="1"/>
  <c r="AI27" i="21" s="1"/>
  <c r="AO20" i="21" a="1"/>
  <c r="AO20" i="21" s="1"/>
  <c r="AO51" i="21" a="1"/>
  <c r="AO51" i="21" s="1"/>
  <c r="AG27" i="21" a="1"/>
  <c r="AG27" i="21" s="1"/>
  <c r="AH44" i="21" a="1"/>
  <c r="AH44" i="21" s="1"/>
  <c r="Z45" i="21" a="1"/>
  <c r="Z45" i="21" s="1"/>
  <c r="AB45" i="21" a="1"/>
  <c r="AB45" i="21" s="1"/>
  <c r="AB49" i="15" a="1"/>
  <c r="AB49" i="15" s="1"/>
  <c r="AH51" i="15" a="1"/>
  <c r="AH51" i="15" s="1"/>
  <c r="AG51" i="15" s="1"/>
  <c r="Z50" i="23" a="1"/>
  <c r="Z50" i="23" s="1"/>
  <c r="AB50" i="23" a="1"/>
  <c r="AB50" i="23" s="1"/>
  <c r="BH13" i="23"/>
  <c r="AA54" i="15" a="1"/>
  <c r="AA54" i="15" s="1"/>
  <c r="Z54" i="15" s="1"/>
  <c r="U53" i="15" a="1"/>
  <c r="U53" i="15" s="1"/>
  <c r="AA32" i="15" a="1"/>
  <c r="AA32" i="15" s="1"/>
  <c r="Z32" i="15" s="1"/>
  <c r="Z7" i="15" l="1"/>
  <c r="AB7" i="15" a="1"/>
  <c r="AB7" i="15" s="1"/>
  <c r="AN20" i="23" a="1"/>
  <c r="AN20" i="23" s="1"/>
  <c r="AP20" i="23" a="1"/>
  <c r="AP20" i="23" s="1"/>
  <c r="AG44" i="23" a="1"/>
  <c r="AG44" i="23" s="1"/>
  <c r="AI44" i="23" a="1"/>
  <c r="AI44" i="23" s="1"/>
  <c r="AN51" i="23" a="1"/>
  <c r="AN51" i="23" s="1"/>
  <c r="AP51" i="23" a="1"/>
  <c r="AP51" i="23" s="1"/>
  <c r="AB53" i="23" a="1"/>
  <c r="AB53" i="23" s="1"/>
  <c r="Z53" i="23" a="1"/>
  <c r="Z53" i="23" s="1"/>
  <c r="AO43" i="23" a="1"/>
  <c r="AO43" i="23" s="1"/>
  <c r="AG11" i="23" a="1"/>
  <c r="AG11" i="23" s="1"/>
  <c r="AI11" i="23" a="1"/>
  <c r="AI11" i="23" s="1"/>
  <c r="AO19" i="23" a="1"/>
  <c r="AO19" i="23" s="1"/>
  <c r="BH14" i="15"/>
  <c r="Z53" i="21" a="1"/>
  <c r="Z53" i="21" s="1"/>
  <c r="AH52" i="21" a="1"/>
  <c r="AH52" i="21" s="1"/>
  <c r="BH10" i="21" s="1"/>
  <c r="AB53" i="21" a="1"/>
  <c r="AB53" i="21" s="1"/>
  <c r="AG11" i="21" a="1"/>
  <c r="AG11" i="21" s="1"/>
  <c r="AI11" i="21" a="1"/>
  <c r="AI11" i="21" s="1"/>
  <c r="AO19" i="21" a="1"/>
  <c r="AO19" i="21" s="1"/>
  <c r="AG51" i="23" a="1"/>
  <c r="AG51" i="23" s="1"/>
  <c r="AI51" i="23" a="1"/>
  <c r="AI51" i="23" s="1"/>
  <c r="AG44" i="21" a="1"/>
  <c r="AG44" i="21" s="1"/>
  <c r="AI44" i="21" a="1"/>
  <c r="AI44" i="21" s="1"/>
  <c r="AI51" i="21" a="1"/>
  <c r="AI51" i="21" s="1"/>
  <c r="AG51" i="21" a="1"/>
  <c r="AG51" i="21" s="1"/>
  <c r="AI51" i="15" a="1"/>
  <c r="AI51" i="15" s="1"/>
  <c r="AO52" i="15" a="1"/>
  <c r="AO52" i="15" s="1"/>
  <c r="AN52" i="15" s="1"/>
  <c r="BH10" i="15"/>
  <c r="AN51" i="21" a="1"/>
  <c r="AN51" i="21" s="1"/>
  <c r="AP51" i="21" a="1"/>
  <c r="AP51" i="21" s="1"/>
  <c r="BH7" i="21"/>
  <c r="AN20" i="21" a="1"/>
  <c r="AN20" i="21" s="1"/>
  <c r="AP20" i="21" a="1"/>
  <c r="AP20" i="21" s="1"/>
  <c r="BH9" i="21"/>
  <c r="AO44" i="23" a="1"/>
  <c r="AO44" i="23" s="1"/>
  <c r="AG43" i="23" a="1"/>
  <c r="AG43" i="23" s="1"/>
  <c r="AI43" i="23" a="1"/>
  <c r="AI43" i="23" s="1"/>
  <c r="BH9" i="23"/>
  <c r="AI52" i="15" a="1"/>
  <c r="AI52" i="15" s="1"/>
  <c r="AB32" i="15" a="1"/>
  <c r="AB32" i="15" s="1"/>
  <c r="AN19" i="21" l="1" a="1"/>
  <c r="AN19" i="21" s="1"/>
  <c r="AV19" i="21" a="1"/>
  <c r="AV19" i="21" s="1"/>
  <c r="AP19" i="21" a="1"/>
  <c r="AP19" i="21" s="1"/>
  <c r="BC47" i="21" a="1"/>
  <c r="BC47" i="21" s="1"/>
  <c r="BH8" i="23"/>
  <c r="AP44" i="23" a="1"/>
  <c r="AP44" i="23" s="1"/>
  <c r="AN44" i="23" a="1"/>
  <c r="AN44" i="23" s="1"/>
  <c r="AP43" i="23" a="1"/>
  <c r="AP43" i="23" s="1"/>
  <c r="AN43" i="23" a="1"/>
  <c r="AN43" i="23" s="1"/>
  <c r="AV47" i="23" a="1"/>
  <c r="AV47" i="23" s="1"/>
  <c r="AP52" i="15" a="1"/>
  <c r="AP52" i="15" s="1"/>
  <c r="AI52" i="21" a="1"/>
  <c r="AI52" i="21" s="1"/>
  <c r="AG52" i="21" a="1"/>
  <c r="AG52" i="21" s="1"/>
  <c r="AV19" i="23" a="1"/>
  <c r="AV19" i="23" s="1"/>
  <c r="AP19" i="23" a="1"/>
  <c r="AP19" i="23" s="1"/>
  <c r="AN19" i="23" a="1"/>
  <c r="AN19" i="23" s="1"/>
  <c r="BC47" i="23" a="1"/>
  <c r="BC47" i="23" s="1"/>
  <c r="AH27" i="15" a="1"/>
  <c r="AH27" i="15" s="1"/>
  <c r="AG27" i="15" s="1"/>
  <c r="BC20" i="21" l="1" a="1"/>
  <c r="BC20" i="21" s="1"/>
  <c r="BD20" i="21" s="1" a="1"/>
  <c r="BD20" i="21" s="1"/>
  <c r="AW47" i="23" a="1"/>
  <c r="AW47" i="23" s="1"/>
  <c r="AU47" i="23" a="1"/>
  <c r="AU47" i="23" s="1"/>
  <c r="BC48" i="23" a="1"/>
  <c r="BC48" i="23" s="1"/>
  <c r="BD47" i="21" a="1"/>
  <c r="BD47" i="21" s="1"/>
  <c r="BB47" i="21" a="1"/>
  <c r="BB47" i="21" s="1"/>
  <c r="BB47" i="23" a="1"/>
  <c r="BB47" i="23" s="1"/>
  <c r="BD47" i="23" a="1"/>
  <c r="BD47" i="23" s="1"/>
  <c r="AU19" i="21" a="1"/>
  <c r="AU19" i="21" s="1"/>
  <c r="AW19" i="21" a="1"/>
  <c r="AW19" i="21" s="1"/>
  <c r="AW19" i="23" a="1"/>
  <c r="AW19" i="23" s="1"/>
  <c r="AU19" i="23" a="1"/>
  <c r="AU19" i="23" s="1"/>
  <c r="AI27" i="15" a="1"/>
  <c r="AI27" i="15" s="1"/>
  <c r="AO20" i="15" a="1"/>
  <c r="AO20" i="15" s="1"/>
  <c r="AN20" i="15" s="1"/>
  <c r="BB20" i="21" l="1" a="1"/>
  <c r="BB20" i="21" s="1"/>
  <c r="AV48" i="15" a="1"/>
  <c r="AV48" i="15" s="1"/>
  <c r="AU48" i="15" s="1"/>
  <c r="BH4" i="21"/>
  <c r="BH5" i="23"/>
  <c r="BB48" i="23" a="1"/>
  <c r="BB48" i="23" s="1"/>
  <c r="BD48" i="23" a="1"/>
  <c r="BD48" i="23" s="1"/>
  <c r="AP20" i="15" a="1"/>
  <c r="AP20" i="15" s="1"/>
  <c r="T6" i="15" a="1"/>
  <c r="T6" i="15" s="1"/>
  <c r="S6" i="15" s="1"/>
  <c r="AW48" i="15" l="1" a="1"/>
  <c r="AW48" i="15" s="1"/>
  <c r="BH6" i="15"/>
  <c r="U6" i="15" a="1"/>
  <c r="U6" i="15" s="1"/>
  <c r="T41" i="15" a="1"/>
  <c r="T41" i="15" s="1"/>
  <c r="S41" i="15" s="1"/>
  <c r="AA42" i="15" l="1" a="1"/>
  <c r="AA42" i="15" s="1"/>
  <c r="BH18" i="15"/>
  <c r="U41" i="15" a="1"/>
  <c r="U41" i="15" s="1"/>
  <c r="AB54" i="15" a="1"/>
  <c r="AB54" i="15" s="1"/>
  <c r="T41" i="21" a="1"/>
  <c r="T41" i="21" s="1"/>
  <c r="AA42" i="21" a="1"/>
  <c r="AA42" i="21" s="1"/>
  <c r="T49" i="21" a="1"/>
  <c r="T49" i="21" s="1"/>
  <c r="AA50" i="21" a="1"/>
  <c r="AA50" i="21" s="1"/>
  <c r="AA46" i="21" a="1"/>
  <c r="AA46" i="21" s="1"/>
  <c r="Z46" i="21" s="1" a="1"/>
  <c r="Z46" i="21" s="1"/>
  <c r="AO43" i="21" a="1"/>
  <c r="AO43" i="21" s="1"/>
  <c r="T42" i="23" a="1"/>
  <c r="T42" i="23" s="1"/>
  <c r="T6" i="23" a="1"/>
  <c r="T6" i="23" s="1"/>
  <c r="T14" i="23" a="1"/>
  <c r="T14" i="23" s="1"/>
  <c r="AA46" i="23" a="1"/>
  <c r="AA46" i="23" s="1"/>
  <c r="AB42" i="15" l="1" a="1"/>
  <c r="AB42" i="15" s="1"/>
  <c r="Z42" i="15"/>
  <c r="U14" i="23" a="1"/>
  <c r="U14" i="23" s="1"/>
  <c r="S14" i="23" a="1"/>
  <c r="S14" i="23" s="1"/>
  <c r="AB46" i="23" a="1"/>
  <c r="AB46" i="23" s="1"/>
  <c r="BH12" i="23"/>
  <c r="Z46" i="23" a="1"/>
  <c r="Z46" i="23" s="1"/>
  <c r="S6" i="23" a="1"/>
  <c r="S6" i="23" s="1"/>
  <c r="U6" i="23" a="1"/>
  <c r="U6" i="23" s="1"/>
  <c r="S42" i="23" a="1"/>
  <c r="S42" i="23" s="1"/>
  <c r="U42" i="23" a="1"/>
  <c r="U42" i="23" s="1"/>
  <c r="AP43" i="21" a="1"/>
  <c r="AP43" i="21" s="1"/>
  <c r="AN43" i="21" a="1"/>
  <c r="AN43" i="21" s="1"/>
  <c r="U41" i="21" a="1"/>
  <c r="U41" i="21" s="1"/>
  <c r="BH18" i="21"/>
  <c r="S41" i="21" a="1"/>
  <c r="S41" i="21" s="1"/>
  <c r="BH13" i="21"/>
  <c r="Z50" i="21" a="1"/>
  <c r="Z50" i="21" s="1"/>
  <c r="AB50" i="21" a="1"/>
  <c r="AB50" i="21" s="1"/>
  <c r="BH16" i="21"/>
  <c r="S49" i="21" a="1"/>
  <c r="S49" i="21" s="1"/>
  <c r="U49" i="21" a="1"/>
  <c r="U49" i="21" s="1"/>
  <c r="Z42" i="21" a="1"/>
  <c r="Z42" i="21" s="1"/>
  <c r="AB42" i="21" a="1"/>
  <c r="AB42" i="21" s="1"/>
  <c r="BH11" i="21"/>
  <c r="BH12" i="21"/>
  <c r="AB46" i="21" a="1"/>
  <c r="AB46" i="21" s="1"/>
  <c r="T14" i="21" a="1"/>
  <c r="T14" i="21" s="1"/>
  <c r="AA45" i="15" a="1"/>
  <c r="AA45" i="15" s="1"/>
  <c r="Z45" i="15" s="1"/>
  <c r="AA41" i="15" a="1"/>
  <c r="AA41" i="15" s="1"/>
  <c r="Z41" i="15" s="1"/>
  <c r="AO52" i="21" a="1"/>
  <c r="AO52" i="21" s="1"/>
  <c r="AN52" i="21" s="1" a="1"/>
  <c r="AN52" i="21" s="1"/>
  <c r="T41" i="23" a="1"/>
  <c r="T41" i="23" s="1"/>
  <c r="AV47" i="21" a="1"/>
  <c r="AV47" i="21" s="1"/>
  <c r="T45" i="23" a="1"/>
  <c r="T45" i="23" s="1"/>
  <c r="AA54" i="23" a="1"/>
  <c r="AA54" i="23" s="1"/>
  <c r="BH14" i="23" s="1"/>
  <c r="AA42" i="23" a="1"/>
  <c r="AA42" i="23" s="1"/>
  <c r="BH11" i="15" l="1"/>
  <c r="S45" i="23" a="1"/>
  <c r="S45" i="23" s="1"/>
  <c r="U45" i="23" a="1"/>
  <c r="U45" i="23" s="1"/>
  <c r="S14" i="21" a="1"/>
  <c r="S14" i="21" s="1"/>
  <c r="U14" i="21" a="1"/>
  <c r="U14" i="21" s="1"/>
  <c r="BH11" i="23"/>
  <c r="Z42" i="23" a="1"/>
  <c r="Z42" i="23" s="1"/>
  <c r="AB42" i="23" a="1"/>
  <c r="AB42" i="23" s="1"/>
  <c r="S41" i="23" a="1"/>
  <c r="S41" i="23" s="1"/>
  <c r="BH18" i="23"/>
  <c r="U41" i="23" a="1"/>
  <c r="U41" i="23" s="1"/>
  <c r="AU47" i="21" a="1"/>
  <c r="AU47" i="21" s="1"/>
  <c r="AW47" i="21" a="1"/>
  <c r="AW47" i="21" s="1"/>
  <c r="AB41" i="15" a="1"/>
  <c r="AB41" i="15" s="1"/>
  <c r="AB45" i="15" a="1"/>
  <c r="AB45" i="15" s="1"/>
  <c r="BH17" i="23"/>
  <c r="Z54" i="23" a="1"/>
  <c r="Z54" i="23" s="1"/>
  <c r="AP52" i="21" a="1"/>
  <c r="AP52" i="21" s="1"/>
  <c r="AB54" i="23" a="1"/>
  <c r="AB54" i="23" s="1"/>
  <c r="BH5" i="21" l="1"/>
  <c r="T45" i="21" a="1"/>
  <c r="T45" i="21" s="1"/>
  <c r="AH43" i="15" a="1"/>
  <c r="AH43" i="15" s="1"/>
  <c r="AG43" i="15" s="1"/>
  <c r="AH44" i="15" a="1"/>
  <c r="AH44" i="15" s="1"/>
  <c r="AG44" i="15" s="1"/>
  <c r="S45" i="21" l="1" a="1"/>
  <c r="S45" i="21" s="1"/>
  <c r="BH17" i="21"/>
  <c r="AI44" i="15" a="1"/>
  <c r="AI44" i="15" s="1"/>
  <c r="AO44" i="15" a="1"/>
  <c r="AO44" i="15" s="1"/>
  <c r="AN44" i="15" s="1"/>
  <c r="AI43" i="15" a="1"/>
  <c r="AI43" i="15" s="1"/>
  <c r="BH9" i="15"/>
  <c r="U45" i="21" a="1"/>
  <c r="U45" i="21" s="1"/>
  <c r="BH8" i="15" l="1"/>
  <c r="AP44" i="15" a="1"/>
  <c r="AP44" i="15" s="1"/>
  <c r="AV48" i="21" a="1"/>
  <c r="AV48" i="21" s="1"/>
  <c r="AU48" i="21" l="1" a="1"/>
  <c r="AU48" i="21" s="1"/>
  <c r="BH6" i="21"/>
  <c r="AW48" i="21" a="1"/>
  <c r="AW48" i="21" s="1"/>
  <c r="AH12" i="15" a="1"/>
  <c r="AH12" i="15" s="1"/>
  <c r="AG12" i="15" s="1"/>
  <c r="T49" i="23" a="1"/>
  <c r="T49" i="23" s="1"/>
  <c r="BH16" i="23" l="1"/>
  <c r="S49" i="23" a="1"/>
  <c r="S49" i="23" s="1"/>
  <c r="U49" i="23" a="1"/>
  <c r="U49" i="23" s="1"/>
  <c r="AI12" i="15" a="1"/>
  <c r="AI12" i="15" s="1"/>
  <c r="AO43" i="15" a="1"/>
  <c r="AO43" i="15" s="1"/>
  <c r="AN43" i="15" s="1"/>
  <c r="AP43" i="15" l="1" a="1"/>
  <c r="AP43" i="15" s="1"/>
  <c r="AV47" i="15" a="1"/>
  <c r="AV47" i="15" s="1"/>
  <c r="AU47" i="15" s="1"/>
  <c r="AW47" i="15" l="1" a="1"/>
  <c r="AW47" i="15" s="1"/>
  <c r="BC48" i="15" a="1"/>
  <c r="BC48" i="15" s="1"/>
  <c r="BB48" i="15" s="1"/>
  <c r="BD48" i="15" l="1" a="1"/>
  <c r="BD48" i="15" s="1"/>
  <c r="T54" i="15" a="1"/>
  <c r="T54" i="15" s="1"/>
  <c r="S54" i="15" s="1"/>
  <c r="M22" i="15" a="1"/>
  <c r="M22" i="15" s="1"/>
  <c r="L22" i="15" l="1"/>
  <c r="BH20" i="15"/>
  <c r="N22" i="15" a="1"/>
  <c r="N22" i="15" s="1"/>
  <c r="U54" i="15" a="1"/>
  <c r="U54" i="15" s="1"/>
  <c r="BH15" i="15"/>
  <c r="T46" i="15" a="1"/>
  <c r="T46" i="15" s="1"/>
  <c r="S46" i="15" l="1"/>
  <c r="BH17" i="15"/>
  <c r="U46" i="15" a="1"/>
  <c r="U46" i="15" s="1"/>
  <c r="AO52" i="23" l="1" a="1"/>
  <c r="AO52" i="23" s="1"/>
  <c r="BH7" i="23" s="1"/>
  <c r="AP52" i="23" l="1" a="1"/>
  <c r="AP52" i="23" s="1"/>
  <c r="AN52" i="23" a="1"/>
  <c r="AN52" i="23" s="1"/>
  <c r="AV48" i="23" a="1"/>
  <c r="AV48" i="23" s="1"/>
  <c r="AW48" i="23" l="1" a="1"/>
  <c r="AW48" i="23" s="1"/>
  <c r="BH6" i="23"/>
  <c r="AU48" i="23" a="1"/>
  <c r="AU48" i="23" s="1"/>
  <c r="T22" i="15" a="1"/>
  <c r="T22" i="15" s="1"/>
  <c r="S22" i="15" s="1"/>
  <c r="U22" i="15" l="1" a="1"/>
  <c r="U22" i="15" s="1"/>
  <c r="T14" i="15" a="1"/>
  <c r="T14" i="15" s="1"/>
  <c r="S14" i="15" l="1"/>
  <c r="U14" i="15" a="1"/>
  <c r="U14" i="15" s="1"/>
  <c r="M30" i="15" a="1"/>
  <c r="M30" i="15" s="1"/>
  <c r="L30" i="15" l="1"/>
  <c r="BH21" i="15"/>
  <c r="N30" i="15" a="1"/>
  <c r="N30" i="15" s="1"/>
  <c r="T50" i="15" l="1" a="1"/>
  <c r="T50" i="15" s="1"/>
  <c r="S50" i="15" l="1"/>
  <c r="U50" i="15" a="1"/>
  <c r="U50" i="15" s="1"/>
  <c r="T49" i="15" a="1"/>
  <c r="T49" i="15" s="1"/>
  <c r="AA50" i="15" l="1" a="1"/>
  <c r="AA50" i="15" s="1"/>
  <c r="BH13" i="15" s="1"/>
  <c r="BH16" i="15"/>
  <c r="S49" i="15"/>
  <c r="U49" i="15" a="1"/>
  <c r="U49" i="15" s="1"/>
  <c r="T45" i="15" a="1"/>
  <c r="T45" i="15" s="1"/>
  <c r="AB50" i="15" l="1" a="1"/>
  <c r="AB50" i="15" s="1"/>
  <c r="Z50" i="15"/>
  <c r="S45" i="15"/>
  <c r="U45" i="15" a="1"/>
  <c r="U45" i="15" s="1"/>
  <c r="AH28" i="15" a="1"/>
  <c r="AH28" i="15" s="1"/>
  <c r="AG28" i="15" l="1"/>
  <c r="AI28" i="15" a="1"/>
  <c r="AI28" i="15" s="1"/>
  <c r="AH11" i="15" a="1"/>
  <c r="AH11" i="15" s="1"/>
  <c r="AO19" i="15" s="1" a="1"/>
  <c r="AO19" i="15" s="1"/>
  <c r="AV19" i="15" s="1" a="1"/>
  <c r="AV19" i="15" s="1"/>
  <c r="BC20" i="15" s="1" a="1"/>
  <c r="BC20" i="15" s="1"/>
  <c r="AU19" i="15" l="1"/>
  <c r="AW19" i="15" a="1"/>
  <c r="AW19" i="15" s="1"/>
  <c r="AN19" i="15"/>
  <c r="AP19" i="15" a="1"/>
  <c r="AP19" i="15" s="1"/>
  <c r="AG11" i="15"/>
  <c r="AI11" i="15" a="1"/>
  <c r="AI11" i="15" s="1"/>
  <c r="AA46" i="15" a="1"/>
  <c r="AA46" i="15" s="1"/>
  <c r="BH12" i="15" s="1"/>
  <c r="Z46" i="15" l="1"/>
  <c r="AB46" i="15" a="1"/>
  <c r="AB46" i="15" s="1"/>
  <c r="AO51" i="15" a="1"/>
  <c r="AO51" i="15" s="1"/>
  <c r="BH7" i="15" s="1"/>
  <c r="AN51" i="15" l="1"/>
  <c r="AP51" i="15" a="1"/>
  <c r="AP51" i="15" s="1"/>
  <c r="BC47" i="15" a="1"/>
  <c r="BC47" i="15" s="1"/>
  <c r="AV20" i="15" l="1" a="1"/>
  <c r="AV20" i="15" s="1"/>
  <c r="BH5" i="15"/>
  <c r="BB47" i="15"/>
  <c r="BD47" i="15" a="1"/>
  <c r="BD47" i="15" s="1"/>
  <c r="AU20" i="15" l="1"/>
  <c r="AW20" i="15" a="1"/>
  <c r="AW20" i="15" s="1"/>
  <c r="BC19" i="15" a="1"/>
  <c r="BC19" i="15" s="1"/>
  <c r="BB19" i="15" l="1"/>
  <c r="BH4" i="15"/>
  <c r="BD19" i="15" a="1"/>
  <c r="BD19" i="15" s="1"/>
  <c r="BH3" i="15"/>
  <c r="BB20" i="15"/>
  <c r="BD20" i="15" a="1"/>
  <c r="BD20" i="15" s="1"/>
  <c r="I2" i="5" l="1" a="1"/>
  <c r="I2" i="5" s="1"/>
  <c r="J2" i="5" s="1" a="1"/>
  <c r="J2" i="5" s="1"/>
  <c r="BC20" i="23" a="1"/>
  <c r="BC20" i="23" s="1"/>
  <c r="BH3" i="23" s="1"/>
  <c r="BD20" i="23" l="1" a="1"/>
  <c r="BD20" i="23" s="1"/>
  <c r="BB20" i="23" a="1"/>
  <c r="BB20" i="23" s="1"/>
  <c r="T30" i="21" a="1"/>
  <c r="T30" i="21" s="1"/>
  <c r="U30" i="21" l="1" a="1"/>
  <c r="U30" i="21" s="1"/>
  <c r="S30" i="21" a="1"/>
  <c r="S30" i="21" s="1"/>
  <c r="T53" i="21" a="1"/>
  <c r="T53" i="21" s="1"/>
  <c r="U53" i="21" l="1" a="1"/>
  <c r="U53" i="21" s="1"/>
  <c r="S53" i="21" a="1"/>
  <c r="S53" i="21" s="1"/>
  <c r="AA54" i="21" a="1"/>
  <c r="AA54" i="21" s="1"/>
  <c r="BH14" i="21" s="1"/>
  <c r="AB54" i="21" l="1" a="1"/>
  <c r="AB54" i="21" s="1"/>
  <c r="Z54" i="21" a="1"/>
  <c r="Z54" i="21" s="1"/>
  <c r="AH43" i="21" a="1"/>
  <c r="AH43" i="21" s="1"/>
  <c r="AG43" i="21" l="1" a="1"/>
  <c r="AG43" i="21" s="1"/>
  <c r="AI43" i="21" a="1"/>
  <c r="AI43" i="21" s="1"/>
  <c r="AO44" i="21" a="1"/>
  <c r="AO44" i="21" s="1"/>
  <c r="BH8" i="21" s="1"/>
  <c r="AP44" i="21" l="1" a="1"/>
  <c r="AP44" i="21" s="1"/>
  <c r="AN44" i="21" a="1"/>
  <c r="AN44" i="21" s="1"/>
  <c r="BC48" i="21" a="1"/>
  <c r="BC48" i="21" s="1"/>
  <c r="BB48" i="21" l="1" a="1"/>
  <c r="BB48" i="21" s="1"/>
  <c r="BD48" i="21" a="1"/>
  <c r="BD48" i="21" s="1"/>
  <c r="AV20" i="21" a="1"/>
  <c r="AV20" i="21" s="1"/>
  <c r="AU20" i="21" l="1" a="1"/>
  <c r="AU20" i="21" s="1"/>
  <c r="AW20" i="21" a="1"/>
  <c r="AW20" i="21" s="1"/>
  <c r="T30" i="23" l="1" a="1"/>
  <c r="T30" i="23" s="1"/>
  <c r="S30" i="23" l="1" a="1"/>
  <c r="S30" i="23" s="1"/>
  <c r="U30" i="23" a="1"/>
  <c r="U30" i="23" s="1"/>
  <c r="T53" i="23" a="1"/>
  <c r="T53" i="23" s="1"/>
  <c r="BH15" i="23" l="1"/>
  <c r="S53" i="23" a="1"/>
  <c r="S53" i="23" s="1"/>
  <c r="U53" i="23" a="1"/>
  <c r="U53" i="23" s="1"/>
  <c r="AH52" i="23" a="1"/>
  <c r="AH52" i="23" s="1"/>
  <c r="BH10" i="23" s="1"/>
  <c r="AI52" i="23" l="1" a="1"/>
  <c r="AI52" i="23" s="1"/>
  <c r="AG52" i="23" a="1"/>
  <c r="AG52" i="23" s="1"/>
  <c r="AV20" i="23" a="1"/>
  <c r="AV20" i="23" s="1"/>
  <c r="AW20" i="23" l="1" a="1"/>
  <c r="AW20" i="23" s="1"/>
  <c r="AU20" i="23" a="1"/>
  <c r="AU20" i="23" s="1"/>
  <c r="BC19" i="23" a="1"/>
  <c r="BC19" i="23" s="1"/>
  <c r="BD19" i="23" l="1" a="1"/>
  <c r="BD19" i="23" s="1"/>
  <c r="BH4" i="23"/>
  <c r="Q2" i="5" s="1" a="1"/>
  <c r="Q2" i="5" s="1"/>
  <c r="R2" i="5" s="1" a="1"/>
  <c r="R2" i="5" s="1"/>
  <c r="BB19" i="23" a="1"/>
  <c r="BB19" i="23" s="1"/>
  <c r="BC19" i="21" a="1"/>
  <c r="BC19" i="21" s="1"/>
  <c r="BH3" i="21" l="1"/>
  <c r="M2" i="5" s="1" a="1"/>
  <c r="M2" i="5" s="1"/>
  <c r="N2" i="5" s="1" a="1"/>
  <c r="N2" i="5" s="1"/>
  <c r="T2" i="5" s="1" a="1"/>
  <c r="T2" i="5" s="1"/>
  <c r="W2" i="5" s="1" a="1"/>
  <c r="W2" i="5" s="1"/>
  <c r="V2" i="5" s="1" a="1"/>
  <c r="V2" i="5" s="1"/>
  <c r="BD19" i="21" a="1"/>
  <c r="BD19" i="21" s="1"/>
  <c r="BB19" i="21" a="1"/>
  <c r="BB19" i="21" s="1"/>
  <c r="X2" i="5" l="1" a="1"/>
  <c r="X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2">
    <bk>
      <extLst>
        <ext uri="{3e2802c4-a4d2-4d8b-9148-e3be6c30e623}">
          <xlrd:rvb i="0"/>
        </ext>
      </extLst>
    </bk>
    <bk>
      <extLst>
        <ext uri="{3e2802c4-a4d2-4d8b-9148-e3be6c30e623}">
          <xlrd:rvb i="66"/>
        </ext>
      </extLst>
    </bk>
    <bk>
      <extLst>
        <ext uri="{3e2802c4-a4d2-4d8b-9148-e3be6c30e623}">
          <xlrd:rvb i="116"/>
        </ext>
      </extLst>
    </bk>
    <bk>
      <extLst>
        <ext uri="{3e2802c4-a4d2-4d8b-9148-e3be6c30e623}">
          <xlrd:rvb i="187"/>
        </ext>
      </extLst>
    </bk>
    <bk>
      <extLst>
        <ext uri="{3e2802c4-a4d2-4d8b-9148-e3be6c30e623}">
          <xlrd:rvb i="279"/>
        </ext>
      </extLst>
    </bk>
    <bk>
      <extLst>
        <ext uri="{3e2802c4-a4d2-4d8b-9148-e3be6c30e623}">
          <xlrd:rvb i="345"/>
        </ext>
      </extLst>
    </bk>
    <bk>
      <extLst>
        <ext uri="{3e2802c4-a4d2-4d8b-9148-e3be6c30e623}">
          <xlrd:rvb i="449"/>
        </ext>
      </extLst>
    </bk>
    <bk>
      <extLst>
        <ext uri="{3e2802c4-a4d2-4d8b-9148-e3be6c30e623}">
          <xlrd:rvb i="509"/>
        </ext>
      </extLst>
    </bk>
    <bk>
      <extLst>
        <ext uri="{3e2802c4-a4d2-4d8b-9148-e3be6c30e623}">
          <xlrd:rvb i="557"/>
        </ext>
      </extLst>
    </bk>
    <bk>
      <extLst>
        <ext uri="{3e2802c4-a4d2-4d8b-9148-e3be6c30e623}">
          <xlrd:rvb i="614"/>
        </ext>
      </extLst>
    </bk>
    <bk>
      <extLst>
        <ext uri="{3e2802c4-a4d2-4d8b-9148-e3be6c30e623}">
          <xlrd:rvb i="671"/>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futureMetadata>
  <cellMetadata count="1">
    <bk>
      <rc t="1" v="0"/>
    </bk>
  </cellMetadata>
  <valueMetadata count="2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valueMetadata>
</metadata>
</file>

<file path=xl/sharedStrings.xml><?xml version="1.0" encoding="utf-8"?>
<sst xmlns="http://schemas.openxmlformats.org/spreadsheetml/2006/main" count="13161" uniqueCount="418">
  <si>
    <t>#</t>
  </si>
  <si>
    <t>Name</t>
  </si>
  <si>
    <t>Nickname</t>
  </si>
  <si>
    <t>Country</t>
  </si>
  <si>
    <t>TT Order</t>
  </si>
  <si>
    <t>BM Order</t>
  </si>
  <si>
    <t>MR Order</t>
  </si>
  <si>
    <t>GP Order</t>
  </si>
  <si>
    <t>TT</t>
  </si>
  <si>
    <t>BM</t>
  </si>
  <si>
    <t>MR</t>
  </si>
  <si>
    <t>GP</t>
  </si>
  <si>
    <t>Total</t>
  </si>
  <si>
    <t>Alessandro Sona</t>
  </si>
  <si>
    <t>Ale</t>
  </si>
  <si>
    <t>Yes</t>
  </si>
  <si>
    <t>Playing</t>
  </si>
  <si>
    <t>Ashley Taylor</t>
  </si>
  <si>
    <t>Ashley</t>
  </si>
  <si>
    <t>Qualifying</t>
  </si>
  <si>
    <t>Baptiste Flavien</t>
  </si>
  <si>
    <t>Bluh</t>
  </si>
  <si>
    <t>No</t>
  </si>
  <si>
    <t>Groups</t>
  </si>
  <si>
    <t>Charly Greffier</t>
  </si>
  <si>
    <t>Chachamaxx</t>
  </si>
  <si>
    <t>Chris Clark</t>
  </si>
  <si>
    <t>Zarkov</t>
  </si>
  <si>
    <t>Daisuke Kashima</t>
  </si>
  <si>
    <t>Kasmo</t>
  </si>
  <si>
    <t>Daniel Guemy</t>
  </si>
  <si>
    <t>FF</t>
  </si>
  <si>
    <t>Danny Fonseca</t>
  </si>
  <si>
    <t>Danny</t>
  </si>
  <si>
    <t>David Moll</t>
  </si>
  <si>
    <t>Moll</t>
  </si>
  <si>
    <t>Djibril Aatif</t>
  </si>
  <si>
    <t>tif</t>
  </si>
  <si>
    <t>Drew Blumfield</t>
  </si>
  <si>
    <t>Drew</t>
  </si>
  <si>
    <t>Edwin Peeters</t>
  </si>
  <si>
    <t>Edwin</t>
  </si>
  <si>
    <t>Etienne Dutet</t>
  </si>
  <si>
    <t>Zip</t>
  </si>
  <si>
    <t>Etienne Girondel</t>
  </si>
  <si>
    <t>Lenain</t>
  </si>
  <si>
    <t>Florian Chollet</t>
  </si>
  <si>
    <t>Flo</t>
  </si>
  <si>
    <t>Franck Adam</t>
  </si>
  <si>
    <t>Champix</t>
  </si>
  <si>
    <t>Franck Mazieres</t>
  </si>
  <si>
    <t>Franck</t>
  </si>
  <si>
    <t>Galathee Lesquerbault</t>
  </si>
  <si>
    <t>L'escargot</t>
  </si>
  <si>
    <t>Geoffrey Label</t>
  </si>
  <si>
    <t>Geo</t>
  </si>
  <si>
    <t>Gerard Guilbaud</t>
  </si>
  <si>
    <t>BigMountain</t>
  </si>
  <si>
    <t>Gerard Roodhorst</t>
  </si>
  <si>
    <t>Rub</t>
  </si>
  <si>
    <t>Guilhem Zerathe</t>
  </si>
  <si>
    <t>Getarez</t>
  </si>
  <si>
    <t>Guillaume Leviach</t>
  </si>
  <si>
    <t>Antistar</t>
  </si>
  <si>
    <t>Guillaume Salinaro</t>
  </si>
  <si>
    <t>Cap</t>
  </si>
  <si>
    <t>Hiroki Matsumoto</t>
  </si>
  <si>
    <t>Onwa</t>
  </si>
  <si>
    <t>Jeremy Edline</t>
  </si>
  <si>
    <t>Rejemy</t>
  </si>
  <si>
    <t>Jerome Coiffard</t>
  </si>
  <si>
    <t>JDR</t>
  </si>
  <si>
    <t>Jonathan Toole-Charignon</t>
  </si>
  <si>
    <t>Lafungo</t>
  </si>
  <si>
    <t>Julianne Autissier</t>
  </si>
  <si>
    <t>Oni</t>
  </si>
  <si>
    <t>Julien Fadensois</t>
  </si>
  <si>
    <t>Ju2a</t>
  </si>
  <si>
    <t>Julien Thomas</t>
  </si>
  <si>
    <t>Julien</t>
  </si>
  <si>
    <t>Karel van Duijvenboden</t>
  </si>
  <si>
    <t>KVD</t>
  </si>
  <si>
    <t>Leyla Hasso</t>
  </si>
  <si>
    <t>Leyla</t>
  </si>
  <si>
    <t>Lio J</t>
  </si>
  <si>
    <t>Lio</t>
  </si>
  <si>
    <t>Loser 1</t>
  </si>
  <si>
    <t>Loser 2</t>
  </si>
  <si>
    <t>Loser 3</t>
  </si>
  <si>
    <t>Loser 4</t>
  </si>
  <si>
    <t>Mackie Garou</t>
  </si>
  <si>
    <t>Mackie</t>
  </si>
  <si>
    <t>Maelle Holtzer</t>
  </si>
  <si>
    <t>Myu</t>
  </si>
  <si>
    <t>Marine Camus</t>
  </si>
  <si>
    <t>Miku</t>
  </si>
  <si>
    <t>Marius Hukkelas</t>
  </si>
  <si>
    <t>Sargoth</t>
  </si>
  <si>
    <t>Mark Duivesteijn</t>
  </si>
  <si>
    <t>Mark</t>
  </si>
  <si>
    <t>Martin Pfeiffer</t>
  </si>
  <si>
    <t>Banana</t>
  </si>
  <si>
    <t>Michael Sumner</t>
  </si>
  <si>
    <t>Sumz</t>
  </si>
  <si>
    <t>Mike Hulscher</t>
  </si>
  <si>
    <t>Mike</t>
  </si>
  <si>
    <t>Patrick Wessels</t>
  </si>
  <si>
    <t>Patrick</t>
  </si>
  <si>
    <t>Pierre Legendre</t>
  </si>
  <si>
    <t>Pie999</t>
  </si>
  <si>
    <t>Rune Roodhorst</t>
  </si>
  <si>
    <t>Rune</t>
  </si>
  <si>
    <t>Sam Wesolek</t>
  </si>
  <si>
    <t>Kit</t>
  </si>
  <si>
    <t>Sami Cetin</t>
  </si>
  <si>
    <t>Sami</t>
  </si>
  <si>
    <t>Samuel Gomez</t>
  </si>
  <si>
    <t>Narnet</t>
  </si>
  <si>
    <t>Sjors Rijsdam</t>
  </si>
  <si>
    <t>Sjors</t>
  </si>
  <si>
    <t>Sophie Jarmouni</t>
  </si>
  <si>
    <t>Jarmou</t>
  </si>
  <si>
    <t>Takashi Ogasawara</t>
  </si>
  <si>
    <t>Takashi</t>
  </si>
  <si>
    <t>Thibault Terrasson</t>
  </si>
  <si>
    <t>Thibault</t>
  </si>
  <si>
    <t>Thomas Graf</t>
  </si>
  <si>
    <t>Ours</t>
  </si>
  <si>
    <t>Tom Pele</t>
  </si>
  <si>
    <t>SDW</t>
  </si>
  <si>
    <t>Tristan Coge</t>
  </si>
  <si>
    <t>Titou</t>
  </si>
  <si>
    <t>Yoan Hernalesteen</t>
  </si>
  <si>
    <t>Neetsel</t>
  </si>
  <si>
    <t>SMK Overall Stats</t>
  </si>
  <si>
    <t>Track Name</t>
  </si>
  <si>
    <t>Track Abbr.</t>
  </si>
  <si>
    <t>Cups</t>
  </si>
  <si>
    <t>Random</t>
  </si>
  <si>
    <t>CDM Overall Stats</t>
  </si>
  <si>
    <t>Bonus points</t>
  </si>
  <si>
    <t>TT Finals</t>
  </si>
  <si>
    <t>Tracks</t>
  </si>
  <si>
    <t>MR Q - Match 1 - 20</t>
  </si>
  <si>
    <t>MR Finals</t>
  </si>
  <si>
    <t>Barrages 1</t>
  </si>
  <si>
    <t>Barrages 2</t>
  </si>
  <si>
    <t>Upper Ro 16</t>
  </si>
  <si>
    <t>Lower Round 1</t>
  </si>
  <si>
    <t>Upper Quarters</t>
  </si>
  <si>
    <t>Lower Round 2</t>
  </si>
  <si>
    <t>Lower 1/8s</t>
  </si>
  <si>
    <t>Uppers Semi-Final</t>
  </si>
  <si>
    <t>Lower Quarters</t>
  </si>
  <si>
    <t>Lower Semi</t>
  </si>
  <si>
    <t>Upper Final</t>
  </si>
  <si>
    <t>Lower Final</t>
  </si>
  <si>
    <t>Grand Final 1</t>
  </si>
  <si>
    <t>Grand Final 2</t>
  </si>
  <si>
    <t>GP Qualifications</t>
  </si>
  <si>
    <t>GP Finals</t>
  </si>
  <si>
    <t>BM Finals</t>
  </si>
  <si>
    <t>Arena 1</t>
  </si>
  <si>
    <t>Mario Circuit 1</t>
  </si>
  <si>
    <t>MC1</t>
  </si>
  <si>
    <t>Mushroom</t>
  </si>
  <si>
    <t>Rank</t>
  </si>
  <si>
    <t>Round 1 - 20</t>
  </si>
  <si>
    <t>Match 1 - 5</t>
  </si>
  <si>
    <t>Match 1 - 20</t>
  </si>
  <si>
    <t>Arena 2</t>
  </si>
  <si>
    <t>Donut Plains 1</t>
  </si>
  <si>
    <t>DP1</t>
  </si>
  <si>
    <t>Flower</t>
  </si>
  <si>
    <t>Arena 3</t>
  </si>
  <si>
    <t>Ghost Valley 1</t>
  </si>
  <si>
    <t>GV1</t>
  </si>
  <si>
    <t>Star</t>
  </si>
  <si>
    <t>Arena 4</t>
  </si>
  <si>
    <t>Bowser Castle 1</t>
  </si>
  <si>
    <t>BC1</t>
  </si>
  <si>
    <t>Special</t>
  </si>
  <si>
    <t>Mario Circuit 2</t>
  </si>
  <si>
    <t>MC2</t>
  </si>
  <si>
    <t>Choco Island 1</t>
  </si>
  <si>
    <t>CI1</t>
  </si>
  <si>
    <t>Ghost Valley 2</t>
  </si>
  <si>
    <t>GV2</t>
  </si>
  <si>
    <t>Donut Plains 2</t>
  </si>
  <si>
    <t>DP2</t>
  </si>
  <si>
    <t>Bowser Castle 2</t>
  </si>
  <si>
    <t>BC2</t>
  </si>
  <si>
    <t>Mario Circuit 3</t>
  </si>
  <si>
    <t>MC3</t>
  </si>
  <si>
    <t>First to</t>
  </si>
  <si>
    <t>Koopa Beach 1</t>
  </si>
  <si>
    <t>KB1</t>
  </si>
  <si>
    <t>Choco Island 2</t>
  </si>
  <si>
    <t>CI2</t>
  </si>
  <si>
    <t>Vanilla Lake 1</t>
  </si>
  <si>
    <t>VL1</t>
  </si>
  <si>
    <t>Bowser Castle 3</t>
  </si>
  <si>
    <t>BC3</t>
  </si>
  <si>
    <t>Mario Circuit 4</t>
  </si>
  <si>
    <t>MC4</t>
  </si>
  <si>
    <t>Donut Plains 3</t>
  </si>
  <si>
    <t>DP3</t>
  </si>
  <si>
    <t>Koopa Beach 2</t>
  </si>
  <si>
    <t>KB2</t>
  </si>
  <si>
    <t>Ghost Valley 3</t>
  </si>
  <si>
    <t>GV3</t>
  </si>
  <si>
    <t>Vanilla Lake 2</t>
  </si>
  <si>
    <t>VL2</t>
  </si>
  <si>
    <t>Rainbow Road</t>
  </si>
  <si>
    <t>RR</t>
  </si>
  <si>
    <t>Round 21 - 40</t>
  </si>
  <si>
    <t>Match 6 - 10</t>
  </si>
  <si>
    <t>Match 11 - 15</t>
  </si>
  <si>
    <t>Match 16 - 20</t>
  </si>
  <si>
    <t>Seeding</t>
  </si>
  <si>
    <t>Score</t>
  </si>
  <si>
    <t>Time</t>
  </si>
  <si>
    <t>Nb #1</t>
  </si>
  <si>
    <t>Total Time</t>
  </si>
  <si>
    <t>Points</t>
  </si>
  <si>
    <t>Round 1</t>
  </si>
  <si>
    <t>Round 1 - Donut Plains 1</t>
  </si>
  <si>
    <t>Lives</t>
  </si>
  <si>
    <t>Round 2</t>
  </si>
  <si>
    <t>Round 2 - Mario Circuit 2</t>
  </si>
  <si>
    <t>Round 3</t>
  </si>
  <si>
    <t>Round 3 - Donut Plains 2</t>
  </si>
  <si>
    <t>Round 4</t>
  </si>
  <si>
    <t>Round 4 - Vanilla Lake 1</t>
  </si>
  <si>
    <t>Round 5</t>
  </si>
  <si>
    <t>Round 5 - Rainbow Road</t>
  </si>
  <si>
    <t>Round 6</t>
  </si>
  <si>
    <t>Round 6 - Koopa Beach 2</t>
  </si>
  <si>
    <t>Round 7</t>
  </si>
  <si>
    <t>Round 7 - Choco Island 2</t>
  </si>
  <si>
    <t>Round 8</t>
  </si>
  <si>
    <t>Round 8 - Vanilla Lake 2</t>
  </si>
  <si>
    <t>Round 9</t>
  </si>
  <si>
    <t>Round 9 - Koopa Beach 1</t>
  </si>
  <si>
    <t>Round 10</t>
  </si>
  <si>
    <t>Round 10 - Mario Circuit 3</t>
  </si>
  <si>
    <t>Round 11</t>
  </si>
  <si>
    <t>Round 11 - Ghost Valley 2</t>
  </si>
  <si>
    <t>Round 12</t>
  </si>
  <si>
    <t>Round 12 - Donut Plains 3</t>
  </si>
  <si>
    <t>Round 13</t>
  </si>
  <si>
    <t>Round 13 - Bowser Castle 1</t>
  </si>
  <si>
    <t>Round 14</t>
  </si>
  <si>
    <t>Round 14 - Mario Circuit 4</t>
  </si>
  <si>
    <t>Round 15</t>
  </si>
  <si>
    <t>Round 15 - Bowser Castle 3</t>
  </si>
  <si>
    <t>Round 16</t>
  </si>
  <si>
    <t>Round 16 - Ghost Valley 1</t>
  </si>
  <si>
    <t>Round 17</t>
  </si>
  <si>
    <t>Round 17 - Choco Island 1</t>
  </si>
  <si>
    <t>Round 18</t>
  </si>
  <si>
    <t>Round 18 - Bowser Castle 2</t>
  </si>
  <si>
    <t>Round 19</t>
  </si>
  <si>
    <t>Round 19 - Ghost Valley 3</t>
  </si>
  <si>
    <t>Round 20</t>
  </si>
  <si>
    <t>Round 20 - Mario Circuit 1</t>
  </si>
  <si>
    <t>Round 21</t>
  </si>
  <si>
    <t>Round 21 - Mario Circuit 2</t>
  </si>
  <si>
    <t>Round 22</t>
  </si>
  <si>
    <t>Round 22 - Donut Plains 1</t>
  </si>
  <si>
    <t>Round 23</t>
  </si>
  <si>
    <t>Round 23 - Vanilla Lake 1</t>
  </si>
  <si>
    <t>Round 24</t>
  </si>
  <si>
    <t>Round 24 - Bowser Castle 1</t>
  </si>
  <si>
    <t>Round 25</t>
  </si>
  <si>
    <t>Round 25 - Choco Island 2</t>
  </si>
  <si>
    <t>Round 26</t>
  </si>
  <si>
    <t>Round 26 - Choco Island 1</t>
  </si>
  <si>
    <t>Round 27</t>
  </si>
  <si>
    <t>Round 27 - Vanilla Lake 2</t>
  </si>
  <si>
    <t>Round 28</t>
  </si>
  <si>
    <t>Round 28 - Koopa Beach 2</t>
  </si>
  <si>
    <t>Round 29</t>
  </si>
  <si>
    <t>Round 29 - Donut Plains 3</t>
  </si>
  <si>
    <t>Round 30</t>
  </si>
  <si>
    <t>Round 30 - Mario Circuit 1</t>
  </si>
  <si>
    <t>Round 31</t>
  </si>
  <si>
    <t>Round 31 - Mario Circuit 4</t>
  </si>
  <si>
    <t>Round 32</t>
  </si>
  <si>
    <t>Round 32 - Ghost Valley 3</t>
  </si>
  <si>
    <t>Round 33</t>
  </si>
  <si>
    <t>Round 33 - Donut Plains 2</t>
  </si>
  <si>
    <t>Round 34</t>
  </si>
  <si>
    <t>Round 34 - Bowser Castle 2</t>
  </si>
  <si>
    <t>Round 35</t>
  </si>
  <si>
    <t>Round 35 - Mario Circuit 3</t>
  </si>
  <si>
    <t>Round 36</t>
  </si>
  <si>
    <t>Round 36 - Koopa Beach 1</t>
  </si>
  <si>
    <t>Round 37</t>
  </si>
  <si>
    <t>Round 37 - Ghost Valley 1</t>
  </si>
  <si>
    <t>Round 38</t>
  </si>
  <si>
    <t>Round 38 - Bowser Castle 3</t>
  </si>
  <si>
    <t>Round 39</t>
  </si>
  <si>
    <t>Round 39 - Ghost Valley 2</t>
  </si>
  <si>
    <t>Round 40</t>
  </si>
  <si>
    <t>Round 40 - Rainbow Road</t>
  </si>
  <si>
    <t>Final</t>
  </si>
  <si>
    <t>Left</t>
  </si>
  <si>
    <t>Gain</t>
  </si>
  <si>
    <t>Lost</t>
  </si>
  <si>
    <t>Bonus</t>
  </si>
  <si>
    <t>Round 1 - Mario Circuit 1</t>
  </si>
  <si>
    <t>Round 2 - Donut Plains 1</t>
  </si>
  <si>
    <t>Round 3 - Ghost Valley 1</t>
  </si>
  <si>
    <t>Round 4 - Bowser Castle 1</t>
  </si>
  <si>
    <t>Round 5 - Mario Circuit 2</t>
  </si>
  <si>
    <t>Round 6 - Choco Island 1</t>
  </si>
  <si>
    <t>Round 7 - Ghost Valley 2</t>
  </si>
  <si>
    <t>Round 8 - Donut Plains 2</t>
  </si>
  <si>
    <t>Round 9 - Bowser Castle 2</t>
  </si>
  <si>
    <t>Round 11 - Koopa Beach 1</t>
  </si>
  <si>
    <t>Round 12 - Choco Island 2</t>
  </si>
  <si>
    <t>Round 13 - Vanilla Lake 1</t>
  </si>
  <si>
    <t>Round 14 - Bowser Castle 3</t>
  </si>
  <si>
    <t>Round 15 - Mario Circuit 4</t>
  </si>
  <si>
    <t>Round 16 - Donut Plains 3</t>
  </si>
  <si>
    <t>Round 17 - Koopa Beach 2</t>
  </si>
  <si>
    <t>Round 18 - Ghost Valley 3</t>
  </si>
  <si>
    <t>Round 19 - Vanilla Lake 2</t>
  </si>
  <si>
    <t>Round 20 - Rainbow Road</t>
  </si>
  <si>
    <t>Players</t>
  </si>
  <si>
    <t>Group</t>
  </si>
  <si>
    <t>MP</t>
  </si>
  <si>
    <t>W</t>
  </si>
  <si>
    <t>T</t>
  </si>
  <si>
    <t>L</t>
  </si>
  <si>
    <t>WR</t>
  </si>
  <si>
    <t>LR</t>
  </si>
  <si>
    <t>Bye</t>
  </si>
  <si>
    <t>Match</t>
  </si>
  <si>
    <t>TV #</t>
  </si>
  <si>
    <t>Player</t>
  </si>
  <si>
    <t>-</t>
  </si>
  <si>
    <t>Break</t>
  </si>
  <si>
    <t>X</t>
  </si>
  <si>
    <t> </t>
  </si>
  <si>
    <t>Qualified</t>
  </si>
  <si>
    <t>Barrage 1</t>
  </si>
  <si>
    <t>Barrage 2</t>
  </si>
  <si>
    <t>Top 16</t>
  </si>
  <si>
    <t>Upper Bracket Quarters</t>
  </si>
  <si>
    <t>Upper Bracket Semi</t>
  </si>
  <si>
    <t>Upper Bracket Final</t>
  </si>
  <si>
    <t>Arena 4 - Arena 1 - Arena 2 - Arena 3 - Arena 4</t>
  </si>
  <si>
    <t>Arena 4 - Arena 1 - Arena 2 - Arena 3 - Arena 4 - Arena 1 - Arena 2</t>
  </si>
  <si>
    <t>Arena 2 - Arena 3 - Arena 4 - Arena 1 - Arena 2 - Arena 3 - Arena 4 - Arena 1 - Arena 2</t>
  </si>
  <si>
    <t>Arena 1 - Arena 2 - Arena 3 - Arena 4 - Arena 1 - Arena 2 - Arena 3 - Arena 4 - Arena 1</t>
  </si>
  <si>
    <t>Arena 3 - Arena 4 - Arena 1 - Arena 2 - Arena 3 - Arena 4 - Arena 1 - Arena 2 - Arena 3 - Arena 4 - Arena 1 - Arena 2 - Arena 3</t>
  </si>
  <si>
    <t>Arena 2 - Arena 3 - Arena 4 - Arena 1 - Arena 2 - Arena 3 - Arena 4 - Arena 1 - Arena 2 - Arena 3 - Arena 4 - Arena 1 - Arena 2</t>
  </si>
  <si>
    <t>Arena 1 - Arena 2 - Arena 3 - Arena 4 - Arena 1 - Arena 2 - Arena 3 - Arena 4 - Arena 1 - Arena 2 - Arena 3 - Arena 4 - Arena 1</t>
  </si>
  <si>
    <t>B1,1</t>
  </si>
  <si>
    <t>5-6</t>
  </si>
  <si>
    <t>7-8</t>
  </si>
  <si>
    <t>9-12</t>
  </si>
  <si>
    <t>B1,2</t>
  </si>
  <si>
    <t>13-16</t>
  </si>
  <si>
    <t>17-20</t>
  </si>
  <si>
    <t>B1,3</t>
  </si>
  <si>
    <t>21-24</t>
  </si>
  <si>
    <t>B1,4</t>
  </si>
  <si>
    <t>x</t>
  </si>
  <si>
    <t>Lower Bracket Round 1</t>
  </si>
  <si>
    <t>Lower Bracket Round 2</t>
  </si>
  <si>
    <t>Lower Bracket 1/8s</t>
  </si>
  <si>
    <t>Lower Bracket Quarters</t>
  </si>
  <si>
    <t>Lower Bracket Semi</t>
  </si>
  <si>
    <t>Lower Bracket Final</t>
  </si>
  <si>
    <t>Arena 4 - Arena 1 - Arena 2 - Arena 3 - Arena 4 - Arena 1 - Arena 2 - Arena 3 - Arena 4 - Arena 1 - Arena 2 - Arena 3 - Arena 4</t>
  </si>
  <si>
    <t>Break 2</t>
  </si>
  <si>
    <t>MC4 - KB1 - GV3 - CI1 - MC1</t>
  </si>
  <si>
    <t>VL2 - GV2 - GV1 - BC1 - KB1 - DP1 - GV3</t>
  </si>
  <si>
    <t>GV1 - BC3 - CI2 - CI1 - GV2 - VL2 - MC1 - KB2 - DP3</t>
  </si>
  <si>
    <t>GV1 - DP2 - GV3 - MC1 - CI1 - VL2 - DP1 - MC4 - DP3</t>
  </si>
  <si>
    <t>BC1 - RR - BC3 - DP2 - CI1 - CI2 - VL1 - DP3 - DP1 - MC4 - MC3 - GV2 - GV1</t>
  </si>
  <si>
    <t>DP2 - GV3 - BC3 - MC2 - CI1 - BC1 - VL1 - VL2 - BC2 - MC1 - DP3 - KB1 - CI2 - GV2 - MC3 - MC4 - DP1</t>
  </si>
  <si>
    <t>GV2 - MC2 - MC4 - BC1 - DP3 - CI1 - VL2 - KB1 - DP2 - MC3 - MC1 - KB2 - GV1 - GV3 - BC2 - CI2 - RR</t>
  </si>
  <si>
    <t>MC1 - BC2 - GV2 - MC3 - VL1 - DP2 - MC4 - BC1 - VL2 - GV1 - MC2 - CI2 - GV3 - DP3 - CI1 - KB2 - BC3</t>
  </si>
  <si>
    <t>B2,1</t>
  </si>
  <si>
    <t>B2,2</t>
  </si>
  <si>
    <t>B2,3</t>
  </si>
  <si>
    <t>B2,4</t>
  </si>
  <si>
    <t>GV3 - MC4 - MC3 - KB2 - KB1 - GV2 - DP3 - CI1 - BC2</t>
  </si>
  <si>
    <t>DP3 - RR - MC4 - GV3 - BC2 - GV1 - GV2 - MC2 - CI1 - MC1 - DP2 - KB2 - BC3</t>
  </si>
  <si>
    <t>MC3 - RR - BC3 - MC2 - KB2 - DP1 - DP3 - GV2 - VL2 - CI2 - DP2 - VL1 - GV3 - GV1 - MC4 - CI1 - BC1</t>
  </si>
  <si>
    <t>BC2 - RR - KB1 - MC2 - MC4 - DP1 - GV3 - VL2 - CI1 - CI2 - KB2 - GV1 - MC1 - DP2 - BC3 - GV2 - VL1</t>
  </si>
  <si>
    <t>Cup</t>
  </si>
  <si>
    <t/>
  </si>
  <si>
    <t>Flower - Star - Special</t>
  </si>
  <si>
    <t>Special - Star - Mushroom</t>
  </si>
  <si>
    <t>Mushroom - Special - Flower</t>
  </si>
  <si>
    <t>Star - Mushroom - Special - Flower - Mushroom</t>
  </si>
  <si>
    <t>Flower - Star - Mushroom - Special - Star</t>
  </si>
  <si>
    <t>Star - Mushroom - Special - Flower - Special</t>
  </si>
  <si>
    <t>Flower - Special - Mushroom</t>
  </si>
  <si>
    <t>Special - Star - Flower - Mushroom - Special</t>
  </si>
  <si>
    <t>TT Q</t>
  </si>
  <si>
    <t>TT Bonus</t>
  </si>
  <si>
    <t>TT Total</t>
  </si>
  <si>
    <t>BM Q</t>
  </si>
  <si>
    <t>BM Bonus</t>
  </si>
  <si>
    <t>BM Total</t>
  </si>
  <si>
    <t>MR Q</t>
  </si>
  <si>
    <t>MR Bonus</t>
  </si>
  <si>
    <t>MR Total</t>
  </si>
  <si>
    <t>GP Q</t>
  </si>
  <si>
    <t>GP Bonus</t>
  </si>
  <si>
    <t>GP Total</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</si>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</sst>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ss.00"/>
    <numFmt numFmtId="177" formatCode="mm:ss.00"/>
  </numFmts>
  <fonts count="10">
    <font>
      <sz val="11"/>
      <color theme="1"/>
      <name val="Calibri"/>
      <family val="2"/>
      <scheme val="minor"/>
    </font>
    <font>
      <sz val="8"/>
      <name val="Calibri"/>
      <family val="2"/>
      <scheme val="minor"/>
    </font>
    <font>
      <b/>
      <sz val="10"/>
      <name val="Tahoma"/>
      <family val="2"/>
    </font>
    <font>
      <b/>
      <sz val="10"/>
      <color rgb="FF161E11"/>
      <name val="Tahoma"/>
      <family val="2"/>
    </font>
    <font>
      <b/>
      <sz val="10"/>
      <color theme="1"/>
      <name val="Tahoma"/>
      <family val="2"/>
    </font>
    <font>
      <sz val="10"/>
      <color theme="1"/>
      <name val="Tahoma"/>
      <family val="2"/>
    </font>
    <font>
      <b/>
      <sz val="10"/>
      <color theme="0" tint="-0.249977111117893"/>
      <name val="Tahoma"/>
      <family val="2"/>
    </font>
    <font>
      <b/>
      <sz val="7"/>
      <color theme="1"/>
      <name val="Tahoma"/>
      <family val="2"/>
    </font>
    <font>
      <b/>
      <sz val="8"/>
      <color theme="1"/>
      <name val="Tahoma"/>
      <family val="2"/>
    </font>
    <font>
      <b/>
      <sz val="10"/>
      <color theme="0"/>
      <name val="Tahoma"/>
      <family val="2"/>
    </font>
  </fonts>
  <fills count="14">
    <fill>
      <patternFill patternType="none"/>
    </fill>
    <fill>
      <patternFill patternType="gray125"/>
    </fill>
    <fill>
      <patternFill patternType="solid">
        <fgColor theme="1"/>
        <bgColor indexed="64"/>
      </patternFill>
    </fill>
    <fill>
      <patternFill patternType="solid">
        <fgColor theme="0" tint="-0.249977111117893"/>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rgb="FF7030A0"/>
        <bgColor indexed="64"/>
      </patternFill>
    </fill>
    <fill>
      <patternFill patternType="solid">
        <fgColor rgb="FFAFC6DB"/>
        <bgColor indexed="64"/>
      </patternFill>
    </fill>
    <fill>
      <patternFill patternType="solid">
        <fgColor theme="4" tint="0.79998168889431442"/>
        <bgColor indexed="64"/>
      </patternFill>
    </fill>
    <fill>
      <gradientFill degree="90">
        <stop position="0">
          <color rgb="FFE3EBF2"/>
        </stop>
        <stop position="1">
          <color rgb="FFABC3D9"/>
        </stop>
      </gradientFill>
    </fill>
    <fill>
      <patternFill patternType="solid">
        <fgColor rgb="FFABC3D9"/>
        <bgColor indexed="64"/>
      </patternFill>
    </fill>
    <fill>
      <gradientFill>
        <stop position="0">
          <color rgb="FFE3EBF2"/>
        </stop>
        <stop position="1">
          <color rgb="FFABC3D9"/>
        </stop>
      </gradient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rgb="FF6E94B7"/>
      </left>
      <right style="thin">
        <color rgb="FF6E94B7"/>
      </right>
      <top style="thin">
        <color rgb="FF6E94B7"/>
      </top>
      <bottom style="thin">
        <color rgb="FF6E94B7"/>
      </bottom>
      <diagonal/>
    </border>
    <border>
      <left style="thin">
        <color indexed="64"/>
      </left>
      <right style="thin">
        <color indexed="64"/>
      </right>
      <top/>
      <bottom/>
      <diagonal/>
    </border>
    <border>
      <left style="thin">
        <color rgb="FF6E94B7"/>
      </left>
      <right/>
      <top style="thin">
        <color rgb="FF6E94B7"/>
      </top>
      <bottom style="thin">
        <color indexed="64"/>
      </bottom>
      <diagonal/>
    </border>
    <border>
      <left/>
      <right/>
      <top style="thin">
        <color rgb="FF6E94B7"/>
      </top>
      <bottom style="thin">
        <color indexed="64"/>
      </bottom>
      <diagonal/>
    </border>
    <border>
      <left/>
      <right style="thin">
        <color rgb="FF6E94B7"/>
      </right>
      <top style="thin">
        <color rgb="FF6E94B7"/>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6E94B7"/>
      </left>
      <right style="thin">
        <color indexed="64"/>
      </right>
      <top style="thin">
        <color rgb="FF6E94B7"/>
      </top>
      <bottom/>
      <diagonal/>
    </border>
    <border>
      <left style="thin">
        <color rgb="FF6E94B7"/>
      </left>
      <right style="thin">
        <color indexed="64"/>
      </right>
      <top/>
      <bottom style="thin">
        <color rgb="FF6E94B7"/>
      </bottom>
      <diagonal/>
    </border>
    <border>
      <left style="thin">
        <color rgb="FF6E94B7"/>
      </left>
      <right/>
      <top/>
      <bottom/>
      <diagonal/>
    </border>
    <border>
      <left/>
      <right style="thin">
        <color indexed="64"/>
      </right>
      <top style="thin">
        <color indexed="64"/>
      </top>
      <bottom style="thin">
        <color indexed="64"/>
      </bottom>
      <diagonal/>
    </border>
    <border>
      <left style="thin">
        <color rgb="FF6E94B7"/>
      </left>
      <right style="thin">
        <color rgb="FF6E94B7"/>
      </right>
      <top style="thin">
        <color rgb="FF6E94B7"/>
      </top>
      <bottom/>
      <diagonal/>
    </border>
    <border>
      <left style="thin">
        <color rgb="FF6E94B7"/>
      </left>
      <right style="thin">
        <color rgb="FF6E94B7"/>
      </right>
      <top/>
      <bottom style="thin">
        <color rgb="FF6E94B7"/>
      </bottom>
      <diagonal/>
    </border>
    <border>
      <left style="thin">
        <color rgb="FF6E94B7"/>
      </left>
      <right style="thin">
        <color rgb="FF6E94B7"/>
      </right>
      <top/>
      <bottom/>
      <diagonal/>
    </border>
    <border>
      <left style="thin">
        <color indexed="64"/>
      </left>
      <right/>
      <top style="thin">
        <color indexed="64"/>
      </top>
      <bottom style="thin">
        <color indexed="64"/>
      </bottom>
      <diagonal/>
    </border>
    <border>
      <left/>
      <right style="thin">
        <color rgb="FF6E94B7"/>
      </right>
      <top style="thin">
        <color rgb="FF6E94B7"/>
      </top>
      <bottom style="thin">
        <color rgb="FF6E94B7"/>
      </bottom>
      <diagonal/>
    </border>
    <border>
      <left style="thin">
        <color rgb="FFABC3D9"/>
      </left>
      <right style="thin">
        <color rgb="FFABC3D9"/>
      </right>
      <top style="thin">
        <color rgb="FFABC3D9"/>
      </top>
      <bottom style="thin">
        <color rgb="FFABC3D9"/>
      </bottom>
      <diagonal/>
    </border>
    <border>
      <left/>
      <right/>
      <top style="thin">
        <color rgb="FF6E94B7"/>
      </top>
      <bottom style="thin">
        <color rgb="FF6E94B7"/>
      </bottom>
      <diagonal/>
    </border>
    <border>
      <left style="thin">
        <color rgb="FF6E94B7"/>
      </left>
      <right/>
      <top style="thin">
        <color rgb="FF6E94B7"/>
      </top>
      <bottom style="thin">
        <color rgb="FF6E94B7"/>
      </bottom>
      <diagonal/>
    </border>
  </borders>
  <cellStyleXfs count="1">
    <xf numFmtId="0" fontId="0" fillId="0" borderId="0"/>
  </cellStyleXfs>
  <cellXfs count="87">
    <xf numFmtId="0" fontId="0" fillId="0" borderId="0" xfId="0"/>
    <xf numFmtId="0" fontId="2" fillId="0" borderId="0" xfId="0" applyFont="1" applyAlignment="1">
      <alignment horizontal="center" vertical="center"/>
    </xf>
    <xf numFmtId="0" fontId="4" fillId="0" borderId="0" xfId="0" applyFont="1"/>
    <xf numFmtId="0" fontId="4" fillId="0" borderId="1" xfId="0" applyFont="1" applyBorder="1" applyAlignment="1">
      <alignment horizontal="center" vertical="center"/>
    </xf>
    <xf numFmtId="0" fontId="4" fillId="0" borderId="0" xfId="0" applyFont="1" applyAlignment="1">
      <alignment horizontal="center" vertical="center"/>
    </xf>
    <xf numFmtId="176" fontId="4" fillId="0" borderId="0" xfId="0" applyNumberFormat="1" applyFont="1" applyAlignment="1">
      <alignment horizontal="center" vertical="center"/>
    </xf>
    <xf numFmtId="0" fontId="3" fillId="9" borderId="1" xfId="0" applyFont="1" applyFill="1" applyBorder="1" applyAlignment="1">
      <alignment horizontal="center" vertical="center"/>
    </xf>
    <xf numFmtId="176" fontId="2" fillId="0" borderId="0" xfId="0" applyNumberFormat="1" applyFont="1" applyAlignment="1">
      <alignment horizontal="center" vertical="center"/>
    </xf>
    <xf numFmtId="0" fontId="2" fillId="0" borderId="0" xfId="0" applyFont="1" applyAlignment="1">
      <alignment horizontal="center" vertical="center" wrapText="1"/>
    </xf>
    <xf numFmtId="0" fontId="2" fillId="10" borderId="1" xfId="0" applyFont="1" applyFill="1" applyBorder="1" applyAlignment="1">
      <alignment horizontal="center" vertical="center"/>
    </xf>
    <xf numFmtId="0" fontId="2" fillId="0" borderId="0" xfId="0" applyFont="1" applyAlignment="1" applyProtection="1">
      <alignment horizontal="center" vertical="center"/>
      <protection locked="0"/>
    </xf>
    <xf numFmtId="1" fontId="2" fillId="0" borderId="0" xfId="0" applyNumberFormat="1" applyFont="1" applyAlignment="1">
      <alignment horizontal="center" vertical="center"/>
    </xf>
    <xf numFmtId="177" fontId="2" fillId="0" borderId="0" xfId="0" applyNumberFormat="1" applyFont="1" applyAlignment="1">
      <alignment horizontal="center" vertical="center"/>
    </xf>
    <xf numFmtId="0" fontId="2" fillId="0" borderId="7" xfId="0" applyFont="1" applyBorder="1" applyAlignment="1">
      <alignment horizontal="center" vertical="center"/>
    </xf>
    <xf numFmtId="0" fontId="4" fillId="3" borderId="0" xfId="0" applyFont="1" applyFill="1" applyAlignment="1">
      <alignment horizontal="center" vertical="center"/>
    </xf>
    <xf numFmtId="0" fontId="3" fillId="12" borderId="1" xfId="0" applyFont="1" applyFill="1" applyBorder="1" applyAlignment="1">
      <alignment horizontal="center" vertical="center"/>
    </xf>
    <xf numFmtId="0" fontId="2" fillId="0" borderId="0" xfId="0" applyFont="1" applyAlignment="1">
      <alignment horizontal="center" shrinkToFit="1"/>
    </xf>
    <xf numFmtId="0" fontId="2" fillId="12" borderId="7" xfId="0" applyFont="1" applyFill="1" applyBorder="1" applyAlignment="1">
      <alignment horizontal="center" vertical="center"/>
    </xf>
    <xf numFmtId="0" fontId="4" fillId="0" borderId="7" xfId="0" applyFont="1" applyBorder="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wrapText="1"/>
    </xf>
    <xf numFmtId="0" fontId="3" fillId="12" borderId="7" xfId="0" applyFont="1" applyFill="1" applyBorder="1" applyAlignment="1">
      <alignment horizontal="center" vertical="center"/>
    </xf>
    <xf numFmtId="0" fontId="8" fillId="0" borderId="2" xfId="0" applyFont="1" applyBorder="1" applyAlignment="1">
      <alignment horizontal="center" vertical="center"/>
    </xf>
    <xf numFmtId="0" fontId="3" fillId="9" borderId="7" xfId="0" applyFont="1" applyFill="1" applyBorder="1" applyAlignment="1">
      <alignment horizontal="center" vertical="center"/>
    </xf>
    <xf numFmtId="0" fontId="2" fillId="10" borderId="7" xfId="0" applyFont="1" applyFill="1" applyBorder="1" applyAlignment="1">
      <alignment horizontal="center" vertical="center"/>
    </xf>
    <xf numFmtId="0" fontId="9" fillId="2" borderId="1" xfId="0" applyFont="1" applyFill="1" applyBorder="1" applyAlignment="1">
      <alignment horizontal="center" vertical="center"/>
    </xf>
    <xf numFmtId="0" fontId="4" fillId="3" borderId="1" xfId="0" applyFont="1" applyFill="1" applyBorder="1" applyAlignment="1">
      <alignment horizontal="center" vertical="center"/>
    </xf>
    <xf numFmtId="1" fontId="4" fillId="4" borderId="1" xfId="0" applyNumberFormat="1" applyFont="1" applyFill="1" applyBorder="1" applyAlignment="1">
      <alignment horizontal="center" vertical="center"/>
    </xf>
    <xf numFmtId="1" fontId="4" fillId="6" borderId="1" xfId="0" applyNumberFormat="1" applyFont="1" applyFill="1" applyBorder="1" applyAlignment="1">
      <alignment horizontal="center" vertical="center"/>
    </xf>
    <xf numFmtId="1" fontId="4" fillId="5" borderId="1" xfId="0" applyNumberFormat="1" applyFont="1" applyFill="1" applyBorder="1" applyAlignment="1">
      <alignment horizontal="center" vertical="center"/>
    </xf>
    <xf numFmtId="1" fontId="4" fillId="7" borderId="1" xfId="0" applyNumberFormat="1" applyFont="1" applyFill="1" applyBorder="1" applyAlignment="1">
      <alignment horizontal="center" vertical="center"/>
    </xf>
    <xf numFmtId="1" fontId="4" fillId="8" borderId="1" xfId="0" applyNumberFormat="1" applyFont="1" applyFill="1" applyBorder="1" applyAlignment="1">
      <alignment horizontal="center" vertical="center"/>
    </xf>
    <xf numFmtId="1" fontId="4" fillId="0" borderId="0" xfId="0" applyNumberFormat="1" applyFont="1" applyAlignment="1">
      <alignment horizontal="center" vertical="center"/>
    </xf>
    <xf numFmtId="1" fontId="4" fillId="3" borderId="1" xfId="0" applyNumberFormat="1" applyFont="1" applyFill="1" applyBorder="1" applyAlignment="1">
      <alignment horizontal="center" vertical="center"/>
    </xf>
    <xf numFmtId="0" fontId="4" fillId="0" borderId="0" xfId="0" applyNumberFormat="1" applyFont="1" applyAlignment="1">
      <alignment horizontal="center" vertical="center"/>
    </xf>
    <xf numFmtId="0" fontId="4" fillId="0" borderId="0" xfId="0" applyNumberFormat="1" applyFont="1"/>
    <xf numFmtId="0" fontId="2" fillId="0" borderId="25" xfId="0" applyFont="1" applyBorder="1" applyAlignment="1">
      <alignment horizontal="center" vertical="center"/>
    </xf>
    <xf numFmtId="0" fontId="2" fillId="11" borderId="26" xfId="0" applyFont="1" applyFill="1" applyBorder="1" applyAlignment="1">
      <alignment horizontal="center" vertical="center"/>
    </xf>
    <xf numFmtId="0" fontId="2" fillId="0" borderId="26" xfId="0" applyFont="1" applyBorder="1" applyAlignment="1">
      <alignment horizontal="center" vertical="center"/>
    </xf>
    <xf numFmtId="0" fontId="2" fillId="0" borderId="26" xfId="0" applyFont="1" applyBorder="1" applyAlignment="1" applyProtection="1">
      <alignment horizontal="center" vertical="center"/>
      <protection locked="0"/>
    </xf>
    <xf numFmtId="176" fontId="2" fillId="0" borderId="26" xfId="0" applyNumberFormat="1" applyFont="1" applyBorder="1" applyAlignment="1">
      <alignment horizontal="center" vertical="center"/>
    </xf>
    <xf numFmtId="1" fontId="2" fillId="0" borderId="26" xfId="0" applyNumberFormat="1" applyFont="1" applyBorder="1" applyAlignment="1">
      <alignment horizontal="center" vertical="center"/>
    </xf>
    <xf numFmtId="177" fontId="2" fillId="0" borderId="26" xfId="0" applyNumberFormat="1" applyFont="1" applyBorder="1" applyAlignment="1">
      <alignment horizontal="center" vertical="center"/>
    </xf>
    <xf numFmtId="0" fontId="2" fillId="11" borderId="26" xfId="0" applyFont="1" applyFill="1" applyBorder="1" applyAlignment="1">
      <alignment horizontal="center" shrinkToFit="1"/>
    </xf>
    <xf numFmtId="0" fontId="2" fillId="0" borderId="26" xfId="0" applyFont="1" applyBorder="1" applyAlignment="1">
      <alignment horizontal="center" shrinkToFit="1"/>
    </xf>
    <xf numFmtId="49" fontId="3" fillId="9" borderId="7" xfId="0" applyNumberFormat="1" applyFont="1" applyFill="1" applyBorder="1" applyAlignment="1">
      <alignment horizontal="center" vertical="center"/>
    </xf>
    <xf numFmtId="49" fontId="2" fillId="0" borderId="0" xfId="0" applyNumberFormat="1" applyFont="1" applyAlignment="1">
      <alignment horizontal="center" vertical="center"/>
    </xf>
    <xf numFmtId="0" fontId="2" fillId="10" borderId="7" xfId="0" applyNumberFormat="1" applyFont="1" applyFill="1" applyBorder="1" applyAlignment="1">
      <alignment horizontal="center" vertical="center"/>
    </xf>
    <xf numFmtId="177" fontId="3" fillId="9" borderId="7" xfId="0" applyNumberFormat="1" applyFont="1" applyFill="1" applyBorder="1" applyAlignment="1">
      <alignment horizontal="center" vertical="center"/>
    </xf>
    <xf numFmtId="177" fontId="2" fillId="10" borderId="7" xfId="0" applyNumberFormat="1" applyFont="1" applyFill="1" applyBorder="1" applyAlignment="1">
      <alignment horizontal="center" vertical="center"/>
    </xf>
    <xf numFmtId="177" fontId="2" fillId="11" borderId="26" xfId="0" applyNumberFormat="1" applyFont="1" applyFill="1" applyBorder="1" applyAlignment="1">
      <alignment horizontal="center" vertical="center"/>
    </xf>
    <xf numFmtId="1" fontId="2" fillId="0" borderId="7" xfId="0" applyNumberFormat="1" applyFont="1" applyBorder="1" applyAlignment="1">
      <alignment horizontal="center" vertical="center"/>
    </xf>
    <xf numFmtId="0" fontId="2" fillId="11" borderId="7" xfId="0" applyFont="1" applyFill="1" applyBorder="1" applyAlignment="1">
      <alignment horizontal="center" vertical="center"/>
    </xf>
    <xf numFmtId="0" fontId="2" fillId="11" borderId="9" xfId="0" applyFont="1" applyFill="1" applyBorder="1" applyAlignment="1">
      <alignment horizontal="center" vertical="center"/>
    </xf>
    <xf numFmtId="0" fontId="3" fillId="9" borderId="2" xfId="0" applyFont="1" applyFill="1" applyBorder="1" applyAlignment="1">
      <alignment horizontal="center" vertical="center" textRotation="90"/>
    </xf>
    <xf numFmtId="0" fontId="3" fillId="9" borderId="8" xfId="0" applyFont="1" applyFill="1" applyBorder="1" applyAlignment="1">
      <alignment horizontal="center" vertical="center" textRotation="90"/>
    </xf>
    <xf numFmtId="0" fontId="3" fillId="9" borderId="3" xfId="0" applyFont="1" applyFill="1" applyBorder="1" applyAlignment="1">
      <alignment horizontal="center" vertical="center" textRotation="90"/>
    </xf>
    <xf numFmtId="0" fontId="3" fillId="9" borderId="24" xfId="0" applyFont="1" applyFill="1" applyBorder="1" applyAlignment="1">
      <alignment horizontal="center" vertical="center"/>
    </xf>
    <xf numFmtId="0" fontId="3" fillId="9" borderId="5" xfId="0" applyFont="1" applyFill="1" applyBorder="1" applyAlignment="1">
      <alignment horizontal="center" vertical="center"/>
    </xf>
    <xf numFmtId="0" fontId="3" fillId="9" borderId="20" xfId="0" applyFont="1" applyFill="1" applyBorder="1" applyAlignment="1">
      <alignment horizontal="center" vertical="center"/>
    </xf>
    <xf numFmtId="0" fontId="2" fillId="11" borderId="7" xfId="0" applyFont="1" applyFill="1" applyBorder="1" applyAlignment="1">
      <alignment horizontal="center" vertical="center"/>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28"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25" xfId="0" applyFont="1" applyFill="1" applyBorder="1" applyAlignment="1">
      <alignment horizontal="center" vertical="center"/>
    </xf>
    <xf numFmtId="16" fontId="3" fillId="12" borderId="21" xfId="0" quotePrefix="1" applyNumberFormat="1" applyFont="1" applyFill="1" applyBorder="1" applyAlignment="1">
      <alignment horizontal="center" vertical="center"/>
    </xf>
    <xf numFmtId="0" fontId="3" fillId="12" borderId="22" xfId="0" applyFont="1" applyFill="1" applyBorder="1" applyAlignment="1">
      <alignment horizontal="center" vertical="center"/>
    </xf>
    <xf numFmtId="0" fontId="3" fillId="12" borderId="21" xfId="0" quotePrefix="1" applyFont="1" applyFill="1" applyBorder="1" applyAlignment="1">
      <alignment horizontal="center" vertical="center"/>
    </xf>
    <xf numFmtId="0" fontId="3" fillId="12" borderId="23" xfId="0" applyFont="1" applyFill="1" applyBorder="1" applyAlignment="1">
      <alignment horizontal="center" vertical="center"/>
    </xf>
    <xf numFmtId="0" fontId="2" fillId="11" borderId="11" xfId="0" applyFont="1" applyFill="1" applyBorder="1" applyAlignment="1">
      <alignment horizontal="center" vertical="center"/>
    </xf>
    <xf numFmtId="0" fontId="2" fillId="11" borderId="19" xfId="0" applyFont="1" applyFill="1" applyBorder="1" applyAlignment="1">
      <alignment horizontal="center" vertical="center"/>
    </xf>
    <xf numFmtId="0" fontId="2" fillId="11" borderId="0" xfId="0" applyFont="1" applyFill="1" applyAlignment="1">
      <alignment horizontal="center" vertical="center"/>
    </xf>
    <xf numFmtId="0" fontId="2" fillId="13" borderId="17" xfId="0" applyFont="1" applyFill="1" applyBorder="1" applyAlignment="1">
      <alignment horizontal="center" vertical="center"/>
    </xf>
    <xf numFmtId="0" fontId="2" fillId="13" borderId="18" xfId="0" applyFont="1" applyFill="1" applyBorder="1" applyAlignment="1">
      <alignment horizontal="center" vertical="center"/>
    </xf>
    <xf numFmtId="0" fontId="7" fillId="0" borderId="12" xfId="0" applyFont="1" applyBorder="1" applyAlignment="1">
      <alignment horizontal="center" vertical="center" wrapText="1"/>
    </xf>
    <xf numFmtId="0" fontId="7" fillId="0" borderId="6"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4" xfId="0" applyFont="1" applyBorder="1" applyAlignment="1">
      <alignment horizontal="center" vertical="center" wrapText="1"/>
    </xf>
    <xf numFmtId="0" fontId="7" fillId="0" borderId="16" xfId="0" applyFont="1" applyBorder="1" applyAlignment="1">
      <alignment horizontal="center" vertical="center" wrapText="1"/>
    </xf>
  </cellXfs>
  <cellStyles count="1">
    <cellStyle name="標準" xfId="0" builtinId="0"/>
  </cellStyles>
  <dxfs count="263">
    <dxf>
      <font>
        <color rgb="FF7030A0"/>
      </font>
    </dxf>
    <dxf>
      <font>
        <color rgb="FF00B0F0"/>
      </font>
    </dxf>
    <dxf>
      <font>
        <color rgb="FF00B050"/>
      </font>
    </dxf>
    <dxf>
      <font>
        <color rgb="FFFF0000"/>
      </font>
    </dxf>
    <dxf>
      <font>
        <color rgb="FFFFFF00"/>
      </font>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theme="0" tint="-0.24994659260841701"/>
        </patternFill>
      </fill>
    </dxf>
    <dxf>
      <fill>
        <patternFill>
          <bgColor rgb="FFE3EBF2"/>
        </patternFill>
      </fill>
    </dxf>
    <dxf>
      <fill>
        <patternFill>
          <bgColor theme="0" tint="-0.24994659260841701"/>
        </patternFill>
      </fill>
    </dxf>
    <dxf>
      <fill>
        <patternFill>
          <bgColor rgb="FFE3EBF2"/>
        </patternFill>
      </fill>
    </dxf>
    <dxf>
      <fill>
        <patternFill>
          <bgColor rgb="FFE3EBF2"/>
        </patternFill>
      </fill>
    </dxf>
    <dxf>
      <fill>
        <patternFill patternType="none">
          <bgColor auto="1"/>
        </patternFill>
      </fill>
    </dxf>
    <dxf>
      <fill>
        <patternFill patternType="none">
          <bgColor auto="1"/>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theme="0" tint="-0.24994659260841701"/>
        </patternFill>
      </fill>
    </dxf>
    <dxf>
      <fill>
        <patternFill>
          <bgColor rgb="FFE3EBF2"/>
        </patternFill>
      </fill>
    </dxf>
    <dxf>
      <fill>
        <patternFill>
          <bgColor theme="0" tint="-0.24994659260841701"/>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patternType="none">
          <bgColor auto="1"/>
        </patternFill>
      </fill>
    </dxf>
    <dxf>
      <fill>
        <patternFill patternType="none">
          <bgColor auto="1"/>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rgb="FFE3EBF2"/>
        </patternFill>
      </fill>
    </dxf>
    <dxf>
      <fill>
        <patternFill>
          <bgColor theme="0" tint="-0.24994659260841701"/>
        </patternFill>
      </fill>
    </dxf>
    <dxf>
      <fill>
        <patternFill>
          <bgColor rgb="FFE3EBF2"/>
        </patternFill>
      </fill>
    </dxf>
    <dxf>
      <fill>
        <patternFill>
          <bgColor theme="0" tint="-0.24994659260841701"/>
        </patternFill>
      </fill>
    </dxf>
    <dxf>
      <fill>
        <patternFill>
          <bgColor rgb="FFE3EBF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rgb="FFE3EBF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rgb="FFE3EBF2"/>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D9E1F2"/>
        </patternFill>
      </fill>
    </dxf>
    <dxf>
      <fill>
        <patternFill>
          <bgColor rgb="FFABC3D9"/>
        </patternFill>
      </fill>
    </dxf>
    <dxf>
      <fill>
        <patternFill>
          <bgColor rgb="FFE3EBF2"/>
        </patternFill>
      </fill>
    </dxf>
    <dxf>
      <fill>
        <patternFill patternType="solid">
          <fgColor auto="1"/>
          <bgColor rgb="FFABC3D9"/>
        </patternFill>
      </fill>
    </dxf>
    <dxf>
      <font>
        <b/>
        <i val="0"/>
        <strike val="0"/>
        <condense val="0"/>
        <extend val="0"/>
        <outline val="0"/>
        <shadow val="0"/>
        <u val="none"/>
        <vertAlign val="baseline"/>
        <sz val="10"/>
        <color auto="1"/>
        <name val="Tahoma"/>
        <family val="2"/>
        <scheme val="none"/>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i val="0"/>
        <strike val="0"/>
        <condense val="0"/>
        <extend val="0"/>
        <outline val="0"/>
        <shadow val="0"/>
        <u val="none"/>
        <vertAlign val="baseline"/>
        <sz val="10"/>
        <color auto="1"/>
        <name val="Tahoma"/>
        <family val="2"/>
        <scheme val="none"/>
      </font>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rgb="FF161E11"/>
        <name val="Tahoma"/>
        <family val="2"/>
        <scheme val="none"/>
      </font>
      <fill>
        <patternFill patternType="solid">
          <fgColor indexed="64"/>
          <bgColor rgb="FFAFC6DB"/>
        </patternFill>
      </fill>
      <alignment horizontal="center" vertical="center" textRotation="0" wrapText="0" indent="0" justifyLastLine="0" shrinkToFit="0" readingOrder="0"/>
    </dxf>
    <dxf>
      <font>
        <b/>
        <i val="0"/>
        <strike val="0"/>
        <condense val="0"/>
        <extend val="0"/>
        <outline val="0"/>
        <shadow val="0"/>
        <u val="none"/>
        <vertAlign val="baseline"/>
        <sz val="10"/>
        <color auto="1"/>
        <name val="Tahoma"/>
        <family val="2"/>
        <scheme val="none"/>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Tahoma"/>
        <family val="2"/>
        <scheme val="none"/>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Tahoma"/>
        <family val="2"/>
        <scheme val="none"/>
      </font>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rgb="FF161E11"/>
        <name val="Tahoma"/>
        <family val="2"/>
        <scheme val="none"/>
      </font>
      <fill>
        <patternFill patternType="solid">
          <fgColor indexed="64"/>
          <bgColor rgb="FFAFC6DB"/>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0"/>
        <color theme="1"/>
        <name val="Tahoma"/>
        <family val="2"/>
        <scheme val="none"/>
      </font>
      <alignment horizontal="center" vertical="center" textRotation="0" wrapText="0" indent="0" justifyLastLine="0" shrinkToFit="0" readingOrder="0"/>
    </dxf>
    <dxf>
      <font>
        <b/>
        <strike val="0"/>
        <outline val="0"/>
        <shadow val="0"/>
        <u val="none"/>
        <vertAlign val="baseline"/>
        <sz val="10"/>
        <color theme="1"/>
        <name val="Tahoma"/>
        <family val="2"/>
        <scheme val="none"/>
      </font>
      <alignment horizontal="center" vertical="center" textRotation="0" wrapText="0" indent="0" justifyLastLine="0" shrinkToFit="0" readingOrder="0"/>
    </dxf>
    <dxf>
      <font>
        <b/>
        <strike val="0"/>
        <outline val="0"/>
        <shadow val="0"/>
        <u val="none"/>
        <vertAlign val="baseline"/>
        <sz val="10"/>
        <color theme="1"/>
        <name val="Tahoma"/>
        <family val="2"/>
        <scheme val="none"/>
      </font>
      <alignment horizontal="center" vertical="center" textRotation="0" wrapText="0" indent="0" justifyLastLine="0" shrinkToFit="0" readingOrder="0"/>
    </dxf>
    <dxf>
      <font>
        <b/>
        <strike val="0"/>
        <outline val="0"/>
        <shadow val="0"/>
        <u val="none"/>
        <vertAlign val="baseline"/>
        <sz val="10"/>
        <color theme="1"/>
        <name val="Tahoma"/>
        <family val="2"/>
        <scheme val="none"/>
      </font>
      <alignment horizontal="center" vertical="center" textRotation="0" wrapText="0" indent="0" justifyLastLine="0" shrinkToFit="0" readingOrder="0"/>
    </dxf>
    <dxf>
      <font>
        <b/>
        <strike val="0"/>
        <outline val="0"/>
        <shadow val="0"/>
        <u val="none"/>
        <vertAlign val="baseline"/>
        <sz val="10"/>
        <color theme="1"/>
        <name val="Tahoma"/>
        <family val="2"/>
        <scheme val="none"/>
      </font>
      <alignment horizontal="center" vertical="center" textRotation="0" wrapText="0" indent="0" justifyLastLine="0" shrinkToFit="0" readingOrder="0"/>
    </dxf>
    <dxf>
      <font>
        <b/>
        <strike val="0"/>
        <outline val="0"/>
        <shadow val="0"/>
        <u val="none"/>
        <vertAlign val="baseline"/>
        <sz val="10"/>
        <color theme="1"/>
        <name val="Tahoma"/>
        <family val="2"/>
        <scheme val="none"/>
      </font>
      <alignment horizontal="center" vertical="center" textRotation="0" wrapText="0" indent="0" justifyLastLine="0" shrinkToFit="0" readingOrder="0"/>
    </dxf>
    <dxf>
      <font>
        <b/>
        <strike val="0"/>
        <outline val="0"/>
        <shadow val="0"/>
        <u val="none"/>
        <vertAlign val="baseline"/>
        <sz val="10"/>
        <color theme="1"/>
        <name val="Tahoma"/>
        <family val="2"/>
        <scheme val="none"/>
      </font>
      <alignment horizontal="center" vertical="center" textRotation="0" wrapText="0" indent="0" justifyLastLine="0" shrinkToFit="0" readingOrder="0"/>
    </dxf>
    <dxf>
      <font>
        <b/>
        <strike val="0"/>
        <outline val="0"/>
        <shadow val="0"/>
        <u val="none"/>
        <vertAlign val="baseline"/>
        <sz val="10"/>
        <color theme="1"/>
        <name val="Tahoma"/>
        <family val="2"/>
        <scheme val="none"/>
      </font>
      <alignment horizontal="center" vertical="center" textRotation="0" wrapText="0" indent="0" justifyLastLine="0" shrinkToFit="0" readingOrder="0"/>
    </dxf>
    <dxf>
      <font>
        <b/>
        <strike val="0"/>
        <outline val="0"/>
        <shadow val="0"/>
        <u val="none"/>
        <vertAlign val="baseline"/>
        <sz val="10"/>
        <color theme="1"/>
        <name val="Tahoma"/>
        <family val="2"/>
        <scheme val="none"/>
      </font>
      <numFmt numFmtId="0" formatCode="General"/>
    </dxf>
    <dxf>
      <font>
        <b/>
        <strike val="0"/>
        <outline val="0"/>
        <shadow val="0"/>
        <u val="none"/>
        <vertAlign val="baseline"/>
        <sz val="10"/>
        <color theme="1"/>
        <name val="Tahoma"/>
        <family val="2"/>
        <scheme val="none"/>
      </font>
    </dxf>
    <dxf>
      <font>
        <b/>
        <strike val="0"/>
        <outline val="0"/>
        <shadow val="0"/>
        <u val="none"/>
        <vertAlign val="baseline"/>
        <sz val="10"/>
        <color theme="1"/>
        <name val="Tahoma"/>
        <family val="2"/>
        <scheme val="none"/>
      </font>
    </dxf>
    <dxf>
      <font>
        <b/>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b/>
        <strike val="0"/>
        <outline val="0"/>
        <shadow val="0"/>
        <u val="none"/>
        <vertAlign val="baseline"/>
        <sz val="10"/>
        <color theme="1"/>
        <name val="Tahoma"/>
        <family val="2"/>
        <scheme val="none"/>
      </font>
    </dxf>
    <dxf>
      <font>
        <b/>
        <strike val="0"/>
        <outline val="0"/>
        <shadow val="0"/>
        <u val="none"/>
        <vertAlign val="baseline"/>
        <sz val="10"/>
        <color theme="1"/>
        <name val="Tahoma"/>
        <family val="2"/>
        <scheme val="none"/>
      </font>
    </dxf>
  </dxfs>
  <tableStyles count="0" defaultTableStyle="TableStyleMedium2" defaultPivotStyle="PivotStyleLight16"/>
  <colors>
    <mruColors>
      <color rgb="FFABC3D9"/>
      <color rgb="FFD9E1F2"/>
      <color rgb="FFE3EBF2"/>
      <color rgb="FFAFC6DB"/>
      <color rgb="FF6E94B7"/>
      <color rgb="FFF2E2E2"/>
      <color rgb="FFF2D9D9"/>
      <color rgb="FFDBB3AF"/>
      <color rgb="FFF06A46"/>
      <color rgb="FFC4513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0/07/relationships/rdRichValueWebImage" Target="richData/rdRichValueWebImage.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17/06/relationships/rdSupportingPropertyBag" Target="richData/rdsupportingpropertybag.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06/relationships/rdSupportingPropertyBagStructure" Target="richData/rdsupportingpropertybagstructure.xml"/></Relationships>
</file>

<file path=xl/richData/_rels/rdRichValueWebImage.xml.rels><?xml version="1.0" encoding="UTF-8" standalone="yes"?>
<Relationships xmlns="http://schemas.openxmlformats.org/package/2006/relationships"><Relationship Id="rId13" Type="http://schemas.openxmlformats.org/officeDocument/2006/relationships/hyperlink" Target="https://www.bing.com/th?id=OSK.2d7b7af86f9a55648a4aec7fbe3969e6&amp;qlt=95" TargetMode="External"/><Relationship Id="rId18" Type="http://schemas.openxmlformats.org/officeDocument/2006/relationships/image" Target="../media/image6.08d481ce2e6378c8b3492a5438438208"/><Relationship Id="rId26" Type="http://schemas.openxmlformats.org/officeDocument/2006/relationships/hyperlink" Target="https://www.bing.com/images/search?form=xlimg&amp;q=Norway" TargetMode="External"/><Relationship Id="rId3" Type="http://schemas.openxmlformats.org/officeDocument/2006/relationships/image" Target="../media/image1.YyStd3n6FeCyDWZVKn54i8IqezKRsFpq7XThd1PUiDk"/><Relationship Id="rId21" Type="http://schemas.openxmlformats.org/officeDocument/2006/relationships/image" Target="../media/image7.8p2k5lHoxkLkVFhhRavwz0TU1HJcwyyrphMGrCfxYiE"/><Relationship Id="rId7" Type="http://schemas.openxmlformats.org/officeDocument/2006/relationships/hyperlink" Target="https://www.bing.com/th?id=OSK.IJoB2IAflCzjheZJfaz5mfzEWw5jRcoWEgDQz1yU2Yk&amp;qlt=95" TargetMode="External"/><Relationship Id="rId12" Type="http://schemas.openxmlformats.org/officeDocument/2006/relationships/image" Target="../media/image4.mTs9AdlNDLziaMN3BIhJpWCGZaOOUwqIR2jN3FJEeTw"/><Relationship Id="rId17" Type="http://schemas.openxmlformats.org/officeDocument/2006/relationships/hyperlink" Target="https://www.bing.com/images/search?form=xlimg&amp;q=United%20States" TargetMode="External"/><Relationship Id="rId25" Type="http://schemas.openxmlformats.org/officeDocument/2006/relationships/hyperlink" Target="https://www.bing.com/th?id=OSK.25df30c19d33bb8b6b2e0396595bbfd6&amp;qlt=95" TargetMode="External"/><Relationship Id="rId33" Type="http://schemas.openxmlformats.org/officeDocument/2006/relationships/image" Target="../media/image11.jpeg"/><Relationship Id="rId2" Type="http://schemas.openxmlformats.org/officeDocument/2006/relationships/hyperlink" Target="https://www.bing.com/images/search?form=xlimg&amp;q=Italy" TargetMode="External"/><Relationship Id="rId16" Type="http://schemas.openxmlformats.org/officeDocument/2006/relationships/hyperlink" Target="https://www.bing.com/th?id=OSK.08d481ce2e6378c8b3492a5438438208&amp;qlt=95" TargetMode="External"/><Relationship Id="rId20" Type="http://schemas.openxmlformats.org/officeDocument/2006/relationships/hyperlink" Target="https://www.bing.com/images/search?form=xlimg&amp;q=Netherlands" TargetMode="External"/><Relationship Id="rId29" Type="http://schemas.openxmlformats.org/officeDocument/2006/relationships/hyperlink" Target="https://www.bing.com/images/search?form=xlimg&amp;q=Australia" TargetMode="External"/><Relationship Id="rId1" Type="http://schemas.openxmlformats.org/officeDocument/2006/relationships/hyperlink" Target="https://www.bing.com/th?id=OSK.YyStd3n6FeCyDWZVKn54i8IqezKRsFpq7XThd1PUiDk&amp;qlt=95" TargetMode="External"/><Relationship Id="rId6" Type="http://schemas.openxmlformats.org/officeDocument/2006/relationships/image" Target="../media/image2.1a33b5115bfc290abc8869de29ebd567"/><Relationship Id="rId11" Type="http://schemas.openxmlformats.org/officeDocument/2006/relationships/hyperlink" Target="https://www.bing.com/images/search?form=xlimg&amp;q=Japan" TargetMode="External"/><Relationship Id="rId24" Type="http://schemas.openxmlformats.org/officeDocument/2006/relationships/image" Target="../media/image8.dQRnOlTKTXrhKm9OaxUUVBGNjKK1hL9mKy8jDit9INI"/><Relationship Id="rId32" Type="http://schemas.openxmlformats.org/officeDocument/2006/relationships/hyperlink" Target="https://www.bing.com/images/search?form=xlimg&amp;q=Spain" TargetMode="External"/><Relationship Id="rId5" Type="http://schemas.openxmlformats.org/officeDocument/2006/relationships/hyperlink" Target="https://www.bing.com/images/search?form=xlimg&amp;q=United%20Kingdom" TargetMode="External"/><Relationship Id="rId15" Type="http://schemas.openxmlformats.org/officeDocument/2006/relationships/image" Target="../media/image5.jpeg"/><Relationship Id="rId23" Type="http://schemas.openxmlformats.org/officeDocument/2006/relationships/hyperlink" Target="https://www.bing.com/images/search?form=xlimg&amp;q=Belgium" TargetMode="External"/><Relationship Id="rId28" Type="http://schemas.openxmlformats.org/officeDocument/2006/relationships/hyperlink" Target="https://www.bing.com/th?id=OSK.bed9fc3690f3414a4850855fee332f1c&amp;qlt=95" TargetMode="External"/><Relationship Id="rId10" Type="http://schemas.openxmlformats.org/officeDocument/2006/relationships/hyperlink" Target="https://www.bing.com/th?id=OSK.mTs9AdlNDLziaMN3BIhJpWCGZaOOUwqIR2jN3FJEeTw&amp;qlt=95" TargetMode="External"/><Relationship Id="rId19" Type="http://schemas.openxmlformats.org/officeDocument/2006/relationships/hyperlink" Target="https://www.bing.com/th?id=OSK.8p2k5lHoxkLkVFhhRavwz0TU1HJcwyyrphMGrCfxYiE&amp;qlt=95" TargetMode="External"/><Relationship Id="rId31" Type="http://schemas.openxmlformats.org/officeDocument/2006/relationships/hyperlink" Target="https://www.bing.com/th?id=OSK.fbb71d5e592f7fda00cf81328e03b81f&amp;qlt=95" TargetMode="External"/><Relationship Id="rId4" Type="http://schemas.openxmlformats.org/officeDocument/2006/relationships/hyperlink" Target="https://www.bing.com/th?id=OSK.1a33b5115bfc290abc8869de29ebd567&amp;qlt=95" TargetMode="External"/><Relationship Id="rId9" Type="http://schemas.openxmlformats.org/officeDocument/2006/relationships/image" Target="../media/image3.IJoB2IAflCzjheZJfaz5mfzEWw5jRcoWEgDQz1yU2Yk"/><Relationship Id="rId14" Type="http://schemas.openxmlformats.org/officeDocument/2006/relationships/hyperlink" Target="https://www.bing.com/images/search?form=xlimg&amp;q=Portugal" TargetMode="External"/><Relationship Id="rId22" Type="http://schemas.openxmlformats.org/officeDocument/2006/relationships/hyperlink" Target="https://www.bing.com/th?id=OSK.dQRnOlTKTXrhKm9OaxUUVBGNjKK1hL9mKy8jDit9INI&amp;qlt=95" TargetMode="External"/><Relationship Id="rId27" Type="http://schemas.openxmlformats.org/officeDocument/2006/relationships/image" Target="../media/image9.jpeg"/><Relationship Id="rId30" Type="http://schemas.openxmlformats.org/officeDocument/2006/relationships/image" Target="../media/image10.bed9fc3690f3414a4850855fee332f1c"/><Relationship Id="rId8" Type="http://schemas.openxmlformats.org/officeDocument/2006/relationships/hyperlink" Target="https://www.bing.com/images/search?form=xlimg&amp;q=France"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blip r:id="rId3"/>
  </webImageSrd>
  <webImageSrd>
    <address r:id="rId4"/>
    <moreImagesAddress r:id="rId5"/>
    <blip r:id="rId6"/>
  </webImageSrd>
  <webImageSrd>
    <address r:id="rId7"/>
    <moreImagesAddress r:id="rId8"/>
    <blip r:id="rId9"/>
  </webImageSrd>
  <webImageSrd>
    <address r:id="rId10"/>
    <moreImagesAddress r:id="rId11"/>
    <blip r:id="rId12"/>
  </webImageSrd>
  <webImageSrd>
    <address r:id="rId13"/>
    <moreImagesAddress r:id="rId14"/>
    <blip r:id="rId15"/>
  </webImageSrd>
  <webImageSrd>
    <address r:id="rId16"/>
    <moreImagesAddress r:id="rId17"/>
    <blip r:id="rId18"/>
  </webImageSrd>
  <webImageSrd>
    <address r:id="rId19"/>
    <moreImagesAddress r:id="rId20"/>
    <blip r:id="rId21"/>
  </webImageSrd>
  <webImageSrd>
    <address r:id="rId22"/>
    <moreImagesAddress r:id="rId23"/>
    <blip r:id="rId24"/>
  </webImageSrd>
  <webImageSrd>
    <address r:id="rId25"/>
    <moreImagesAddress r:id="rId26"/>
    <blip r:id="rId27"/>
  </webImageSrd>
  <webImageSrd>
    <address r:id="rId28"/>
    <moreImagesAddress r:id="rId29"/>
    <blip r:id="rId30"/>
  </webImageSrd>
  <webImageSrd>
    <address r:id="rId31"/>
    <moreImagesAddress r:id="rId32"/>
    <blip r:id="rId33"/>
  </webImageSrd>
</webImagesSrd>
</file>

<file path=xl/richData/rdarray.xml><?xml version="1.0" encoding="utf-8"?>
<arrayData xmlns="http://schemas.microsoft.com/office/spreadsheetml/2017/richdata2" count="41">
  <a r="2">
    <v t="r">20</v>
    <v t="r">21</v>
  </a>
  <a r="1">
    <v t="s">Italian language</v>
  </a>
  <a r="20">
    <v t="r">39</v>
    <v t="r">40</v>
    <v t="r">41</v>
    <v t="r">42</v>
    <v t="r">43</v>
    <v t="r">44</v>
    <v t="r">45</v>
    <v t="r">46</v>
    <v t="r">47</v>
    <v t="r">48</v>
    <v t="r">49</v>
    <v t="r">50</v>
    <v t="r">51</v>
    <v t="r">52</v>
    <v t="r">53</v>
    <v t="r">54</v>
    <v t="r">55</v>
    <v t="r">56</v>
    <v t="r">57</v>
    <v t="r">58</v>
  </a>
  <a r="2">
    <v t="s">UTC+02:00</v>
    <v t="s">UTC+01:00</v>
  </a>
  <a r="2">
    <v t="r">86</v>
    <v t="r">87</v>
  </a>
  <a r="1">
    <v t="s">English language</v>
  </a>
  <a r="4">
    <v t="r">105</v>
    <v t="r">106</v>
    <v t="r">107</v>
    <v t="r">108</v>
  </a>
  <a r="2">
    <v t="s">Greenwich Mean Time</v>
    <v t="s">Western European Time</v>
  </a>
  <a r="2">
    <v t="r">136</v>
    <v t="r">137</v>
  </a>
  <a r="1">
    <v t="s">French language</v>
  </a>
  <a r="25">
    <v t="r">155</v>
    <v t="r">156</v>
    <v t="r">157</v>
    <v t="r">158</v>
    <v t="r">159</v>
    <v t="r">160</v>
    <v t="r">161</v>
    <v t="r">162</v>
    <v t="r">163</v>
    <v t="r">164</v>
    <v t="r">165</v>
    <v t="r">166</v>
    <v t="r">167</v>
    <v t="r">168</v>
    <v t="r">169</v>
    <v t="r">170</v>
    <v t="r">171</v>
    <v t="r">172</v>
    <v t="r">173</v>
    <v t="r">174</v>
    <v t="r">175</v>
    <v t="r">176</v>
    <v t="r">177</v>
    <v t="r">178</v>
    <v t="r">179</v>
  </a>
  <a r="1">
    <v t="s">Central European Time</v>
  </a>
  <a r="2">
    <v t="r">207</v>
    <v t="r">208</v>
  </a>
  <a r="1">
    <v t="s">Japanese language</v>
  </a>
  <a r="46">
    <v t="r">227</v>
    <v t="r">228</v>
    <v t="r">229</v>
    <v t="r">230</v>
    <v t="r">231</v>
    <v t="r">232</v>
    <v t="r">233</v>
    <v t="r">234</v>
    <v t="r">235</v>
    <v t="r">236</v>
    <v t="r">237</v>
    <v t="r">238</v>
    <v t="r">193</v>
    <v t="r">239</v>
    <v t="r">240</v>
    <v t="r">241</v>
    <v t="r">242</v>
    <v t="r">243</v>
    <v t="r">244</v>
    <v t="r">245</v>
    <v t="r">246</v>
    <v t="r">247</v>
    <v t="r">248</v>
    <v t="r">249</v>
    <v t="r">250</v>
    <v t="r">251</v>
    <v t="r">252</v>
    <v t="r">253</v>
    <v t="r">254</v>
    <v t="r">255</v>
    <v t="r">256</v>
    <v t="r">257</v>
    <v t="r">258</v>
    <v t="r">259</v>
    <v t="r">260</v>
    <v t="r">261</v>
    <v t="r">262</v>
    <v t="r">263</v>
    <v t="r">264</v>
    <v t="r">265</v>
    <v t="r">266</v>
    <v t="r">267</v>
    <v t="r">268</v>
    <v t="r">269</v>
    <v t="r">270</v>
    <v t="r">271</v>
  </a>
  <a r="1">
    <v t="s">Japan Standard Time</v>
  </a>
  <a r="3">
    <v t="r">299</v>
    <v t="r">300</v>
    <v t="r">301</v>
  </a>
  <a r="1">
    <v t="s">Portuguese language</v>
  </a>
  <a r="20">
    <v t="r">318</v>
    <v t="r">319</v>
    <v t="r">320</v>
    <v t="r">321</v>
    <v t="r">322</v>
    <v t="r">323</v>
    <v t="r">324</v>
    <v t="r">325</v>
    <v t="r">326</v>
    <v t="r">327</v>
    <v t="r">328</v>
    <v t="r">329</v>
    <v t="r">330</v>
    <v t="r">331</v>
    <v t="r">332</v>
    <v t="r">333</v>
    <v t="r">334</v>
    <v t="r">335</v>
    <v t="r">336</v>
    <v t="r">337</v>
  </a>
  <a r="2">
    <v t="s">Western European Summer Time</v>
    <v t="s">Western European Time</v>
  </a>
  <a r="4">
    <v t="r">366</v>
    <v t="r">367</v>
    <v t="r">368</v>
    <v t="r">369</v>
  </a>
  <a r="55">
    <v t="r">387</v>
    <v t="r">388</v>
    <v t="r">389</v>
    <v t="r">390</v>
    <v t="r">391</v>
    <v t="r">392</v>
    <v t="r">393</v>
    <v t="r">394</v>
    <v t="r">395</v>
    <v t="r">396</v>
    <v t="r">397</v>
    <v t="r">398</v>
    <v t="r">399</v>
    <v t="r">400</v>
    <v t="r">401</v>
    <v t="r">402</v>
    <v t="r">403</v>
    <v t="r">404</v>
    <v t="r">405</v>
    <v t="r">406</v>
    <v t="r">407</v>
    <v t="r">408</v>
    <v t="r">409</v>
    <v t="r">410</v>
    <v t="r">411</v>
    <v t="r">412</v>
    <v t="r">413</v>
    <v t="r">414</v>
    <v t="r">415</v>
    <v t="r">416</v>
    <v t="r">417</v>
    <v t="r">418</v>
    <v t="r">419</v>
    <v t="r">420</v>
    <v t="r">421</v>
    <v t="r">422</v>
    <v t="r">423</v>
    <v t="r">424</v>
    <v t="r">425</v>
    <v t="r">426</v>
    <v t="r">427</v>
    <v t="r">428</v>
    <v t="r">429</v>
    <v t="r">430</v>
    <v t="r">431</v>
    <v t="r">432</v>
    <v t="r">433</v>
    <v t="r">434</v>
    <v t="r">435</v>
    <v t="r">436</v>
    <v t="r">437</v>
    <v t="r">438</v>
    <v t="r">439</v>
    <v t="r">440</v>
    <v t="r">441</v>
  </a>
  <a r="6">
    <v t="s">Samoa Time Zone</v>
    <v t="s">Atlantic Time Zone</v>
    <v t="s">Central Time Zone</v>
    <v t="s">Alaska Time Zone</v>
    <v t="s">Mountain Time Zone</v>
    <v t="s">Chamorro Time Zone</v>
  </a>
  <a r="2">
    <v t="r">469</v>
    <v t="r">470</v>
  </a>
  <a r="1">
    <v t="s">Dutch language</v>
  </a>
  <a r="14">
    <v t="r">488</v>
    <v t="r">489</v>
    <v t="r">490</v>
    <v t="r">491</v>
    <v t="r">492</v>
    <v t="r">493</v>
    <v t="r">494</v>
    <v t="r">495</v>
    <v t="r">496</v>
    <v t="r">497</v>
    <v t="r">498</v>
    <v t="r">499</v>
    <v t="r">500</v>
    <v t="r">501</v>
  </a>
  <a r="1">
    <v t="s">Atlantic Time Zone</v>
  </a>
  <a r="2">
    <v t="r">530</v>
    <v t="r">531</v>
  </a>
  <a r="3">
    <v t="s">Dutch language</v>
    <v t="s">German language</v>
    <v t="s">French language</v>
  </a>
  <a r="3">
    <v t="r">548</v>
    <v t="r">529</v>
    <v t="r">549</v>
  </a>
  <a r="4">
    <v t="s">Central European Time</v>
    <v t="s">UTC+02:00</v>
    <v t="s">UTC+01:00</v>
    <v t="s">Central European Summer Time</v>
  </a>
  <a r="3">
    <v t="r">577</v>
    <v t="r">578</v>
    <v t="r">579</v>
  </a>
  <a r="1">
    <v t="s">Norwegian language</v>
  </a>
  <a r="14">
    <v t="r">595</v>
    <v t="r">563</v>
    <v t="r">596</v>
    <v t="r">597</v>
    <v t="r">598</v>
    <v t="r">599</v>
    <v t="r">600</v>
    <v t="r">601</v>
    <v t="r">602</v>
    <v t="r">603</v>
    <v t="r">604</v>
    <v t="r">605</v>
    <v t="r">606</v>
    <v t="r">607</v>
  </a>
  <a r="2">
    <v t="r">86</v>
    <v t="r">634</v>
  </a>
  <a r="1">
    <v t="s">Australian English</v>
  </a>
  <a r="15">
    <v t="r">649</v>
    <v t="r">650</v>
    <v t="r">651</v>
    <v t="r">652</v>
    <v t="r">653</v>
    <v t="r">654</v>
    <v t="r">655</v>
    <v t="r">656</v>
    <v t="r">657</v>
    <v t="r">658</v>
    <v t="r">659</v>
    <v t="r">660</v>
    <v t="r">661</v>
    <v t="r">662</v>
    <v t="r">663</v>
  </a>
  <a r="12">
    <v t="s">Norfolk Time Zone</v>
    <v t="s">Lord Howe Time Zone</v>
    <v t="s">Australian Eastern Time Zone</v>
    <v t="s">Australian Central Time Zone</v>
    <v t="s">Central Western Time Zone</v>
    <v t="s">Australian Western Time Zone</v>
    <v t="s">Casey Time Zone</v>
    <v t="s">Christmas Island Time Zone</v>
    <v t="s">Davis Time Zone</v>
    <v t="s">Cocos Islands Time Zone</v>
    <v t="s">Heard and McDonald Islands Time Zone</v>
    <v t="s">Mawson Station Time Zone</v>
  </a>
  <a r="2">
    <v t="r">691</v>
    <v t="r">692</v>
  </a>
  <a r="1">
    <v t="s">Spanish language</v>
  </a>
  <a r="18">
    <v t="r">710</v>
    <v t="r">711</v>
    <v t="r">712</v>
    <v t="r">713</v>
    <v t="r">714</v>
    <v t="r">715</v>
    <v t="r">716</v>
    <v t="r">717</v>
    <v t="r">718</v>
    <v t="r">719</v>
    <v t="r">720</v>
    <v t="r">721</v>
    <v t="r">722</v>
    <v t="r">723</v>
    <v t="r">724</v>
    <v t="r">725</v>
    <v t="r">726</v>
    <v t="r">727</v>
  </a>
</arrayData>
</file>

<file path=xl/richData/rdrichvalue.xml><?xml version="1.0" encoding="utf-8"?>
<rvData xmlns="http://schemas.microsoft.com/office/spreadsheetml/2017/richdata" count="745">
  <rv s="0">
    <v>536870912</v>
    <v>Italy</v>
    <v>09e8f885-427b-8850-947d-202e0287b9e8</v>
    <v>en-US</v>
    <v>Map</v>
  </rv>
  <rv s="1">
    <fb>0.432345141769226</fb>
    <v>23</v>
  </rv>
  <rv s="1">
    <fb>302068</fb>
    <v>24</v>
  </rv>
  <rv s="1">
    <fb>347000</fb>
    <v>24</v>
  </rv>
  <rv s="1">
    <fb>7.3</fb>
    <v>25</v>
  </rv>
  <rv s="1">
    <fb>39</fb>
    <v>26</v>
  </rv>
  <rv s="0">
    <v>536870912</v>
    <v>Rome</v>
    <v>5ed498af-fa85-2a88-874d-212494ddb06f</v>
    <v>en-US</v>
    <v>Map</v>
  </rv>
  <rv s="1">
    <fb>320411.45899999997</fb>
    <v>24</v>
  </rv>
  <rv s="1">
    <fb>110.623595648239</fb>
    <v>27</v>
  </rv>
  <rv s="1">
    <fb>6.1124694376529102E-3</fb>
    <v>23</v>
  </rv>
  <rv s="1">
    <fb>5002.4066798773601</fb>
    <v>24</v>
  </rv>
  <rv s="1">
    <fb>1.29</fb>
    <v>25</v>
  </rv>
  <rv s="1">
    <fb>0.31790303272888798</fb>
    <v>23</v>
  </rv>
  <rv s="1">
    <fb>79.948454735494707</fb>
    <v>28</v>
  </rv>
  <rv s="1">
    <fb>1.61</fb>
    <v>29</v>
  </rv>
  <rv s="1">
    <fb>2001244392041.5701</fb>
    <v>30</v>
  </rv>
  <rv s="1">
    <fb>1.0187936</fb>
    <v>23</v>
  </rv>
  <rv s="1">
    <fb>0.61933000000000005</fb>
    <v>23</v>
  </rv>
  <rv s="2">
    <v>0</v>
    <v>21</v>
    <v>2</v>
    <v>7</v>
    <v>0</v>
    <v>Image of Italy</v>
  </rv>
  <rv s="1">
    <fb>2.6</fb>
    <v>28</v>
  </rv>
  <rv s="0">
    <v>805306368</v>
    <v>Sergio Mattarella (President)</v>
    <v>7b09388e-8b92-1261-db16-7c6882735fe1</v>
    <v>en-US</v>
    <v>Generic</v>
  </rv>
  <rv s="0">
    <v>805306368</v>
    <v>Giorgia Meloni (Prime minister)</v>
    <v>5c9bb82e-e08f-f5eb-9f29-f20e75e8eb8f</v>
    <v>en-US</v>
    <v>Generic</v>
  </rv>
  <rv s="3">
    <v>0</v>
  </rv>
  <rv s="4">
    <v>https://www.bing.com/search?q=italy&amp;form=skydnc</v>
    <v>Learn more on Bing</v>
  </rv>
  <rv s="1">
    <fb>82.946341463414697</fb>
    <v>28</v>
  </rv>
  <rv s="1">
    <fb>522087790000</fb>
    <v>30</v>
  </rv>
  <rv s="1">
    <fb>2</fb>
    <v>28</v>
  </rv>
  <rv s="3">
    <v>1</v>
  </rv>
  <rv s="1">
    <fb>0.2283268819</fb>
    <v>23</v>
  </rv>
  <rv s="1">
    <fb>3.9773999999999998</fb>
    <v>25</v>
  </rv>
  <rv s="1">
    <fb>58856847</fb>
    <v>24</v>
  </rv>
  <rv s="1">
    <fb>0.23</fb>
    <v>23</v>
  </rv>
  <rv s="1">
    <fb>0.26700000000000002</fb>
    <v>23</v>
  </rv>
  <rv s="1">
    <fb>0.42100000000000004</fb>
    <v>23</v>
  </rv>
  <rv s="1">
    <fb>1.9E-2</fb>
    <v>23</v>
  </rv>
  <rv s="1">
    <fb>0.06</fb>
    <v>23</v>
  </rv>
  <rv s="1">
    <fb>0.12</fb>
    <v>23</v>
  </rv>
  <rv s="1">
    <fb>0.16899999999999998</fb>
    <v>23</v>
  </rv>
  <rv s="1">
    <fb>0.495550003051758</fb>
    <v>23</v>
  </rv>
  <rv s="0">
    <v>536870912</v>
    <v>Abruzzo</v>
    <v>6d07734f-0734-da73-bda9-a2e9e44c1042</v>
    <v>en-US</v>
    <v>Map</v>
  </rv>
  <rv s="0">
    <v>536870912</v>
    <v>Basilicata</v>
    <v>c286f639-68f8-3ed2-0119-87142c109b42</v>
    <v>en-US</v>
    <v>Map</v>
  </rv>
  <rv s="0">
    <v>536870912</v>
    <v>Calabria</v>
    <v>87d05176-c03a-c209-fa72-dfafed738418</v>
    <v>en-US</v>
    <v>Map</v>
  </rv>
  <rv s="0">
    <v>536870912</v>
    <v>Campania</v>
    <v>9933ef2b-24f2-a29d-6e4f-fe6bffe78694</v>
    <v>en-US</v>
    <v>Map</v>
  </rv>
  <rv s="0">
    <v>536870912</v>
    <v>Emilia-Romagna</v>
    <v>129d3426-cfe5-9154-2989-f246e1aa5cec</v>
    <v>en-US</v>
    <v>Map</v>
  </rv>
  <rv s="0">
    <v>536870912</v>
    <v>Friuli-Venezia Giulia</v>
    <v>dfe11af7-836d-40cf-b176-995500a2a2fb</v>
    <v>en-US</v>
    <v>Map</v>
  </rv>
  <rv s="0">
    <v>536870912</v>
    <v>Lazio</v>
    <v>e5d48b4e-72f5-da43-7854-da4784df7b51</v>
    <v>en-US</v>
    <v>Map</v>
  </rv>
  <rv s="0">
    <v>536870912</v>
    <v>Liguria</v>
    <v>bc9d0bc0-7501-9ea0-5ffc-8d29df64f153</v>
    <v>en-US</v>
    <v>Map</v>
  </rv>
  <rv s="0">
    <v>536870912</v>
    <v>Lombardy</v>
    <v>4e4d95c0-6e91-acd2-e10c-7165bc365e22</v>
    <v>en-US</v>
    <v>Map</v>
  </rv>
  <rv s="0">
    <v>536870912</v>
    <v>Marche</v>
    <v>262ac8bf-0bbd-ba85-aef3-2130493eaa9b</v>
    <v>en-US</v>
    <v>Map</v>
  </rv>
  <rv s="0">
    <v>536870912</v>
    <v>Molise</v>
    <v>048932e0-ef04-999e-a84f-326f5eaf1b11</v>
    <v>en-US</v>
    <v>Map</v>
  </rv>
  <rv s="0">
    <v>536870912</v>
    <v>Piedmont</v>
    <v>1a1b261b-a6b1-8503-5262-e2f707fe58ce</v>
    <v>en-US</v>
    <v>Map</v>
  </rv>
  <rv s="0">
    <v>536870912</v>
    <v>Apulia</v>
    <v>162619f7-7efb-76cc-0544-2da0306bd7c3</v>
    <v>en-US</v>
    <v>Map</v>
  </rv>
  <rv s="0">
    <v>536870912</v>
    <v>Sardinia</v>
    <v>2ac543b8-3c5f-c1c2-9c26-7153eb61c3d0</v>
    <v>en-US</v>
    <v>Map</v>
  </rv>
  <rv s="0">
    <v>536870912</v>
    <v>Sicily</v>
    <v>610fbc95-e594-a116-6d30-36286446a003</v>
    <v>en-US</v>
    <v>Map</v>
  </rv>
  <rv s="0">
    <v>536870912</v>
    <v>Tuscany</v>
    <v>a8854f08-da35-486d-5bd1-760f4eeb3da0</v>
    <v>en-US</v>
    <v>Map</v>
  </rv>
  <rv s="0">
    <v>536870912</v>
    <v>Trentino-Alto Adige/Südtirol</v>
    <v>b537e28d-6f0c-d8cf-1384-534def0737dd</v>
    <v>en-US</v>
    <v>Map</v>
  </rv>
  <rv s="0">
    <v>536870912</v>
    <v>Umbria</v>
    <v>a75c12d3-c6a9-ea7c-e844-577d1cfe72dd</v>
    <v>en-US</v>
    <v>Map</v>
  </rv>
  <rv s="0">
    <v>536870912</v>
    <v>Aosta Valley</v>
    <v>d9b216c7-5de6-eaf4-2383-5f7fc3075fdb</v>
    <v>en-US</v>
    <v>Map</v>
  </rv>
  <rv s="0">
    <v>536870912</v>
    <v>Veneto</v>
    <v>6809e680-9adc-134d-ebe9-70b79f5adb5f</v>
    <v>en-US</v>
    <v>Map</v>
  </rv>
  <rv s="3">
    <v>2</v>
  </rv>
  <rv s="1">
    <fb>0.24250464933068097</fb>
    <v>23</v>
  </rv>
  <rv s="3">
    <v>3</v>
  </rv>
  <rv s="1">
    <fb>0.59099999999999997</fb>
    <v>23</v>
  </rv>
  <rv s="1">
    <fb>9.8870000839233405E-2</fb>
    <v>31</v>
  </rv>
  <rv s="1">
    <fb>42651966</fb>
    <v>24</v>
  </rv>
  <rv s="5">
    <v>#VALUE!</v>
    <v>en-US</v>
    <v>09e8f885-427b-8850-947d-202e0287b9e8</v>
    <v>536870912</v>
    <v>1</v>
    <v>16</v>
    <v>17</v>
    <v>Italy</v>
    <v>19</v>
    <v>20</v>
    <v>Map</v>
    <v>21</v>
    <v>22</v>
    <v>IT</v>
    <v>1</v>
    <v>2</v>
    <v>3</v>
    <v>4</v>
    <v>5</v>
    <v>6</v>
    <v>7</v>
    <v>8</v>
    <v>9</v>
    <v>EUR</v>
    <v>Italy, officially the Italian Republic, is a country in Southern and Western Europe. It consists of a peninsula that extends into the Mediterranean Sea, with the Alps on its northern land border, as well as nearly 800 islands, notably Sicily and ...</v>
    <v>10</v>
    <v>11</v>
    <v>12</v>
    <v>13</v>
    <v>14</v>
    <v>15</v>
    <v>16</v>
    <v>17</v>
    <v>18</v>
    <v>19</v>
    <v>6</v>
    <v>22</v>
    <v>23</v>
    <v>24</v>
    <v>25</v>
    <v>26</v>
    <v>Italy</v>
    <v>Il Canto degli Italiani</v>
    <v>27</v>
    <v>Repubblica Italiana</v>
    <v>28</v>
    <v>29</v>
    <v>30</v>
    <v>31</v>
    <v>32</v>
    <v>33</v>
    <v>34</v>
    <v>35</v>
    <v>36</v>
    <v>37</v>
    <v>38</v>
    <v>59</v>
    <v>60</v>
    <v>61</v>
    <v>62</v>
    <v>63</v>
    <v>Italy</v>
    <v>64</v>
    <v>mdp/vdpid/118</v>
  </rv>
  <rv s="0">
    <v>536870912</v>
    <v>United Kingdom</v>
    <v>b1a5155a-6bb2-4646-8f7c-3e6b3a53c831</v>
    <v>en-US</v>
    <v>Map</v>
  </rv>
  <rv s="1">
    <fb>0.71714878141404492</fb>
    <v>23</v>
  </rv>
  <rv s="1">
    <fb>242495</fb>
    <v>24</v>
  </rv>
  <rv s="1">
    <fb>148000</fb>
    <v>24</v>
  </rv>
  <rv s="1">
    <fb>11</fb>
    <v>25</v>
  </rv>
  <rv s="1">
    <fb>44</fb>
    <v>26</v>
  </rv>
  <rv s="0">
    <v>536870912</v>
    <v>London</v>
    <v>8e0ba7b6-4225-fa8a-6369-1b5294e602a5</v>
    <v>en-US</v>
    <v>Map</v>
  </rv>
  <rv s="1">
    <fb>379024.78700000001</fb>
    <v>24</v>
  </rv>
  <rv s="1">
    <fb>119.622711300166</fb>
    <v>27</v>
  </rv>
  <rv s="1">
    <fb>1.7381046008651101E-2</fb>
    <v>23</v>
  </rv>
  <rv s="1">
    <fb>5129.5277927901998</fb>
    <v>24</v>
  </rv>
  <rv s="1">
    <fb>1.68</fb>
    <v>25</v>
  </rv>
  <rv s="1">
    <fb>0.130657628239573</fb>
    <v>23</v>
  </rv>
  <rv s="1">
    <fb>80.351771267255202</fb>
    <v>28</v>
  </rv>
  <rv s="1">
    <fb>1.46</fb>
    <v>29</v>
  </rv>
  <rv s="1">
    <fb>2827113184695.5801</fb>
    <v>30</v>
  </rv>
  <rv s="1">
    <fb>1.0115456</fb>
    <v>23</v>
  </rv>
  <rv s="1">
    <fb>0.59995569999999998</fb>
    <v>23</v>
  </rv>
  <rv s="2">
    <v>1</v>
    <v>21</v>
    <v>33</v>
    <v>7</v>
    <v>0</v>
    <v>Image of United Kingdom</v>
  </rv>
  <rv s="1">
    <fb>3.6</fb>
    <v>28</v>
  </rv>
  <rv s="0">
    <v>805306368</v>
    <v>Charles III (Monarch)</v>
    <v>afc6f6a9-5b55-9178-3e6f-2c8b6d16ee9c</v>
    <v>en-US</v>
    <v>Generic</v>
  </rv>
  <rv s="0">
    <v>805306368</v>
    <v>Keir Starmer (Prime minister)</v>
    <v>63a6ef59-71fd-db08-08c6-d47d973d47fb</v>
    <v>en-US</v>
    <v>Generic</v>
  </rv>
  <rv s="3">
    <v>4</v>
  </rv>
  <rv s="4">
    <v>https://www.bing.com/search?q=united+kingdom&amp;form=skydnc</v>
    <v>Learn more on Bing</v>
  </rv>
  <rv s="1">
    <fb>81.256097560975604</fb>
    <v>28</v>
  </rv>
  <rv s="1">
    <fb>1868152970000</fb>
    <v>30</v>
  </rv>
  <rv s="1">
    <fb>7</fb>
    <v>28</v>
  </rv>
  <rv s="1">
    <fb>10.130000000000001</fb>
    <v>29</v>
  </rv>
  <rv s="3">
    <v>5</v>
  </rv>
  <rv s="1">
    <fb>0.14794489889999998</fb>
    <v>23</v>
  </rv>
  <rv s="1">
    <fb>2.8117000000000001</fb>
    <v>25</v>
  </rv>
  <rv s="1">
    <fb>66971411</fb>
    <v>24</v>
  </rv>
  <rv s="1">
    <fb>0.22500000000000001</fb>
    <v>23</v>
  </rv>
  <rv s="1">
    <fb>0.26800000000000002</fb>
    <v>23</v>
  </rv>
  <rv s="1">
    <fb>2.7999999999999997E-2</fb>
    <v>23</v>
  </rv>
  <rv s="1">
    <fb>7.0999999999999994E-2</fb>
    <v>23</v>
  </rv>
  <rv s="1">
    <fb>0.11900000000000001</fb>
    <v>23</v>
  </rv>
  <rv s="1">
    <fb>0.16399999999999998</fb>
    <v>23</v>
  </rv>
  <rv s="1">
    <fb>0.62773998260497998</fb>
    <v>23</v>
  </rv>
  <rv s="0">
    <v>536870912</v>
    <v>England</v>
    <v>280d39e8-7217-6863-6980-a8c20c211c89</v>
    <v>en-US</v>
    <v>Map</v>
  </rv>
  <rv s="0">
    <v>536870912</v>
    <v>Wales</v>
    <v>b51b24e1-6afb-d525-d360-f2eb5bf3410b</v>
    <v>en-US</v>
    <v>Map</v>
  </rv>
  <rv s="0">
    <v>536870912</v>
    <v>Scotland</v>
    <v>a0377d96-1a18-f843-65ad-adcbc4acdc69</v>
    <v>en-US</v>
    <v>Map</v>
  </rv>
  <rv s="0">
    <v>536870912</v>
    <v>Northern Ireland</v>
    <v>e4b8bc44-385c-e87b-bb7d-b32328f53502</v>
    <v>en-US</v>
    <v>Map</v>
  </rv>
  <rv s="3">
    <v>6</v>
  </rv>
  <rv s="1">
    <fb>0.255052921600669</fb>
    <v>23</v>
  </rv>
  <rv s="3">
    <v>7</v>
  </rv>
  <rv s="1">
    <fb>0.30599999999999999</fb>
    <v>23</v>
  </rv>
  <rv s="1">
    <fb>3.8510000705719E-2</fb>
    <v>31</v>
  </rv>
  <rv s="1">
    <fb>55908316</fb>
    <v>24</v>
  </rv>
  <rv s="6">
    <v>#VALUE!</v>
    <v>en-US</v>
    <v>b1a5155a-6bb2-4646-8f7c-3e6b3a53c831</v>
    <v>536870912</v>
    <v>1</v>
    <v>36</v>
    <v>37</v>
    <v>United Kingdom</v>
    <v>19</v>
    <v>20</v>
    <v>Map</v>
    <v>21</v>
    <v>38</v>
    <v>GB</v>
    <v>67</v>
    <v>68</v>
    <v>69</v>
    <v>70</v>
    <v>71</v>
    <v>72</v>
    <v>73</v>
    <v>74</v>
    <v>75</v>
    <v>GBP</v>
    <v>The United Kingdom of Great Britain and Northern Ireland, commonly known as the United Kingdom or Britain, is a country in Northwestern Europe, off the coast of the continental mainland. It comprises England, Scotland, Wales, and Northern ...</v>
    <v>76</v>
    <v>77</v>
    <v>78</v>
    <v>79</v>
    <v>80</v>
    <v>81</v>
    <v>82</v>
    <v>83</v>
    <v>84</v>
    <v>85</v>
    <v>72</v>
    <v>88</v>
    <v>89</v>
    <v>90</v>
    <v>91</v>
    <v>92</v>
    <v>93</v>
    <v>United Kingdom</v>
    <v>God Save the King</v>
    <v>94</v>
    <v>United Kingdom of Great Britain and Northern Ireland</v>
    <v>95</v>
    <v>96</v>
    <v>97</v>
    <v>98</v>
    <v>99</v>
    <v>33</v>
    <v>100</v>
    <v>101</v>
    <v>102</v>
    <v>103</v>
    <v>104</v>
    <v>109</v>
    <v>110</v>
    <v>111</v>
    <v>112</v>
    <v>113</v>
    <v>United Kingdom</v>
    <v>114</v>
    <v>mdp/vdpid/242</v>
  </rv>
  <rv s="0">
    <v>536870912</v>
    <v>France</v>
    <v>c7bfe2de-4f82-e23c-ae42-8544b5b5c0ea</v>
    <v>en-US</v>
    <v>Map</v>
  </rv>
  <rv s="1">
    <fb>0.524475441661716</fb>
    <v>23</v>
  </rv>
  <rv s="1">
    <fb>643801</fb>
    <v>24</v>
  </rv>
  <rv s="1">
    <fb>307000</fb>
    <v>24</v>
  </rv>
  <rv s="1">
    <fb>11.3</fb>
    <v>25</v>
  </rv>
  <rv s="1">
    <fb>33</fb>
    <v>26</v>
  </rv>
  <rv s="0">
    <v>536870912</v>
    <v>Paris</v>
    <v>85584d24-2116-5b98-89f9-5714db931ac6</v>
    <v>en-US</v>
    <v>Map</v>
  </rv>
  <rv s="1">
    <fb>303275.56800000003</fb>
    <v>24</v>
  </rv>
  <rv s="1">
    <fb>110.04856675289</fb>
    <v>27</v>
  </rv>
  <rv s="1">
    <fb>1.1082549228829199E-2</fb>
    <v>23</v>
  </rv>
  <rv s="1">
    <fb>6939.5214736692897</fb>
    <v>24</v>
  </rv>
  <rv s="1">
    <fb>1.88</fb>
    <v>25</v>
  </rv>
  <rv s="1">
    <fb>0.31233278442262596</fb>
    <v>23</v>
  </rv>
  <rv s="1">
    <fb>46.487970872236403</fb>
    <v>28</v>
  </rv>
  <rv s="1">
    <fb>1.39</fb>
    <v>29</v>
  </rv>
  <rv s="1">
    <fb>2715518274227.4502</fb>
    <v>30</v>
  </rv>
  <rv s="1">
    <fb>1.0251076000000001</fb>
    <v>23</v>
  </rv>
  <rv s="1">
    <fb>0.65629000000000004</fb>
    <v>23</v>
  </rv>
  <rv s="2">
    <v>2</v>
    <v>21</v>
    <v>40</v>
    <v>7</v>
    <v>0</v>
    <v>Image of France</v>
  </rv>
  <rv s="1">
    <fb>3.4</fb>
    <v>28</v>
  </rv>
  <rv s="0">
    <v>805306368</v>
    <v>Emmanuel Macron (President)</v>
    <v>35be5a56-7a78-6352-b158-60da8f84c858</v>
    <v>en-US</v>
    <v>Generic</v>
  </rv>
  <rv s="0">
    <v>805306368</v>
    <v>François Bayrou (Prime minister)</v>
    <v>901a2dc7-aad0-c6da-f219-c2d7def8acba</v>
    <v>en-US</v>
    <v>Generic</v>
  </rv>
  <rv s="3">
    <v>8</v>
  </rv>
  <rv s="4">
    <v>https://www.bing.com/search?q=france&amp;form=skydnc</v>
    <v>Learn more on Bing</v>
  </rv>
  <rv s="1">
    <fb>82.526829268292701</fb>
    <v>28</v>
  </rv>
  <rv s="1">
    <fb>2365950236659.3599</fb>
    <v>30</v>
  </rv>
  <rv s="1">
    <fb>8</fb>
    <v>28</v>
  </rv>
  <rv s="1">
    <fb>11.16</fb>
    <v>29</v>
  </rv>
  <rv s="3">
    <v>9</v>
  </rv>
  <rv s="1">
    <fb>6.7968269799999995E-2</fb>
    <v>23</v>
  </rv>
  <rv s="1">
    <fb>3.2671999999999999</fb>
    <v>25</v>
  </rv>
  <rv s="1">
    <fb>67749632</fb>
    <v>24</v>
  </rv>
  <rv s="1">
    <fb>0.21899999999999997</fb>
    <v>23</v>
  </rv>
  <rv s="1">
    <fb>0.25800000000000001</fb>
    <v>23</v>
  </rv>
  <rv s="1">
    <fb>0.4</fb>
    <v>23</v>
  </rv>
  <rv s="1">
    <fb>3.2000000000000001E-2</fb>
    <v>23</v>
  </rv>
  <rv s="1">
    <fb>8.1000000000000003E-2</fb>
    <v>23</v>
  </rv>
  <rv s="1">
    <fb>0.13</fb>
    <v>23</v>
  </rv>
  <rv s="1">
    <fb>0.55125999450683605</fb>
    <v>23</v>
  </rv>
  <rv s="0">
    <v>536870912</v>
    <v>Brittany</v>
    <v>809fb739-638d-2499-95bd-c8e5b10153ee</v>
    <v>en-US</v>
    <v>Map</v>
  </rv>
  <rv s="0">
    <v>536870912</v>
    <v>Centre-Val de Loire</v>
    <v>6aafd8c4-aba3-0388-62a3-d302e77f40c4</v>
    <v>en-US</v>
    <v>Map</v>
  </rv>
  <rv s="0">
    <v>536870912</v>
    <v>Corsica</v>
    <v>7dae6ff4-03ba-2162-da4b-d4cf544ad43f</v>
    <v>en-US</v>
    <v>Map</v>
  </rv>
  <rv s="0">
    <v>536870912</v>
    <v>Île-de-France</v>
    <v>ba200862-fc37-6d22-3434-c6e709faa507</v>
    <v>en-US</v>
    <v>Map</v>
  </rv>
  <rv s="0">
    <v>536870912</v>
    <v>Pays de la Loire</v>
    <v>a6129a88-a4cd-2b75-1a35-f5d0639f17ae</v>
    <v>en-US</v>
    <v>Map</v>
  </rv>
  <rv s="0">
    <v>536870912</v>
    <v>Provence-Alpes-Côte d'Azur</v>
    <v>66cd1ae3-f633-45f9-93bd-73ca67bffb25</v>
    <v>en-US</v>
    <v>Map</v>
  </rv>
  <rv s="0">
    <v>536870912</v>
    <v>Guadeloupe</v>
    <v>56b80aaa-d840-1a73-13ba-70eb9b61a642</v>
    <v>en-US</v>
    <v>Map</v>
  </rv>
  <rv s="0">
    <v>536870912</v>
    <v>French Guiana</v>
    <v>328feb88-20d1-8674-1574-3ce8cc0bc9e9</v>
    <v>en-US</v>
    <v>Map</v>
  </rv>
  <rv s="0">
    <v>536870912</v>
    <v>Martinique</v>
    <v>f245adef-ee09-9352-e265-2a287e5eadbe</v>
    <v>en-US</v>
    <v>Map</v>
  </rv>
  <rv s="0">
    <v>536870912</v>
    <v>Mayotte</v>
    <v>545cc8bc-c211-076d-ee26-d2ff955eb394</v>
    <v>en-US</v>
    <v>Map</v>
  </rv>
  <rv s="0">
    <v>536870912</v>
    <v>Réunion</v>
    <v>7d1fa0b0-e3d7-d903-d64d-489c03fd0a75</v>
    <v>en-US</v>
    <v>Map</v>
  </rv>
  <rv s="0">
    <v>536870912</v>
    <v>French Polynesia</v>
    <v>340e15d5-6b74-8497-bbfa-4c1f323f5483</v>
    <v>en-US</v>
    <v>Map</v>
  </rv>
  <rv s="0">
    <v>536870912</v>
    <v>French Southern and Antarctic Lands</v>
    <v>b9d52319-44ee-bf16-d95f-72397f26ce4a</v>
    <v>en-US</v>
    <v>Map</v>
  </rv>
  <rv s="0">
    <v>536870912</v>
    <v>New Caledonia</v>
    <v>25b2aeab-b390-d01e-1f7f-90be767bd899</v>
    <v>en-US</v>
    <v>Map</v>
  </rv>
  <rv s="0">
    <v>536870912</v>
    <v>Saint Barthélemy</v>
    <v>5c5081a9-306e-4f05-73a2-32b95a4b8600</v>
    <v>en-US</v>
    <v>Map</v>
  </rv>
  <rv s="0">
    <v>536870912</v>
    <v>Collectivity of Saint Martin</v>
    <v>281a8fb2-1b63-4320-5d31-8f0fb46c4f1a</v>
    <v>en-US</v>
    <v>Map</v>
  </rv>
  <rv s="0">
    <v>536870912</v>
    <v>Saint Pierre and Miquelon</v>
    <v>aa096cf4-a54e-cd44-7204-c28310ca40f4</v>
    <v>en-US</v>
    <v>Map</v>
  </rv>
  <rv s="0">
    <v>536870912</v>
    <v>Wallis and Futuna</v>
    <v>db8aa235-58e4-9e3d-8799-6839f3d35025</v>
    <v>en-US</v>
    <v>Map</v>
  </rv>
  <rv s="0">
    <v>536870912</v>
    <v>Grand Est</v>
    <v>e2f60e84-1701-6d84-e960-ba87138e3631</v>
    <v>en-US</v>
    <v>Map</v>
  </rv>
  <rv s="0">
    <v>536870912</v>
    <v>Nouvelle-Aquitaine</v>
    <v>7955f423-af31-d2e0-f045-b14668178865</v>
    <v>en-US</v>
    <v>Map</v>
  </rv>
  <rv s="0">
    <v>536870912</v>
    <v>Auvergne-Rhône-Alpes</v>
    <v>b53940d0-b739-faf5-78d1-93f189f878c9</v>
    <v>en-US</v>
    <v>Map</v>
  </rv>
  <rv s="0">
    <v>536870912</v>
    <v>Bourgogne-Franche-Comté</v>
    <v>4bc8dff1-8d72-5341-f405-63c7be8c6672</v>
    <v>en-US</v>
    <v>Map</v>
  </rv>
  <rv s="0">
    <v>536870912</v>
    <v>Occitania</v>
    <v>5105d172-dc70-689f-09ab-4163a747508a</v>
    <v>en-US</v>
    <v>Map</v>
  </rv>
  <rv s="0">
    <v>536870912</v>
    <v>Hauts-de-France</v>
    <v>4eb2d0b0-8845-48d0-9343-9ba3e7fe81a0</v>
    <v>en-US</v>
    <v>Map</v>
  </rv>
  <rv s="0">
    <v>536870912</v>
    <v>Clipperton Island</v>
    <v>15fb63fc-f501-7360-7d44-f26d1501209e</v>
    <v>en-US</v>
    <v>Map</v>
  </rv>
  <rv s="3">
    <v>10</v>
  </rv>
  <rv s="1">
    <fb>0.24229980509910898</fb>
    <v>23</v>
  </rv>
  <rv s="3">
    <v>11</v>
  </rv>
  <rv s="1">
    <fb>0.60699999999999998</fb>
    <v>23</v>
  </rv>
  <rv s="1">
    <fb>8.4270000457763714E-2</fb>
    <v>31</v>
  </rv>
  <rv s="1">
    <fb>54123364</fb>
    <v>24</v>
  </rv>
  <rv s="6">
    <v>#VALUE!</v>
    <v>en-US</v>
    <v>c7bfe2de-4f82-e23c-ae42-8544b5b5c0ea</v>
    <v>536870912</v>
    <v>1</v>
    <v>43</v>
    <v>37</v>
    <v>France</v>
    <v>19</v>
    <v>20</v>
    <v>Map</v>
    <v>21</v>
    <v>44</v>
    <v>FR</v>
    <v>117</v>
    <v>118</v>
    <v>119</v>
    <v>120</v>
    <v>121</v>
    <v>122</v>
    <v>123</v>
    <v>124</v>
    <v>125</v>
    <v>EUR</v>
    <v>France, officially the French Republic, is a country located primarily in Western Europe. Its overseas regions and territories include French Guiana in South America, Saint Pierre and Miquelon in the North Atlantic, the French West Indies, and ...</v>
    <v>126</v>
    <v>127</v>
    <v>128</v>
    <v>129</v>
    <v>130</v>
    <v>131</v>
    <v>132</v>
    <v>133</v>
    <v>134</v>
    <v>135</v>
    <v>122</v>
    <v>138</v>
    <v>139</v>
    <v>140</v>
    <v>141</v>
    <v>142</v>
    <v>143</v>
    <v>France</v>
    <v>La Marseillaise</v>
    <v>144</v>
    <v>République française</v>
    <v>145</v>
    <v>146</v>
    <v>147</v>
    <v>148</v>
    <v>149</v>
    <v>150</v>
    <v>151</v>
    <v>152</v>
    <v>153</v>
    <v>37</v>
    <v>154</v>
    <v>180</v>
    <v>181</v>
    <v>182</v>
    <v>183</v>
    <v>184</v>
    <v>France</v>
    <v>185</v>
    <v>mdp/vdpid/84</v>
  </rv>
  <rv s="0">
    <v>536870912</v>
    <v>Japan</v>
    <v>130d0438-fafb-cd2d-1a9e-1dd9c5aa87a9</v>
    <v>en-US</v>
    <v>Map</v>
  </rv>
  <rv s="1">
    <fb>0.122640991880623</fb>
    <v>23</v>
  </rv>
  <rv s="1">
    <fb>377972.28</fb>
    <v>24</v>
  </rv>
  <rv s="1">
    <fb>261000</fb>
    <v>24</v>
  </rv>
  <rv s="1">
    <fb>7.4</fb>
    <v>25</v>
  </rv>
  <rv s="1">
    <fb>81</fb>
    <v>26</v>
  </rv>
  <rv s="0">
    <v>536870912</v>
    <v>Tokyo</v>
    <v>cb44a92f-6c6f-99c4-2ae3-51601fdc919a</v>
    <v>en-US</v>
    <v>Map</v>
  </rv>
  <rv s="1">
    <fb>1135886.253</fb>
    <v>24</v>
  </rv>
  <rv s="1">
    <fb>105.482172148839</fb>
    <v>27</v>
  </rv>
  <rv s="1">
    <fb>4.7697368421052103E-3</fb>
    <v>23</v>
  </rv>
  <rv s="1">
    <fb>7819.7146359093604</fb>
    <v>24</v>
  </rv>
  <rv s="1">
    <fb>1.42</fb>
    <v>25</v>
  </rv>
  <rv s="1">
    <fb>0.68456222269653788</fb>
    <v>23</v>
  </rv>
  <rv s="1">
    <fb>93.026455107462894</fb>
    <v>28</v>
  </rv>
  <rv s="1">
    <fb>1.06</fb>
    <v>29</v>
  </rv>
  <rv s="1">
    <fb>5081769542379.7695</fb>
    <v>30</v>
  </rv>
  <rv s="1">
    <fb>0.98799942016601605</fb>
    <v>23</v>
  </rv>
  <rv s="1">
    <fb>0.63237579345703099</fb>
    <v>23</v>
  </rv>
  <rv s="2">
    <v>3</v>
    <v>21</v>
    <v>46</v>
    <v>7</v>
    <v>0</v>
    <v>Image of Japan</v>
  </rv>
  <rv s="1">
    <fb>1.8</fb>
    <v>28</v>
  </rv>
  <rv s="0">
    <v>805306368</v>
    <v>Naruhito (Emperor)</v>
    <v>35e4e13c-2b05-0c5c-8b77-bb62a3da4162</v>
    <v>en-US</v>
    <v>Generic</v>
  </rv>
  <rv s="0">
    <v>805306368</v>
    <v>Shigeru Ishiba (Prime minister)</v>
    <v>dddb9483-d8cc-cc64-0dc3-9b8261eb78ec</v>
    <v>en-US</v>
    <v>Generic</v>
  </rv>
  <rv s="3">
    <v>12</v>
  </rv>
  <rv s="4">
    <v>https://www.bing.com/search?q=japan&amp;form=skydnc</v>
    <v>Learn more on Bing</v>
  </rv>
  <rv s="1">
    <fb>84.210975609756105</fb>
    <v>28</v>
  </rv>
  <rv s="1">
    <fb>6191073290000</fb>
    <v>30</v>
  </rv>
  <rv s="1">
    <fb>5</fb>
    <v>28</v>
  </rv>
  <rv s="1">
    <fb>6.77</fb>
    <v>29</v>
  </rv>
  <rv s="3">
    <v>13</v>
  </rv>
  <rv s="1">
    <fb>0.13097521000000001</fb>
    <v>23</v>
  </rv>
  <rv s="1">
    <fb>2.4115000000000002</fb>
    <v>25</v>
  </rv>
  <rv s="1">
    <fb>125124989</fb>
    <v>24</v>
  </rv>
  <rv s="1">
    <fb>0.217</fb>
    <v>23</v>
  </rv>
  <rv s="1">
    <fb>0.26400000000000001</fb>
    <v>23</v>
  </rv>
  <rv s="1">
    <fb>0.41100000000000003</fb>
    <v>23</v>
  </rv>
  <rv s="1">
    <fb>2.8999999999999998E-2</fb>
    <v>23</v>
  </rv>
  <rv s="1">
    <fb>7.6999999999999999E-2</fb>
    <v>23</v>
  </rv>
  <rv s="1">
    <fb>0.128</fb>
    <v>23</v>
  </rv>
  <rv s="1">
    <fb>0.16600000000000001</fb>
    <v>23</v>
  </rv>
  <rv s="1">
    <fb>0.61726001739502001</fb>
    <v>23</v>
  </rv>
  <rv s="0">
    <v>536870912</v>
    <v>Aichi Prefecture</v>
    <v>404b15c4-d9ae-5896-6d50-b1481f5dd5cd</v>
    <v>en-US</v>
    <v>Map</v>
  </rv>
  <rv s="0">
    <v>536870912</v>
    <v>Akita Prefecture</v>
    <v>23901f9e-0010-b10e-217f-76889688c150</v>
    <v>en-US</v>
    <v>Map</v>
  </rv>
  <rv s="0">
    <v>536870912</v>
    <v>Aomori Prefecture</v>
    <v>bdd4a43f-5a1f-1483-b74b-1c2e2d564a31</v>
    <v>en-US</v>
    <v>Map</v>
  </rv>
  <rv s="0">
    <v>536870912</v>
    <v>Chiba Prefecture</v>
    <v>0d6c59a9-daa8-57c7-3846-568b398d3c41</v>
    <v>en-US</v>
    <v>Map</v>
  </rv>
  <rv s="0">
    <v>536870912</v>
    <v>Fukui Prefecture</v>
    <v>e859104b-0d73-b8bf-c4f4-56888a2281cd</v>
    <v>en-US</v>
    <v>Map</v>
  </rv>
  <rv s="0">
    <v>536870912</v>
    <v>Fukushima Prefecture</v>
    <v>73791ec1-3b90-e21b-3cc7-0e8444934877</v>
    <v>en-US</v>
    <v>Map</v>
  </rv>
  <rv s="0">
    <v>536870912</v>
    <v>Gunma Prefecture</v>
    <v>b64077a0-378d-c23f-b45c-2b3a03cba119</v>
    <v>en-US</v>
    <v>Map</v>
  </rv>
  <rv s="0">
    <v>536870912</v>
    <v>Ibaraki Prefecture</v>
    <v>d16517c8-96b5-094f-f4ce-4aa391d6c7a2</v>
    <v>en-US</v>
    <v>Map</v>
  </rv>
  <rv s="0">
    <v>536870912</v>
    <v>Iwate Prefecture</v>
    <v>02eea5a7-6ae7-8bf6-a17a-c242b4162121</v>
    <v>en-US</v>
    <v>Map</v>
  </rv>
  <rv s="0">
    <v>536870912</v>
    <v>Miyagi Prefecture</v>
    <v>2df5e06d-7fb5-6da7-5d3b-29b4ff80395e</v>
    <v>en-US</v>
    <v>Map</v>
  </rv>
  <rv s="0">
    <v>536870912</v>
    <v>Saitama Prefecture</v>
    <v>03a81bc6-6fd0-fac9-0958-cd81fcf07a35</v>
    <v>en-US</v>
    <v>Map</v>
  </rv>
  <rv s="0">
    <v>536870912</v>
    <v>Tochigi Prefecture</v>
    <v>faae3362-0727-4ec5-6d01-3048e7e1526c</v>
    <v>en-US</v>
    <v>Map</v>
  </rv>
  <rv s="0">
    <v>536870912</v>
    <v>Kanagawa Prefecture</v>
    <v>d5976989-847c-bcca-3cb3-11bfacc55c5d</v>
    <v>en-US</v>
    <v>Map</v>
  </rv>
  <rv s="0">
    <v>536870912</v>
    <v>Niigata Prefecture</v>
    <v>d88c2b16-14cc-3861-9ddc-31ebd94b17d9</v>
    <v>en-US</v>
    <v>Map</v>
  </rv>
  <rv s="0">
    <v>536870912</v>
    <v>Toyama Prefecture</v>
    <v>3fd9a341-4706-cc8a-3953-779219c2cc10</v>
    <v>en-US</v>
    <v>Map</v>
  </rv>
  <rv s="0">
    <v>536870912</v>
    <v>Ishikawa Prefecture</v>
    <v>db2b14c2-e9db-32f7-5d44-025637689af0</v>
    <v>en-US</v>
    <v>Map</v>
  </rv>
  <rv s="0">
    <v>536870912</v>
    <v>Yamagata Prefecture</v>
    <v>74d18529-a623-a2f9-9e38-40891e57c7d8</v>
    <v>en-US</v>
    <v>Map</v>
  </rv>
  <rv s="0">
    <v>536870912</v>
    <v>Yamanashi Prefecture</v>
    <v>3e9e0d88-33e9-a04d-7fd7-a1679da279b5</v>
    <v>en-US</v>
    <v>Map</v>
  </rv>
  <rv s="0">
    <v>536870912</v>
    <v>Nagano Prefecture</v>
    <v>7afcd7d0-3729-6e2f-d60f-ace5cc191bd0</v>
    <v>en-US</v>
    <v>Map</v>
  </rv>
  <rv s="0">
    <v>536870912</v>
    <v>Gifu Prefecture</v>
    <v>2c82ed6b-33c4-4355-bd09-71939ba5ff4a</v>
    <v>en-US</v>
    <v>Map</v>
  </rv>
  <rv s="0">
    <v>536870912</v>
    <v>Shizuoka Prefecture</v>
    <v>ca8ec756-8a3c-20a2-7e11-d24e284b7258</v>
    <v>en-US</v>
    <v>Map</v>
  </rv>
  <rv s="0">
    <v>536870912</v>
    <v>Mie Prefecture</v>
    <v>36b5c190-9782-f717-071c-66ee3f0eab90</v>
    <v>en-US</v>
    <v>Map</v>
  </rv>
  <rv s="0">
    <v>536870912</v>
    <v>Shiga Prefecture</v>
    <v>a778bb7c-b03b-d571-1839-962c4dea2bb2</v>
    <v>en-US</v>
    <v>Map</v>
  </rv>
  <rv s="0">
    <v>536870912</v>
    <v>Kyoto Prefecture</v>
    <v>699d1960-1267-7c97-6c62-e139537430a0</v>
    <v>en-US</v>
    <v>Map</v>
  </rv>
  <rv s="0">
    <v>536870912</v>
    <v>Osaka Prefecture</v>
    <v>a583e9fe-2d16-b004-281e-4c6841471145</v>
    <v>en-US</v>
    <v>Map</v>
  </rv>
  <rv s="0">
    <v>536870912</v>
    <v>Hyōgo Prefecture</v>
    <v>018712db-aec7-3894-1042-cbf5df14fac5</v>
    <v>en-US</v>
    <v>Map</v>
  </rv>
  <rv s="0">
    <v>536870912</v>
    <v>Nara Prefecture</v>
    <v>99c4ba8c-9fb8-efe8-6368-0eb648372fb2</v>
    <v>en-US</v>
    <v>Map</v>
  </rv>
  <rv s="0">
    <v>536870912</v>
    <v>Wakayama Prefecture</v>
    <v>fa064941-15ba-eb91-63a1-7e13f0aaa879</v>
    <v>en-US</v>
    <v>Map</v>
  </rv>
  <rv s="0">
    <v>536870912</v>
    <v>Tottori Prefecture</v>
    <v>5bfbddb8-df0b-1d9c-3772-363d9be5878a</v>
    <v>en-US</v>
    <v>Map</v>
  </rv>
  <rv s="0">
    <v>536870912</v>
    <v>Shimane Prefecture</v>
    <v>580cd2e8-a550-7297-21b8-252fe27c1650</v>
    <v>en-US</v>
    <v>Map</v>
  </rv>
  <rv s="0">
    <v>536870912</v>
    <v>Okayama Prefecture</v>
    <v>e9792cdf-f004-a2bf-db55-28eabec2a7c0</v>
    <v>en-US</v>
    <v>Map</v>
  </rv>
  <rv s="0">
    <v>536870912</v>
    <v>Hiroshima Prefecture</v>
    <v>75de6a1b-763c-40ed-8e98-60dc318775fc</v>
    <v>en-US</v>
    <v>Map</v>
  </rv>
  <rv s="0">
    <v>536870912</v>
    <v>Yamaguchi Prefecture</v>
    <v>8a70f93f-b3cb-6430-8962-9b62c21575f3</v>
    <v>en-US</v>
    <v>Map</v>
  </rv>
  <rv s="0">
    <v>536870912</v>
    <v>Tokushima Prefecture</v>
    <v>90ca77f2-2c01-cf7e-fb1e-58a68f9fc0bf</v>
    <v>en-US</v>
    <v>Map</v>
  </rv>
  <rv s="0">
    <v>536870912</v>
    <v>Kagawa Prefecture</v>
    <v>bdd9ba22-f775-2984-6115-5438af268070</v>
    <v>en-US</v>
    <v>Map</v>
  </rv>
  <rv s="0">
    <v>536870912</v>
    <v>Ehime Prefecture</v>
    <v>0e0b1bbf-5926-d5dc-0e10-24f8c566ca8c</v>
    <v>en-US</v>
    <v>Map</v>
  </rv>
  <rv s="0">
    <v>536870912</v>
    <v>Kōchi Prefecture</v>
    <v>3fcb8073-d695-79de-cd11-91dc78fb0481</v>
    <v>en-US</v>
    <v>Map</v>
  </rv>
  <rv s="0">
    <v>536870912</v>
    <v>Fukuoka Prefecture</v>
    <v>a58bcb0e-97b3-0ac9-f0c0-e119441e5cba</v>
    <v>en-US</v>
    <v>Map</v>
  </rv>
  <rv s="0">
    <v>536870912</v>
    <v>Nagasaki Prefecture</v>
    <v>8caf62a2-006c-dde2-9c4d-e19d90ff2f0e</v>
    <v>en-US</v>
    <v>Map</v>
  </rv>
  <rv s="0">
    <v>536870912</v>
    <v>Kumamoto Prefecture</v>
    <v>52bcf337-792b-3880-8875-847fe25699df</v>
    <v>en-US</v>
    <v>Map</v>
  </rv>
  <rv s="0">
    <v>536870912</v>
    <v>Ōita Prefecture</v>
    <v>c81f03fa-05e5-d708-3db6-3b6d5ed92f67</v>
    <v>en-US</v>
    <v>Map</v>
  </rv>
  <rv s="0">
    <v>536870912</v>
    <v>Miyazaki Prefecture</v>
    <v>3bb91686-f345-53cf-6fb8-97d98890dc7d</v>
    <v>en-US</v>
    <v>Map</v>
  </rv>
  <rv s="0">
    <v>536870912</v>
    <v>Kagoshima Prefecture</v>
    <v>c3e1f2d9-0225-9e77-d77d-952bbf72ceb7</v>
    <v>en-US</v>
    <v>Map</v>
  </rv>
  <rv s="0">
    <v>536870912</v>
    <v>Okinawa Prefecture</v>
    <v>e26094bf-30f4-9d5e-ed21-f166be1cfad3</v>
    <v>en-US</v>
    <v>Map</v>
  </rv>
  <rv s="0">
    <v>536870912</v>
    <v>Saga Prefecture</v>
    <v>171c9320-6b1a-2ebc-2002-85b3d707f979</v>
    <v>en-US</v>
    <v>Map</v>
  </rv>
  <rv s="3">
    <v>14</v>
  </rv>
  <rv s="1">
    <fb>0.11905933830538</fb>
    <v>23</v>
  </rv>
  <rv s="3">
    <v>15</v>
  </rv>
  <rv s="1">
    <fb>0.46700000000000003</fb>
    <v>23</v>
  </rv>
  <rv s="1">
    <fb>2.2909998893737803E-2</fb>
    <v>31</v>
  </rv>
  <rv s="1">
    <fb>115782416</fb>
    <v>24</v>
  </rv>
  <rv s="6">
    <v>#VALUE!</v>
    <v>en-US</v>
    <v>130d0438-fafb-cd2d-1a9e-1dd9c5aa87a9</v>
    <v>536870912</v>
    <v>1</v>
    <v>49</v>
    <v>37</v>
    <v>Japan</v>
    <v>19</v>
    <v>20</v>
    <v>Map</v>
    <v>21</v>
    <v>50</v>
    <v>JP</v>
    <v>188</v>
    <v>189</v>
    <v>190</v>
    <v>191</v>
    <v>192</v>
    <v>193</v>
    <v>194</v>
    <v>195</v>
    <v>196</v>
    <v>JPY</v>
    <v>Japan is an island country in East Asia. Located in the Pacific Ocean off the northeast coast of the Asian mainland, it is bordered on the west by the Sea of Japan and extends from the Sea of Okhotsk in the north to the East China Sea in the ...</v>
    <v>197</v>
    <v>198</v>
    <v>199</v>
    <v>200</v>
    <v>201</v>
    <v>202</v>
    <v>203</v>
    <v>204</v>
    <v>205</v>
    <v>206</v>
    <v>193</v>
    <v>209</v>
    <v>210</v>
    <v>211</v>
    <v>212</v>
    <v>213</v>
    <v>214</v>
    <v>Japan</v>
    <v>Kimigayo</v>
    <v>215</v>
    <v>日本国</v>
    <v>216</v>
    <v>217</v>
    <v>218</v>
    <v>219</v>
    <v>220</v>
    <v>221</v>
    <v>222</v>
    <v>223</v>
    <v>224</v>
    <v>225</v>
    <v>226</v>
    <v>272</v>
    <v>273</v>
    <v>274</v>
    <v>275</v>
    <v>276</v>
    <v>Japan</v>
    <v>277</v>
    <v>mdp/vdpid/122</v>
  </rv>
  <rv s="0">
    <v>536870912</v>
    <v>Portugal</v>
    <v>9e917e65-c588-a0b7-f336-52fc6b5b2052</v>
    <v>en-US</v>
    <v>Map</v>
  </rv>
  <rv s="1">
    <fb>0.39452940398253294</fb>
    <v>23</v>
  </rv>
  <rv s="1">
    <fb>92225</fb>
    <v>24</v>
  </rv>
  <rv s="1">
    <fb>52000</fb>
    <v>24</v>
  </rv>
  <rv s="1">
    <fb>8.5</fb>
    <v>25</v>
  </rv>
  <rv s="1">
    <fb>351</fb>
    <v>26</v>
  </rv>
  <rv s="0">
    <v>536870912</v>
    <v>Lisbon</v>
    <v>9d006cb5-bff4-48b4-9c83-443eaf418b11</v>
    <v>en-US</v>
    <v>Map</v>
  </rv>
  <rv s="1">
    <fb>48741.764000000003</fb>
    <v>24</v>
  </rv>
  <rv s="1">
    <fb>110.624358614714</fb>
    <v>27</v>
  </rv>
  <rv s="1">
    <fb>3.3817841004612497E-3</fb>
    <v>23</v>
  </rv>
  <rv s="1">
    <fb>4662.6007998029399</fb>
    <v>24</v>
  </rv>
  <rv s="1">
    <fb>1.38</fb>
    <v>25</v>
  </rv>
  <rv s="1">
    <fb>0.34611423825368903</fb>
    <v>23</v>
  </rv>
  <rv s="1">
    <fb>77.024122555839</fb>
    <v>28</v>
  </rv>
  <rv s="1">
    <fb>1.54</fb>
    <v>29</v>
  </rv>
  <rv s="1">
    <fb>237686075634.698</fb>
    <v>30</v>
  </rv>
  <rv s="1">
    <fb>1.0618313000000001</fb>
    <v>23</v>
  </rv>
  <rv s="1">
    <fb>0.63935809999999993</fb>
    <v>23</v>
  </rv>
  <rv s="2">
    <v>4</v>
    <v>21</v>
    <v>52</v>
    <v>7</v>
    <v>0</v>
    <v>Image of Portugal</v>
  </rv>
  <rv s="1">
    <fb>3.1</fb>
    <v>28</v>
  </rv>
  <rv s="0">
    <v>805306368</v>
    <v>Marcelo Rebelo de Sousa (President)</v>
    <v>cd15af88-d571-7e9f-0e69-8c7f54821ed3</v>
    <v>en-US</v>
    <v>Generic</v>
  </rv>
  <rv s="0">
    <v>805306368</v>
    <v>Luís Montenegro (Prime minister)</v>
    <v>5c7007c4-e5b4-49ae-8ea1-4431b1a749e8</v>
    <v>en-US</v>
    <v>Generic</v>
  </rv>
  <rv s="0">
    <v>805306368</v>
    <v>José Pedro Aguiar-Branco (Speaker)</v>
    <v>95843627-6eb2-f0c6-fd97-ab9a65bd40b9</v>
    <v>en-US</v>
    <v>Generic</v>
  </rv>
  <rv s="3">
    <v>16</v>
  </rv>
  <rv s="4">
    <v>https://www.bing.com/search?q=portugal&amp;form=skydnc</v>
    <v>Learn more on Bing</v>
  </rv>
  <rv s="1">
    <fb>81.3243902439024</fb>
    <v>28</v>
  </rv>
  <rv s="1">
    <fb>61933604857.411003</fb>
    <v>30</v>
  </rv>
  <rv s="1">
    <fb>3.78</fb>
    <v>29</v>
  </rv>
  <rv s="3">
    <v>17</v>
  </rv>
  <rv s="1">
    <fb>0.27650697260000001</fb>
    <v>23</v>
  </rv>
  <rv s="1">
    <fb>5.1239999999999997</fb>
    <v>25</v>
  </rv>
  <rv s="1">
    <fb>10379007</fb>
    <v>24</v>
  </rv>
  <rv s="1">
    <fb>0.221</fb>
    <v>23</v>
  </rv>
  <rv s="1">
    <fb>0.41600000000000004</fb>
    <v>23</v>
  </rv>
  <rv s="1">
    <fb>2.7000000000000003E-2</fb>
    <v>23</v>
  </rv>
  <rv s="1">
    <fb>7.400000000000001E-2</fb>
    <v>23</v>
  </rv>
  <rv s="1">
    <fb>0.124</fb>
    <v>23</v>
  </rv>
  <rv s="1">
    <fb>0.16500000000000001</fb>
    <v>23</v>
  </rv>
  <rv s="1">
    <fb>0.58811000823974602</fb>
    <v>23</v>
  </rv>
  <rv s="0">
    <v>536870912</v>
    <v>Lisbon District</v>
    <v>9aabe4c9-f2ff-745a-22b7-741589d147d3</v>
    <v>en-US</v>
    <v>Map</v>
  </rv>
  <rv s="0">
    <v>536870912</v>
    <v>Leiria District</v>
    <v>1e45c3ae-38a6-3ec3-3187-2e72c0cad027</v>
    <v>en-US</v>
    <v>Map</v>
  </rv>
  <rv s="0">
    <v>536870912</v>
    <v>Santarém District</v>
    <v>31ed3d3b-1669-48e6-9f45-7dff6e48107b</v>
    <v>en-US</v>
    <v>Map</v>
  </rv>
  <rv s="0">
    <v>536870912</v>
    <v>Setúbal District</v>
    <v>2443fa57-ba7a-ca6f-6988-b7bb998c209d</v>
    <v>en-US</v>
    <v>Map</v>
  </rv>
  <rv s="0">
    <v>536870912</v>
    <v>Beja District</v>
    <v>57132a4f-ab86-49cc-9a10-eea78fe194c6</v>
    <v>en-US</v>
    <v>Map</v>
  </rv>
  <rv s="0">
    <v>536870912</v>
    <v>Faro District</v>
    <v>0f961e40-6a20-4ce7-9c8b-3c9484a39b31</v>
    <v>en-US</v>
    <v>Map</v>
  </rv>
  <rv s="0">
    <v>536870912</v>
    <v>Évora District</v>
    <v>9f2c1154-ba9c-42db-b07d-6ac93b22f847</v>
    <v>en-US</v>
    <v>Map</v>
  </rv>
  <rv s="0">
    <v>536870912</v>
    <v>Portalegre District</v>
    <v>0509a564-38fa-4a46-85bd-79ea9cfb105b</v>
    <v>en-US</v>
    <v>Map</v>
  </rv>
  <rv s="0">
    <v>536870912</v>
    <v>Castelo Branco District</v>
    <v>fb4769a8-e791-44cf-b415-49b116c2d850</v>
    <v>en-US</v>
    <v>Map</v>
  </rv>
  <rv s="0">
    <v>536870912</v>
    <v>Guarda District</v>
    <v>a6ab4e89-16d3-c736-2651-53af26e5c9fb</v>
    <v>en-US</v>
    <v>Map</v>
  </rv>
  <rv s="0">
    <v>536870912</v>
    <v>Coimbra District</v>
    <v>eaabde58-df44-d3f2-fcaf-2eb0b0c892ca</v>
    <v>en-US</v>
    <v>Map</v>
  </rv>
  <rv s="0">
    <v>536870912</v>
    <v>Aveiro District</v>
    <v>2448fddc-7ab4-4061-c990-7ee0e882b83f</v>
    <v>en-US</v>
    <v>Map</v>
  </rv>
  <rv s="0">
    <v>536870912</v>
    <v>Viseu District</v>
    <v>4af2c91e-a2d9-03c8-4bcc-d0e611b7a836</v>
    <v>en-US</v>
    <v>Map</v>
  </rv>
  <rv s="0">
    <v>536870912</v>
    <v>Bragança District</v>
    <v>511e9c5a-156c-4018-b440-d68a04fdd311</v>
    <v>en-US</v>
    <v>Map</v>
  </rv>
  <rv s="0">
    <v>536870912</v>
    <v>Vila Real District</v>
    <v>16491095-1ede-45bc-b4f9-d0b768b902b4</v>
    <v>en-US</v>
    <v>Map</v>
  </rv>
  <rv s="0">
    <v>536870912</v>
    <v>Porto District</v>
    <v>ab024f06-dfa0-f5d5-2ace-323a59e1c03f</v>
    <v>en-US</v>
    <v>Map</v>
  </rv>
  <rv s="0">
    <v>536870912</v>
    <v>Braga District</v>
    <v>bf9b0bf5-80ec-1d9e-e2bb-f15cfff91b3f</v>
    <v>en-US</v>
    <v>Map</v>
  </rv>
  <rv s="0">
    <v>536870912</v>
    <v>Viana do Castelo District</v>
    <v>e82c5675-25b8-35f8-dd22-1d162bbc45bd</v>
    <v>en-US</v>
    <v>Map</v>
  </rv>
  <rv s="0">
    <v>536870912</v>
    <v>Madeira</v>
    <v>fd1c338d-a716-e095-102a-5ac3106ddd68</v>
    <v>en-US</v>
    <v>Map</v>
  </rv>
  <rv s="0">
    <v>536870912</v>
    <v>Azores</v>
    <v>162558d5-afd4-4b00-9d00-54ad16880f8b</v>
    <v>en-US</v>
    <v>Map</v>
  </rv>
  <rv s="3">
    <v>18</v>
  </rv>
  <rv s="1">
    <fb>0.227551770073532</fb>
    <v>23</v>
  </rv>
  <rv s="3">
    <v>19</v>
  </rv>
  <rv s="1">
    <fb>0.39799999999999996</fb>
    <v>23</v>
  </rv>
  <rv s="1">
    <fb>6.33400011062622E-2</fb>
    <v>31</v>
  </rv>
  <rv s="1">
    <fb>6753579</fb>
    <v>24</v>
  </rv>
  <rv s="6">
    <v>#VALUE!</v>
    <v>en-US</v>
    <v>9e917e65-c588-a0b7-f336-52fc6b5b2052</v>
    <v>536870912</v>
    <v>1</v>
    <v>55</v>
    <v>37</v>
    <v>Portugal</v>
    <v>19</v>
    <v>20</v>
    <v>Map</v>
    <v>21</v>
    <v>56</v>
    <v>PT</v>
    <v>280</v>
    <v>281</v>
    <v>282</v>
    <v>283</v>
    <v>284</v>
    <v>285</v>
    <v>286</v>
    <v>287</v>
    <v>288</v>
    <v>EUR</v>
    <v>Portugal, officially the Portuguese Republic, is a country in the Iberian Peninsula in Southwestern Europe. Featuring the westernmost point in continental Europe, Portugal borders Spain to its north and east, with which it shares the longest ...</v>
    <v>289</v>
    <v>290</v>
    <v>291</v>
    <v>292</v>
    <v>293</v>
    <v>294</v>
    <v>295</v>
    <v>296</v>
    <v>297</v>
    <v>298</v>
    <v>285</v>
    <v>302</v>
    <v>303</v>
    <v>304</v>
    <v>305</v>
    <v>142</v>
    <v>306</v>
    <v>Portugal</v>
    <v>A Portuguesa</v>
    <v>307</v>
    <v>Portugalská republika</v>
    <v>308</v>
    <v>309</v>
    <v>310</v>
    <v>311</v>
    <v>32</v>
    <v>312</v>
    <v>313</v>
    <v>314</v>
    <v>315</v>
    <v>316</v>
    <v>317</v>
    <v>338</v>
    <v>339</v>
    <v>340</v>
    <v>341</v>
    <v>342</v>
    <v>Portugal</v>
    <v>343</v>
    <v>mdp/vdpid/193</v>
  </rv>
  <rv s="0">
    <v>536870912</v>
    <v>United States</v>
    <v>5232ed96-85b1-2edb-12c6-63e6c597a1de</v>
    <v>en-US</v>
    <v>Map</v>
  </rv>
  <rv s="1">
    <fb>0.44369067999501505</fb>
    <v>23</v>
  </rv>
  <rv s="1">
    <fb>9826675</fb>
    <v>24</v>
  </rv>
  <rv s="1">
    <fb>1359000</fb>
    <v>24</v>
  </rv>
  <rv s="1">
    <fb>11.6</fb>
    <v>25</v>
  </rv>
  <rv s="1">
    <fb>1</fb>
    <v>26</v>
  </rv>
  <rv s="0">
    <v>536870912</v>
    <v>Washington, D.C.</v>
    <v>216726d1-8987-06d3-5eff-823da05c3d3c</v>
    <v>en-US</v>
    <v>Map</v>
  </rv>
  <rv s="1">
    <fb>5006302.0769999996</fb>
    <v>24</v>
  </rv>
  <rv s="1">
    <fb>117.244195476228</fb>
    <v>27</v>
  </rv>
  <rv s="1">
    <fb>7.4999999999999997E-2</fb>
    <v>23</v>
  </rv>
  <rv s="1">
    <fb>12993.961824772699</fb>
    <v>24</v>
  </rv>
  <rv s="1">
    <fb>1.7295</fb>
    <v>25</v>
  </rv>
  <rv s="1">
    <fb>0.339297856663409</fb>
    <v>23</v>
  </rv>
  <rv s="1">
    <fb>82.427828245269197</fb>
    <v>28</v>
  </rv>
  <rv s="1">
    <fb>0.71</fb>
    <v>29</v>
  </rv>
  <rv s="1">
    <fb>21427700000000</fb>
    <v>30</v>
  </rv>
  <rv s="1">
    <fb>1.0182144</fb>
    <v>23</v>
  </rv>
  <rv s="1">
    <fb>0.88167390000000001</fb>
    <v>23</v>
  </rv>
  <rv s="2">
    <v>5</v>
    <v>21</v>
    <v>58</v>
    <v>7</v>
    <v>0</v>
    <v>Image of United States</v>
  </rv>
  <rv s="1">
    <fb>5.6</fb>
    <v>28</v>
  </rv>
  <rv s="0">
    <v>536870912</v>
    <v>New York City</v>
    <v>60d5dc2b-c915-460b-b722-c9e3485499ca</v>
    <v>en-US</v>
    <v>Map</v>
  </rv>
  <rv s="0">
    <v>805306368</v>
    <v>Donald Trump (President)</v>
    <v>1a466af2-ed23-25bd-794d-1ca925e4681b</v>
    <v>en-US</v>
    <v>Generic</v>
  </rv>
  <rv s="0">
    <v>805306368</v>
    <v>JD Vance (Vice president)</v>
    <v>cf52f4b6-e15c-553b-c991-5fd07410b914</v>
    <v>en-US</v>
    <v>Generic</v>
  </rv>
  <rv s="0">
    <v>805306368</v>
    <v>Mike Johnson (Speaker)</v>
    <v>0cdd8beb-6fa0-b09e-350a-8a9eef364ec7</v>
    <v>en-US</v>
    <v>Generic</v>
  </rv>
  <rv s="0">
    <v>805306368</v>
    <v>John Roberts (Chief justice)</v>
    <v>af7f7f4b-fd5b-867d-e108-4b6ecf118076</v>
    <v>en-US</v>
    <v>Generic</v>
  </rv>
  <rv s="3">
    <v>20</v>
  </rv>
  <rv s="4">
    <v>https://www.bing.com/search?q=united+states&amp;form=skydnc</v>
    <v>Learn more on Bing</v>
  </rv>
  <rv s="1">
    <fb>78.539024390243895</fb>
    <v>28</v>
  </rv>
  <rv s="1">
    <fb>30436313050000</fb>
    <v>30</v>
  </rv>
  <rv s="1">
    <fb>19</fb>
    <v>28</v>
  </rv>
  <rv s="1">
    <fb>7.25</fb>
    <v>29</v>
  </rv>
  <rv s="1">
    <fb>0.1108387988</fb>
    <v>23</v>
  </rv>
  <rv s="1">
    <fb>2.6120000000000001</fb>
    <v>25</v>
  </rv>
  <rv s="1">
    <fb>333287557</fb>
    <v>24</v>
  </rv>
  <rv s="1">
    <fb>0.22600000000000001</fb>
    <v>23</v>
  </rv>
  <rv s="1">
    <fb>0.30499999999999999</fb>
    <v>23</v>
  </rv>
  <rv s="1">
    <fb>0.46799999999999997</fb>
    <v>23</v>
  </rv>
  <rv s="1">
    <fb>1.7000000000000001E-2</fb>
    <v>23</v>
  </rv>
  <rv s="1">
    <fb>5.0999999999999997E-2</fb>
    <v>23</v>
  </rv>
  <rv s="1">
    <fb>0.10300000000000001</fb>
    <v>23</v>
  </rv>
  <rv s="1">
    <fb>0.153</fb>
    <v>23</v>
  </rv>
  <rv s="1">
    <fb>0.62048999786377002</fb>
    <v>23</v>
  </rv>
  <rv s="0">
    <v>536870912</v>
    <v>Alabama</v>
    <v>376f8b06-52f6-4e72-a31d-311a3563e645</v>
    <v>en-US</v>
    <v>Map</v>
  </rv>
  <rv s="0">
    <v>536870912</v>
    <v>Alaska</v>
    <v>31c4c7a1-54e7-4306-ac9b-f1b02e85bda5</v>
    <v>en-US</v>
    <v>Map</v>
  </rv>
  <rv s="0">
    <v>536870912</v>
    <v>Arizona</v>
    <v>bf973f46-5962-4997-a7ba-a05f1aa2a9f9</v>
    <v>en-US</v>
    <v>Map</v>
  </rv>
  <rv s="0">
    <v>536870912</v>
    <v>Arkansas</v>
    <v>b939db72-08f2-4ea6-a16a-a53bf32e6612</v>
    <v>en-US</v>
    <v>Map</v>
  </rv>
  <rv s="0">
    <v>536870912</v>
    <v>California</v>
    <v>3009d91d-d582-4c34-85ba-772ba09e5be1</v>
    <v>en-US</v>
    <v>Map</v>
  </rv>
  <rv s="0">
    <v>536870912</v>
    <v>Colorado</v>
    <v>a070c5c2-b22d-41d8-b869-f20e583c4f80</v>
    <v>en-US</v>
    <v>Map</v>
  </rv>
  <rv s="0">
    <v>536870912</v>
    <v>Connecticut</v>
    <v>b3ca6523-435e-4a3b-8f78-1ad900a52cf8</v>
    <v>en-US</v>
    <v>Map</v>
  </rv>
  <rv s="0">
    <v>536870912</v>
    <v>Delaware</v>
    <v>8ad617cc-3d7a-4b3c-a787-098de959ccc4</v>
    <v>en-US</v>
    <v>Map</v>
  </rv>
  <rv s="0">
    <v>536870912</v>
    <v>Florida</v>
    <v>5fece3f4-e8e8-4159-843e-f725a930ad50</v>
    <v>en-US</v>
    <v>Map</v>
  </rv>
  <rv s="0">
    <v>536870912</v>
    <v>Georgia</v>
    <v>84604bc7-2c47-4f8d-8ea5-b6ac8c018a20</v>
    <v>en-US</v>
    <v>Map</v>
  </rv>
  <rv s="0">
    <v>536870912</v>
    <v>Hawaii</v>
    <v>b6f01eaf-aecf-44f6-b64d-1f6e982365c3</v>
    <v>en-US</v>
    <v>Map</v>
  </rv>
  <rv s="0">
    <v>536870912</v>
    <v>Idaho</v>
    <v>ecd30387-20fa-4523-9045-e2860154b5e9</v>
    <v>en-US</v>
    <v>Map</v>
  </rv>
  <rv s="0">
    <v>536870912</v>
    <v>Illinois</v>
    <v>4131acb8-628a-4241-8920-ca79eab9dade</v>
    <v>en-US</v>
    <v>Map</v>
  </rv>
  <rv s="0">
    <v>536870912</v>
    <v>Indiana</v>
    <v>109f7e5a-efbb-4953-b4b8-cb812ce1ff5d</v>
    <v>en-US</v>
    <v>Map</v>
  </rv>
  <rv s="0">
    <v>536870912</v>
    <v>Iowa</v>
    <v>77850824-b07a-487a-af58-37f9949afc27</v>
    <v>en-US</v>
    <v>Map</v>
  </rv>
  <rv s="0">
    <v>536870912</v>
    <v>Kansas</v>
    <v>6e527b71-bd3e-4bc1-b1c0-59d288b4fd5e</v>
    <v>en-US</v>
    <v>Map</v>
  </rv>
  <rv s="0">
    <v>536870912</v>
    <v>Kentucky</v>
    <v>108dfd18-4626-481a-8dfa-18f64e6eac84</v>
    <v>en-US</v>
    <v>Map</v>
  </rv>
  <rv s="0">
    <v>536870912</v>
    <v>Louisiana</v>
    <v>0ca1e87f-e2f6-43fb-8deb-d22bd09a9cae</v>
    <v>en-US</v>
    <v>Map</v>
  </rv>
  <rv s="0">
    <v>536870912</v>
    <v>Maine</v>
    <v>d62dd683-9cf9-4db9-a497-d810d529592b</v>
    <v>en-US</v>
    <v>Map</v>
  </rv>
  <rv s="0">
    <v>536870912</v>
    <v>Maryland</v>
    <v>4c472f4d-06a8-4d90-8bb8-da4d168c73fe</v>
    <v>en-US</v>
    <v>Map</v>
  </rv>
  <rv s="0">
    <v>536870912</v>
    <v>Massachusetts</v>
    <v>845219d5-3650-4199-b926-964ca27c863c</v>
    <v>en-US</v>
    <v>Map</v>
  </rv>
  <rv s="0">
    <v>536870912</v>
    <v>Michigan</v>
    <v>162411c2-b757-495d-aa81-93942fae2f7e</v>
    <v>en-US</v>
    <v>Map</v>
  </rv>
  <rv s="0">
    <v>536870912</v>
    <v>Minnesota</v>
    <v>77f97f6f-7e93-46e5-b486-6198effe8dea</v>
    <v>en-US</v>
    <v>Map</v>
  </rv>
  <rv s="0">
    <v>536870912</v>
    <v>Mississippi</v>
    <v>6af619ca-217d-49c0-9a86-153fc7fbcd78</v>
    <v>en-US</v>
    <v>Map</v>
  </rv>
  <rv s="0">
    <v>536870912</v>
    <v>Missouri</v>
    <v>6185f8cb-44e1-4da6-9bf0-b75286aeb591</v>
    <v>en-US</v>
    <v>Map</v>
  </rv>
  <rv s="0">
    <v>536870912</v>
    <v>Montana</v>
    <v>447d6cd5-53f6-4c8f-bf6c-9ff228415c3b</v>
    <v>en-US</v>
    <v>Map</v>
  </rv>
  <rv s="0">
    <v>536870912</v>
    <v>Nebraska</v>
    <v>3e64ff5d-6b40-4dbe-91b1-0e554e892496</v>
    <v>en-US</v>
    <v>Map</v>
  </rv>
  <rv s="0">
    <v>536870912</v>
    <v>Nevada</v>
    <v>c2157d7e-617e-4517-80f8-1b08113afc14</v>
    <v>en-US</v>
    <v>Map</v>
  </rv>
  <rv s="0">
    <v>536870912</v>
    <v>New Hampshire</v>
    <v>9ca71997-cc97-46eb-8911-fac32f80b0b1</v>
    <v>en-US</v>
    <v>Map</v>
  </rv>
  <rv s="0">
    <v>536870912</v>
    <v>New Jersey</v>
    <v>05277898-b62b-4878-8632-09d29756a2ff</v>
    <v>en-US</v>
    <v>Map</v>
  </rv>
  <rv s="0">
    <v>536870912</v>
    <v>New Mexico</v>
    <v>a16d3636-4349-41c7-a77e-89e34b26a8ad</v>
    <v>en-US</v>
    <v>Map</v>
  </rv>
  <rv s="0">
    <v>536870912</v>
    <v>New York</v>
    <v>caeb7b9a-f5d7-4686-8fb5-cf7628296b13</v>
    <v>en-US</v>
    <v>Map</v>
  </rv>
  <rv s="0">
    <v>536870912</v>
    <v>North Dakota</v>
    <v>77fbc744-3efe-4aa9-9e8e-f8034f06b941</v>
    <v>en-US</v>
    <v>Map</v>
  </rv>
  <rv s="0">
    <v>536870912</v>
    <v>North Carolina</v>
    <v>9e2bf053-dd80-4646-8f26-65075e7085c0</v>
    <v>en-US</v>
    <v>Map</v>
  </rv>
  <rv s="0">
    <v>536870912</v>
    <v>Ohio</v>
    <v>6f3df7da-1ef6-48e3-b2b3-b5b5fce3e846</v>
    <v>en-US</v>
    <v>Map</v>
  </rv>
  <rv s="0">
    <v>536870912</v>
    <v>Oklahoma</v>
    <v>cbcf556f-952a-4665-bb95-0500b27f9976</v>
    <v>en-US</v>
    <v>Map</v>
  </rv>
  <rv s="0">
    <v>536870912</v>
    <v>Oregon</v>
    <v>cacd36fd-7c62-43e2-a632-64a2a1811933</v>
    <v>en-US</v>
    <v>Map</v>
  </rv>
  <rv s="0">
    <v>536870912</v>
    <v>Pennsylvania</v>
    <v>6304580e-c803-4266-818a-971619176547</v>
    <v>en-US</v>
    <v>Map</v>
  </rv>
  <rv s="0">
    <v>536870912</v>
    <v>Rhode Island</v>
    <v>65a08f52-b469-4f7c-8353-9b3c0b2a5752</v>
    <v>en-US</v>
    <v>Map</v>
  </rv>
  <rv s="0">
    <v>536870912</v>
    <v>South Dakota</v>
    <v>9cee0b65-d357-479e-a066-31c634648f47</v>
    <v>en-US</v>
    <v>Map</v>
  </rv>
  <rv s="0">
    <v>536870912</v>
    <v>South Carolina</v>
    <v>810015e8-b10b-4232-9e2c-de87a67bd26e</v>
    <v>en-US</v>
    <v>Map</v>
  </rv>
  <rv s="0">
    <v>536870912</v>
    <v>Tennessee</v>
    <v>9bbc9c72-1bf1-4ef6-b66d-a6cdef70f4f3</v>
    <v>en-US</v>
    <v>Map</v>
  </rv>
  <rv s="0">
    <v>536870912</v>
    <v>Texas</v>
    <v>00a23ccd-3344-461c-8b9f-c2bb55be5815</v>
    <v>en-US</v>
    <v>Map</v>
  </rv>
  <rv s="0">
    <v>536870912</v>
    <v>Utah</v>
    <v>c6705e44-d27f-4240-95a2-54e802e3b524</v>
    <v>en-US</v>
    <v>Map</v>
  </rv>
  <rv s="0">
    <v>536870912</v>
    <v>Vermont</v>
    <v>221864cc-447e-4e78-847c-59e485d73bff</v>
    <v>en-US</v>
    <v>Map</v>
  </rv>
  <rv s="0">
    <v>536870912</v>
    <v>Virginia</v>
    <v>7eee9976-e8a7-472c-ada1-007208abd678</v>
    <v>en-US</v>
    <v>Map</v>
  </rv>
  <rv s="0">
    <v>536870912</v>
    <v>Washington</v>
    <v>982ad551-fd5d-45df-bd70-bf704dd576e4</v>
    <v>en-US</v>
    <v>Map</v>
  </rv>
  <rv s="0">
    <v>536870912</v>
    <v>West Virginia</v>
    <v>8a47255a-fae3-4faa-aa32-c6f384cb6c1d</v>
    <v>en-US</v>
    <v>Map</v>
  </rv>
  <rv s="0">
    <v>536870912</v>
    <v>Wisconsin</v>
    <v>cb4d2853-06f4-4467-8e7c-4e31cbb35cb2</v>
    <v>en-US</v>
    <v>Map</v>
  </rv>
  <rv s="0">
    <v>536870912</v>
    <v>Wyoming</v>
    <v>bff03ad6-2b7f-400b-a76e-eb9fc4a93961</v>
    <v>en-US</v>
    <v>Map</v>
  </rv>
  <rv s="0">
    <v>536870912</v>
    <v>American Samoa</v>
    <v>12d04d63-b9b5-855b-0821-b32474a729a4</v>
    <v>en-US</v>
    <v>Map</v>
  </rv>
  <rv s="0">
    <v>536870912</v>
    <v>United States Virgin Islands</v>
    <v>38bd827b-bc00-140e-85be-46a96078429c</v>
    <v>en-US</v>
    <v>Map</v>
  </rv>
  <rv s="0">
    <v>536870912</v>
    <v>Guam</v>
    <v>f842c067-b461-3084-6a3b-6c6c7431fc9a</v>
    <v>en-US</v>
    <v>Map</v>
  </rv>
  <rv s="0">
    <v>536870912</v>
    <v>Northern Mariana Islands</v>
    <v>f4475436-adda-9ff0-b5fe-6c3dff0e26be</v>
    <v>en-US</v>
    <v>Map</v>
  </rv>
  <rv s="0">
    <v>536870912</v>
    <v>Puerto Rico</v>
    <v>72752f4d-11d3-5470-b64e-b9e012b0520f</v>
    <v>en-US</v>
    <v>Map</v>
  </rv>
  <rv s="3">
    <v>21</v>
  </rv>
  <rv s="1">
    <fb>9.5866513904898809E-2</fb>
    <v>23</v>
  </rv>
  <rv s="3">
    <v>22</v>
  </rv>
  <rv s="1">
    <fb>0.36599999999999999</fb>
    <v>23</v>
  </rv>
  <rv s="1">
    <fb>0.14699999999999999</fb>
    <v>31</v>
  </rv>
  <rv s="1">
    <fb>270663028</fb>
    <v>24</v>
  </rv>
  <rv s="6">
    <v>#VALUE!</v>
    <v>en-US</v>
    <v>5232ed96-85b1-2edb-12c6-63e6c597a1de</v>
    <v>536870912</v>
    <v>1</v>
    <v>61</v>
    <v>37</v>
    <v>United States</v>
    <v>19</v>
    <v>20</v>
    <v>Map</v>
    <v>21</v>
    <v>62</v>
    <v>US</v>
    <v>346</v>
    <v>347</v>
    <v>348</v>
    <v>349</v>
    <v>350</v>
    <v>351</v>
    <v>352</v>
    <v>353</v>
    <v>354</v>
    <v>USD</v>
    <v>The United States of America, also known as the United States or America, is a country primarily located in North America. It is a federal republic of 50 states and Washington, D.C. as its federal capital district. The 48 contiguous states ...</v>
    <v>355</v>
    <v>356</v>
    <v>357</v>
    <v>358</v>
    <v>359</v>
    <v>360</v>
    <v>361</v>
    <v>362</v>
    <v>363</v>
    <v>364</v>
    <v>365</v>
    <v>370</v>
    <v>371</v>
    <v>372</v>
    <v>373</v>
    <v>374</v>
    <v>375</v>
    <v>United States</v>
    <v>The Star-Spangled Banner</v>
    <v>94</v>
    <v>the United States of America</v>
    <v>376</v>
    <v>377</v>
    <v>378</v>
    <v>379</v>
    <v>380</v>
    <v>381</v>
    <v>382</v>
    <v>383</v>
    <v>384</v>
    <v>385</v>
    <v>386</v>
    <v>442</v>
    <v>443</v>
    <v>444</v>
    <v>445</v>
    <v>446</v>
    <v>United States</v>
    <v>447</v>
    <v>mdp/vdpid/244</v>
  </rv>
  <rv s="0">
    <v>536870912</v>
    <v>Netherlands</v>
    <v>bf5c1a4b-df0b-09dc-dce0-e3fb0c898dd3</v>
    <v>en-US</v>
    <v>Map</v>
  </rv>
  <rv s="1">
    <fb>0.53309587414663095</fb>
    <v>23</v>
  </rv>
  <rv s="1">
    <fb>37378</fb>
    <v>24</v>
  </rv>
  <rv s="1">
    <fb>41000</fb>
    <v>24</v>
  </rv>
  <rv s="1">
    <fb>9.6999999999999993</fb>
    <v>25</v>
  </rv>
  <rv s="1">
    <fb>31</fb>
    <v>26</v>
  </rv>
  <rv s="0">
    <v>536870912</v>
    <v>Amsterdam</v>
    <v>0b840501-8599-9528-5b22-13589caf205a</v>
    <v>en-US</v>
    <v>Map</v>
  </rv>
  <rv s="1">
    <fb>170779.524</fb>
    <v>24</v>
  </rv>
  <rv s="1">
    <fb>115.907994941178</fb>
    <v>27</v>
  </rv>
  <rv s="1">
    <fb>2.6336991024959299E-2</fb>
    <v>23</v>
  </rv>
  <rv s="1">
    <fb>6712.7747582450002</fb>
    <v>24</v>
  </rv>
  <rv s="1">
    <fb>1.59</fb>
    <v>25</v>
  </rv>
  <rv s="1">
    <fb>0.11178391395177099</fb>
    <v>23</v>
  </rv>
  <rv s="1">
    <fb>93.461004609605595</fb>
    <v>28</v>
  </rv>
  <rv s="1">
    <fb>1.68</fb>
    <v>29</v>
  </rv>
  <rv s="1">
    <fb>909070395160.78296</fb>
    <v>30</v>
  </rv>
  <rv s="1">
    <fb>1.0422962</fb>
    <v>23</v>
  </rv>
  <rv s="1">
    <fb>0.84980450000000007</fb>
    <v>23</v>
  </rv>
  <rv s="2">
    <v>6</v>
    <v>21</v>
    <v>64</v>
    <v>7</v>
    <v>0</v>
    <v>Image of Netherlands</v>
  </rv>
  <rv s="1">
    <fb>3.3</fb>
    <v>28</v>
  </rv>
  <rv s="0">
    <v>805306368</v>
    <v>Willem-Alexander of the Netherlands (Monarch)</v>
    <v>70912573-f10f-4d1d-a8f8-220566451e74</v>
    <v>en-US</v>
    <v>Generic</v>
  </rv>
  <rv s="0">
    <v>805306368</v>
    <v>Dick Schoof (Prime minister)</v>
    <v>f233de31-7c15-bae6-4524-fea7e2b4af68</v>
    <v>en-US</v>
    <v>Generic</v>
  </rv>
  <rv s="3">
    <v>23</v>
  </rv>
  <rv s="4">
    <v>https://www.bing.com/search?q=netherlands&amp;form=skydnc</v>
    <v>Learn more on Bing</v>
  </rv>
  <rv s="1">
    <fb>81.760975609756102</fb>
    <v>28</v>
  </rv>
  <rv s="1">
    <fb>1100105440292.49</fb>
    <v>30</v>
  </rv>
  <rv s="1">
    <fb>10.29</fb>
    <v>29</v>
  </rv>
  <rv s="3">
    <v>24</v>
  </rv>
  <rv s="1">
    <fb>0.1225176999</fb>
    <v>23</v>
  </rv>
  <rv s="1">
    <fb>3.6053999999999999</fb>
    <v>25</v>
  </rv>
  <rv s="1">
    <fb>17942942</fb>
    <v>24</v>
  </rv>
  <rv s="1">
    <fb>0.223</fb>
    <v>23</v>
  </rv>
  <rv s="1">
    <fb>0.23300000000000001</fb>
    <v>23</v>
  </rv>
  <rv s="1">
    <fb>0.376</fb>
    <v>23</v>
  </rv>
  <rv s="1">
    <fb>3.5000000000000003E-2</fb>
    <v>23</v>
  </rv>
  <rv s="1">
    <fb>8.8000000000000009E-2</fb>
    <v>23</v>
  </rv>
  <rv s="1">
    <fb>0.13800000000000001</fb>
    <v>23</v>
  </rv>
  <rv s="1">
    <fb>0.17499999999999999</fb>
    <v>23</v>
  </rv>
  <rv s="1">
    <fb>0.63619998931884802</fb>
    <v>23</v>
  </rv>
  <rv s="0">
    <v>536870912</v>
    <v>Groningen</v>
    <v>d523b02d-2f28-981e-9282-8f6cddd23d80</v>
    <v>en-US</v>
    <v>Map</v>
  </rv>
  <rv s="0">
    <v>536870912</v>
    <v>Friesland</v>
    <v>d3c60b92-e27c-cc6a-6ef5-f0937e506af0</v>
    <v>en-US</v>
    <v>Map</v>
  </rv>
  <rv s="0">
    <v>536870912</v>
    <v>Gelderland</v>
    <v>47e59e29-1b92-c09c-0310-bba63a79744b</v>
    <v>en-US</v>
    <v>Map</v>
  </rv>
  <rv s="0">
    <v>536870912</v>
    <v>South Holland</v>
    <v>a189b2b4-4c8d-e909-49ed-1b6f571a33c2</v>
    <v>en-US</v>
    <v>Map</v>
  </rv>
  <rv s="0">
    <v>536870912</v>
    <v>North Holland</v>
    <v>1cbd1d08-fab6-2da6-0edd-41aa626502c2</v>
    <v>en-US</v>
    <v>Map</v>
  </rv>
  <rv s="0">
    <v>536870912</v>
    <v>Overijssel</v>
    <v>c80fa63b-8b0d-7117-09f7-f3b063ba8e8c</v>
    <v>en-US</v>
    <v>Map</v>
  </rv>
  <rv s="0">
    <v>536870912</v>
    <v>North Brabant</v>
    <v>67287e9d-748b-ece4-4770-99ec69c94b1a</v>
    <v>en-US</v>
    <v>Map</v>
  </rv>
  <rv s="0">
    <v>536870912</v>
    <v>Limburg</v>
    <v>ba5627ab-eb52-6b56-c39c-399bd1e23825</v>
    <v>en-US</v>
    <v>Map</v>
  </rv>
  <rv s="0">
    <v>536870912</v>
    <v>Flevoland</v>
    <v>994d48a1-a44d-0664-1089-99ddd4d7e63d</v>
    <v>en-US</v>
    <v>Map</v>
  </rv>
  <rv s="0">
    <v>536870912</v>
    <v>Zeeland</v>
    <v>b07124fd-c9f8-1712-1bd3-030b62afdd3d</v>
    <v>en-US</v>
    <v>Map</v>
  </rv>
  <rv s="0">
    <v>536870912</v>
    <v>Drenthe</v>
    <v>598e815b-602f-15c5-256e-a36860ffc830</v>
    <v>en-US</v>
    <v>Map</v>
  </rv>
  <rv s="0">
    <v>536870912</v>
    <v>Utrecht</v>
    <v>555963f7-e818-0e35-b5c8-1a97c8e78ed7</v>
    <v>en-US</v>
    <v>Map</v>
  </rv>
  <rv s="0">
    <v>536870912</v>
    <v>Bonaire</v>
    <v>07f27f8a-d073-328d-927f-a0db18eedf7c</v>
    <v>en-US</v>
    <v>Map</v>
  </rv>
  <rv s="0">
    <v>536870912</v>
    <v>Sint Eustatius</v>
    <v>bd1174e8-c3f5-aee0-f4bd-67475d9dfe98</v>
    <v>en-US</v>
    <v>Map</v>
  </rv>
  <rv s="3">
    <v>25</v>
  </rv>
  <rv s="1">
    <fb>0.230359193787393</fb>
    <v>23</v>
  </rv>
  <rv s="3">
    <v>26</v>
  </rv>
  <rv s="1">
    <fb>0.41200000000000003</fb>
    <v>23</v>
  </rv>
  <rv s="1">
    <fb>3.1960000991821301E-2</fb>
    <v>31</v>
  </rv>
  <rv s="1">
    <fb>15924729</fb>
    <v>24</v>
  </rv>
  <rv s="6">
    <v>#VALUE!</v>
    <v>en-US</v>
    <v>bf5c1a4b-df0b-09dc-dce0-e3fb0c898dd3</v>
    <v>536870912</v>
    <v>1</v>
    <v>67</v>
    <v>37</v>
    <v>Netherlands</v>
    <v>19</v>
    <v>20</v>
    <v>Map</v>
    <v>21</v>
    <v>68</v>
    <v>NL</v>
    <v>450</v>
    <v>451</v>
    <v>452</v>
    <v>453</v>
    <v>454</v>
    <v>455</v>
    <v>456</v>
    <v>457</v>
    <v>458</v>
    <v>EUR</v>
    <v>The Netherlands, informally Holland, is a country in Northwestern Europe, with overseas territories in the Caribbean. It is the largest of the four constituent countries of the Kingdom of the Netherlands. The Netherlands consists of twelve ...</v>
    <v>459</v>
    <v>460</v>
    <v>461</v>
    <v>462</v>
    <v>463</v>
    <v>464</v>
    <v>465</v>
    <v>466</v>
    <v>467</v>
    <v>468</v>
    <v>455</v>
    <v>471</v>
    <v>472</v>
    <v>473</v>
    <v>474</v>
    <v>213</v>
    <v>475</v>
    <v>Netherlands</v>
    <v>Wilhelmus</v>
    <v>476</v>
    <v>Nederland</v>
    <v>477</v>
    <v>478</v>
    <v>479</v>
    <v>480</v>
    <v>481</v>
    <v>482</v>
    <v>483</v>
    <v>484</v>
    <v>485</v>
    <v>486</v>
    <v>487</v>
    <v>502</v>
    <v>503</v>
    <v>504</v>
    <v>505</v>
    <v>506</v>
    <v>Netherlands</v>
    <v>507</v>
    <v>mdp/vdpid/176</v>
  </rv>
  <rv s="0">
    <v>536870912</v>
    <v>Belgium</v>
    <v>ac5bcc34-e1cd-2e76-9d31-fb1be1159a5e</v>
    <v>en-US</v>
    <v>Map</v>
  </rv>
  <rv s="1">
    <fb>0.44610305443465298</fb>
    <v>23</v>
  </rv>
  <rv s="1">
    <fb>30688</fb>
    <v>24</v>
  </rv>
  <rv s="1">
    <fb>32000</fb>
    <v>24</v>
  </rv>
  <rv s="1">
    <fb>10.3</fb>
    <v>25</v>
  </rv>
  <rv s="1">
    <fb>32</fb>
    <v>26</v>
  </rv>
  <rv s="0">
    <v>536870912</v>
    <v>City of Brussels</v>
    <v>95e13b04-adba-5f35-d2c5-f828990ca1fd</v>
    <v>en-US</v>
    <v>Map</v>
  </rv>
  <rv s="1">
    <fb>96889.474000000002</fb>
    <v>24</v>
  </rv>
  <rv s="1">
    <fb>117.11045718797099</fb>
    <v>27</v>
  </rv>
  <rv s="1">
    <fb>1.43681956996435E-2</fb>
    <v>23</v>
  </rv>
  <rv s="1">
    <fb>7709.1230778824702</fb>
    <v>24</v>
  </rv>
  <rv s="1">
    <fb>1.62</fb>
    <v>25</v>
  </rv>
  <rv s="1">
    <fb>0.22583884638555801</fb>
    <v>23</v>
  </rv>
  <rv s="1">
    <fb>75.870784353682396</fb>
    <v>28</v>
  </rv>
  <rv s="1">
    <fb>1.43</fb>
    <v>29</v>
  </rv>
  <rv s="1">
    <fb>529606710418.03802</fb>
    <v>30</v>
  </rv>
  <rv s="1">
    <fb>1.0390557</fb>
    <v>23</v>
  </rv>
  <rv s="1">
    <fb>0.79661730000000008</fb>
    <v>23</v>
  </rv>
  <rv s="2">
    <v>7</v>
    <v>21</v>
    <v>70</v>
    <v>7</v>
    <v>0</v>
    <v>Image of Belgium</v>
  </rv>
  <rv s="1">
    <fb>2.9</fb>
    <v>28</v>
  </rv>
  <rv s="0">
    <v>536870912</v>
    <v>Brussels</v>
    <v>f77206fd-fe4f-6c8e-5588-1d0651b151ea</v>
    <v>en-US</v>
    <v>Map</v>
  </rv>
  <rv s="0">
    <v>805306368</v>
    <v>Philippe of Belgium (Monarch)</v>
    <v>a665fab7-fb7f-7057-7ae8-bfd895ec6e4d</v>
    <v>en-US</v>
    <v>Generic</v>
  </rv>
  <rv s="0">
    <v>805306368</v>
    <v>Bart De Wever (Prime minister)</v>
    <v>b612ad4e-f70e-98c6-7b14-c49f120304f0</v>
    <v>en-US</v>
    <v>Generic</v>
  </rv>
  <rv s="3">
    <v>27</v>
  </rv>
  <rv s="4">
    <v>https://www.bing.com/search?q=belgium&amp;form=skydnc</v>
    <v>Learn more on Bing</v>
  </rv>
  <rv s="1">
    <fb>81.595121951219497</fb>
    <v>28</v>
  </rv>
  <rv s="1">
    <fb>321093542983.70203</fb>
    <v>30</v>
  </rv>
  <rv s="1">
    <fb>10.31</fb>
    <v>29</v>
  </rv>
  <rv s="3">
    <v>28</v>
  </rv>
  <rv s="1">
    <fb>0.17567192210000002</fb>
    <v>23</v>
  </rv>
  <rv s="1">
    <fb>3.0709</fb>
    <v>25</v>
  </rv>
  <rv s="1">
    <fb>11669446</fb>
    <v>24</v>
  </rv>
  <rv s="1">
    <fb>0.22699999999999998</fb>
    <v>23</v>
  </rv>
  <rv s="1">
    <fb>0.36299999999999999</fb>
    <v>23</v>
  </rv>
  <rv s="1">
    <fb>3.3000000000000002E-2</fb>
    <v>23</v>
  </rv>
  <rv s="1">
    <fb>8.6999999999999994E-2</fb>
    <v>23</v>
  </rv>
  <rv s="1">
    <fb>0.14199999999999999</fb>
    <v>23</v>
  </rv>
  <rv s="1">
    <fb>0.18100000000000002</fb>
    <v>23</v>
  </rv>
  <rv s="1">
    <fb>0.53562000274658206</fb>
    <v>23</v>
  </rv>
  <rv s="0">
    <v>536870912</v>
    <v>Flemish Region</v>
    <v>f250b992-acb5-d7d5-db4f-47fb684176fd</v>
    <v>en-US</v>
    <v>Map</v>
  </rv>
  <rv s="0">
    <v>536870912</v>
    <v>Wallonia</v>
    <v>077dc74d-75df-1a0d-c05f-5dc9a9747925</v>
    <v>en-US</v>
    <v>Map</v>
  </rv>
  <rv s="3">
    <v>29</v>
  </rv>
  <rv s="1">
    <fb>0.23994106172459101</fb>
    <v>23</v>
  </rv>
  <rv s="3">
    <v>30</v>
  </rv>
  <rv s="1">
    <fb>0.55399999999999994</fb>
    <v>23</v>
  </rv>
  <rv s="1">
    <fb>5.5890002250671394E-2</fb>
    <v>31</v>
  </rv>
  <rv s="1">
    <fb>11259082</fb>
    <v>24</v>
  </rv>
  <rv s="6">
    <v>#VALUE!</v>
    <v>en-US</v>
    <v>ac5bcc34-e1cd-2e76-9d31-fb1be1159a5e</v>
    <v>536870912</v>
    <v>1</v>
    <v>73</v>
    <v>37</v>
    <v>Belgium</v>
    <v>19</v>
    <v>20</v>
    <v>Map</v>
    <v>21</v>
    <v>56</v>
    <v>BE</v>
    <v>510</v>
    <v>511</v>
    <v>512</v>
    <v>513</v>
    <v>514</v>
    <v>515</v>
    <v>516</v>
    <v>517</v>
    <v>518</v>
    <v>EUR</v>
    <v>Belgium, officially the Kingdom of Belgium, is a country in Northwestern Europe. Situated in a coastal lowland region known as the Low Countries, it is bordered by the Netherlands to the north, Germany to the east, Luxembourg to the southeast, ...</v>
    <v>519</v>
    <v>520</v>
    <v>521</v>
    <v>522</v>
    <v>523</v>
    <v>524</v>
    <v>525</v>
    <v>526</v>
    <v>527</v>
    <v>528</v>
    <v>529</v>
    <v>532</v>
    <v>533</v>
    <v>534</v>
    <v>535</v>
    <v>213</v>
    <v>536</v>
    <v>Belgium</v>
    <v>La Brabançonne</v>
    <v>537</v>
    <v>Königreich Belgien</v>
    <v>538</v>
    <v>539</v>
    <v>540</v>
    <v>541</v>
    <v>148</v>
    <v>542</v>
    <v>543</v>
    <v>544</v>
    <v>545</v>
    <v>546</v>
    <v>547</v>
    <v>550</v>
    <v>551</v>
    <v>552</v>
    <v>553</v>
    <v>554</v>
    <v>Belgium</v>
    <v>555</v>
    <v>mdp/vdpid/21</v>
  </rv>
  <rv s="0">
    <v>536870912</v>
    <v>Norway</v>
    <v>51b69cb2-1924-e989-590b-712a7070a30f</v>
    <v>en-US</v>
    <v>Map</v>
  </rv>
  <rv s="1">
    <fb>2.6940783293922001E-2</fb>
    <v>23</v>
  </rv>
  <rv s="1">
    <fb>385207</fb>
    <v>24</v>
  </rv>
  <rv s="1">
    <fb>23000</fb>
    <v>24</v>
  </rv>
  <rv s="1">
    <fb>10.4</fb>
    <v>25</v>
  </rv>
  <rv s="1">
    <fb>47</fb>
    <v>26</v>
  </rv>
  <rv s="0">
    <v>536870912</v>
    <v>Oslo</v>
    <v>962ca6d0-04b2-b258-d6d5-ec31f6cc1d83</v>
    <v>en-US</v>
    <v>Map</v>
  </rv>
  <rv s="1">
    <fb>41022.728999999999</fb>
    <v>24</v>
  </rv>
  <rv s="1">
    <fb>120.269658854402</fb>
    <v>27</v>
  </rv>
  <rv s="1">
    <fb>2.1677300330540498E-2</fb>
    <v>23</v>
  </rv>
  <rv s="1">
    <fb>22999.934595128299</fb>
    <v>24</v>
  </rv>
  <rv s="1">
    <fb>1.56</fb>
    <v>25</v>
  </rv>
  <rv s="1">
    <fb>0.331778599014523</fb>
    <v>23</v>
  </rv>
  <rv s="1">
    <fb>56.951628649981103</fb>
    <v>28</v>
  </rv>
  <rv s="1">
    <fb>1.78</fb>
    <v>29</v>
  </rv>
  <rv s="1">
    <fb>403336363636.36401</fb>
    <v>30</v>
  </rv>
  <rv s="1">
    <fb>1.0026021000000001</fb>
    <v>23</v>
  </rv>
  <rv s="1">
    <fb>0.81992350000000003</fb>
    <v>23</v>
  </rv>
  <rv s="2">
    <v>8</v>
    <v>21</v>
    <v>75</v>
    <v>7</v>
    <v>0</v>
    <v>Image of Norway</v>
  </rv>
  <rv s="1">
    <fb>2.1</fb>
    <v>28</v>
  </rv>
  <rv s="0">
    <v>805306368</v>
    <v>Harald V (Monarch)</v>
    <v>d501cea3-4c13-36b0-0641-e2d6452188bc</v>
    <v>en-US</v>
    <v>Generic</v>
  </rv>
  <rv s="0">
    <v>805306368</v>
    <v>Jonas Gahr Støre (Prime minister)</v>
    <v>22a97b4b-1d69-8ed3-e2ba-75ec00cac6ad</v>
    <v>en-US</v>
    <v>Generic</v>
  </rv>
  <rv s="0">
    <v>805306368</v>
    <v>Toril Marie Øie (Chief justice)</v>
    <v>ef71223b-60e9-6b7e-eed9-1343c144235c</v>
    <v>en-US</v>
    <v>Generic</v>
  </rv>
  <rv s="3">
    <v>31</v>
  </rv>
  <rv s="4">
    <v>https://www.bing.com/search?q=norway&amp;form=skydnc</v>
    <v>Learn more on Bing</v>
  </rv>
  <rv s="1">
    <fb>82.758536585365903</fb>
    <v>28</v>
  </rv>
  <rv s="1">
    <fb>295548630000</fb>
    <v>30</v>
  </rv>
  <rv s="3">
    <v>32</v>
  </rv>
  <rv s="1">
    <fb>0.14272576140000001</fb>
    <v>23</v>
  </rv>
  <rv s="1">
    <fb>2.9163999999999999</fb>
    <v>25</v>
  </rv>
  <rv s="1">
    <fb>5457127</fb>
    <v>24</v>
  </rv>
  <rv s="1">
    <fb>0.22800000000000001</fb>
    <v>23</v>
  </rv>
  <rv s="1">
    <fb>0.21600000000000003</fb>
    <v>23</v>
  </rv>
  <rv s="1">
    <fb>0.36</fb>
    <v>23</v>
  </rv>
  <rv s="1">
    <fb>8.900000000000001E-2</fb>
    <v>23</v>
  </rv>
  <rv s="1">
    <fb>0.14300000000000002</fb>
    <v>23</v>
  </rv>
  <rv s="1">
    <fb>0.18</fb>
    <v>23</v>
  </rv>
  <rv s="1">
    <fb>0.63804000854492204</fb>
    <v>23</v>
  </rv>
  <rv s="0">
    <v>536870912</v>
    <v>Akershus</v>
    <v>5be911ff-2030-92a4-37f2-690abaa42056</v>
    <v>en-US</v>
    <v>Map</v>
  </rv>
  <rv s="0">
    <v>536870912</v>
    <v>Østfold</v>
    <v>61a32360-8194-db60-82a1-1e0c5086e63a</v>
    <v>en-US</v>
    <v>Map</v>
  </rv>
  <rv s="0">
    <v>536870912</v>
    <v>Vestfold</v>
    <v>5e401c8e-2c02-1ce2-5adb-d8b619814f47</v>
    <v>en-US</v>
    <v>Map</v>
  </rv>
  <rv s="0">
    <v>536870912</v>
    <v>Telemark</v>
    <v>85c1e229-f4df-f952-b782-45dc389f825e</v>
    <v>en-US</v>
    <v>Map</v>
  </rv>
  <rv s="0">
    <v>536870912</v>
    <v>Buskerud</v>
    <v>076bb117-59ff-07f7-e641-39689d26f94a</v>
    <v>en-US</v>
    <v>Map</v>
  </rv>
  <rv s="0">
    <v>536870912</v>
    <v>Rogaland</v>
    <v>986d3e77-c553-606b-9d2f-776a1c989ba2</v>
    <v>en-US</v>
    <v>Map</v>
  </rv>
  <rv s="0">
    <v>536870912</v>
    <v>Møre og Romsdal</v>
    <v>701c8996-b876-44d1-7f9c-2b299bcf08c6</v>
    <v>en-US</v>
    <v>Map</v>
  </rv>
  <rv s="0">
    <v>536870912</v>
    <v>Nordland</v>
    <v>35304f96-e4b8-aa47-fc00-57db63d0c883</v>
    <v>en-US</v>
    <v>Map</v>
  </rv>
  <rv s="0">
    <v>536870912</v>
    <v>Troms</v>
    <v>7ac3993c-4024-2260-60bb-061627473b63</v>
    <v>en-US</v>
    <v>Map</v>
  </rv>
  <rv s="0">
    <v>536870912</v>
    <v>Finnmark</v>
    <v>1cfcd8b0-45c9-4672-8d35-bc11dabfcfd7</v>
    <v>en-US</v>
    <v>Map</v>
  </rv>
  <rv s="0">
    <v>536870912</v>
    <v>Svalbard</v>
    <v>e0bdceb6-73d9-342d-a32c-dfba0b579752</v>
    <v>en-US</v>
    <v>Map</v>
  </rv>
  <rv s="0">
    <v>536870912</v>
    <v>Jan Mayen</v>
    <v>f56eb1ba-33b5-1e64-ae2b-258d8244ad2c</v>
    <v>en-US</v>
    <v>Map</v>
  </rv>
  <rv s="0">
    <v>536870912</v>
    <v>Bouvet Island</v>
    <v>0df9c34a-d3f0-c09f-d594-0d17e4ce27da</v>
    <v>en-US</v>
    <v>Map</v>
  </rv>
  <rv s="3">
    <v>33</v>
  </rv>
  <rv s="1">
    <fb>0.238617503950879</fb>
    <v>23</v>
  </rv>
  <rv s="1">
    <fb>0.36200000000000004</fb>
    <v>23</v>
  </rv>
  <rv s="1">
    <fb>3.3459999561309801E-2</fb>
    <v>31</v>
  </rv>
  <rv s="1">
    <fb>4418218</fb>
    <v>24</v>
  </rv>
  <rv s="5">
    <v>#VALUE!</v>
    <v>en-US</v>
    <v>51b69cb2-1924-e989-590b-712a7070a30f</v>
    <v>536870912</v>
    <v>1</v>
    <v>78</v>
    <v>17</v>
    <v>Norway</v>
    <v>19</v>
    <v>20</v>
    <v>Map</v>
    <v>21</v>
    <v>79</v>
    <v>NO</v>
    <v>558</v>
    <v>559</v>
    <v>560</v>
    <v>561</v>
    <v>562</v>
    <v>563</v>
    <v>564</v>
    <v>565</v>
    <v>566</v>
    <v>NOK</v>
    <v>Norway, officially the Kingdom of Norway, is a Nordic country located on the Scandinavian Peninsula in Northern Europe. The remote Arctic island of Jan Mayen and the archipelago of Svalbard also form part of the Kingdom of Norway. Bouvet Island, ...</v>
    <v>567</v>
    <v>568</v>
    <v>569</v>
    <v>570</v>
    <v>571</v>
    <v>572</v>
    <v>573</v>
    <v>574</v>
    <v>575</v>
    <v>576</v>
    <v>563</v>
    <v>580</v>
    <v>581</v>
    <v>582</v>
    <v>583</v>
    <v>26</v>
    <v>Norway</v>
    <v>Ja, vi elsker dette landet</v>
    <v>584</v>
    <v>Kongeriket Norge</v>
    <v>585</v>
    <v>586</v>
    <v>587</v>
    <v>588</v>
    <v>589</v>
    <v>590</v>
    <v>543</v>
    <v>591</v>
    <v>592</v>
    <v>593</v>
    <v>594</v>
    <v>608</v>
    <v>609</v>
    <v>182</v>
    <v>610</v>
    <v>611</v>
    <v>Norway</v>
    <v>612</v>
    <v>mdp/vdpid/177</v>
  </rv>
  <rv s="0">
    <v>536870912</v>
    <v>Australia</v>
    <v>06de2191-243d-a83f-6990-2eb1c7f3382a</v>
    <v>en-US</v>
    <v>Map</v>
  </rv>
  <rv s="1">
    <fb>0.48241944248714902</fb>
    <v>23</v>
  </rv>
  <rv s="1">
    <fb>7692024</fb>
    <v>24</v>
  </rv>
  <rv s="1">
    <fb>58000</fb>
    <v>24</v>
  </rv>
  <rv s="1">
    <fb>12.6</fb>
    <v>25</v>
  </rv>
  <rv s="1">
    <fb>61</fb>
    <v>26</v>
  </rv>
  <rv s="0">
    <v>536870912</v>
    <v>Canberra</v>
    <v>59ab58e3-2f00-9175-e7b8-76d910040855</v>
    <v>en-US</v>
    <v>Map</v>
  </rv>
  <rv s="1">
    <fb>375907.837</fb>
    <v>24</v>
  </rv>
  <rv s="1">
    <fb>119.797086368366</fb>
    <v>27</v>
  </rv>
  <rv s="1">
    <fb>1.61076787290379E-2</fb>
    <v>23</v>
  </rv>
  <rv s="1">
    <fb>10071.3989785006</fb>
    <v>24</v>
  </rv>
  <rv s="1">
    <fb>1.74</fb>
    <v>25</v>
  </rv>
  <rv s="1">
    <fb>0.16258278059599401</fb>
    <v>23</v>
  </rv>
  <rv s="1">
    <fb>89.625630110237395</fb>
    <v>28</v>
  </rv>
  <rv s="1">
    <fb>0.93</fb>
    <v>29</v>
  </rv>
  <rv s="1">
    <fb>1392680589329.1399</fb>
    <v>30</v>
  </rv>
  <rv s="1">
    <fb>1.0033898000000001</fb>
    <v>23</v>
  </rv>
  <rv s="1">
    <fb>1.1314216000000001</fb>
    <v>23</v>
  </rv>
  <rv s="2">
    <v>9</v>
    <v>21</v>
    <v>81</v>
    <v>7</v>
    <v>0</v>
    <v>Image of Australia</v>
  </rv>
  <rv s="0">
    <v>536870912</v>
    <v>Sydney</v>
    <v>3ecec2e8-2993-42e7-7299-f693bbe3b9b9</v>
    <v>en-US</v>
    <v>Map</v>
  </rv>
  <rv s="0">
    <v>805306368</v>
    <v>Anthony Albanese (Prime minister)</v>
    <v>00f8b947-2f64-9828-df4d-5993583bdbe4</v>
    <v>en-US</v>
    <v>Generic</v>
  </rv>
  <rv s="3">
    <v>34</v>
  </rv>
  <rv s="4">
    <v>https://www.bing.com/search?q=australia&amp;form=skydnc</v>
    <v>Learn more on Bing</v>
  </rv>
  <rv s="1">
    <fb>82.748780487804893</fb>
    <v>28</v>
  </rv>
  <rv s="1">
    <fb>1487598500000</fb>
    <v>30</v>
  </rv>
  <rv s="1">
    <fb>6</fb>
    <v>28</v>
  </rv>
  <rv s="1">
    <fb>13.59</fb>
    <v>29</v>
  </rv>
  <rv s="3">
    <v>35</v>
  </rv>
  <rv s="1">
    <fb>0.19558295019999999</fb>
    <v>23</v>
  </rv>
  <rv s="1">
    <fb>3.6778</fb>
    <v>25</v>
  </rv>
  <rv s="1">
    <fb>25978935</fb>
    <v>24</v>
  </rv>
  <rv s="1">
    <fb>0.27</fb>
    <v>23</v>
  </rv>
  <rv s="1">
    <fb>0.122</fb>
    <v>23</v>
  </rv>
  <rv s="1">
    <fb>0.161</fb>
    <v>23</v>
  </rv>
  <rv s="1">
    <fb>0.65517997741699208</fb>
    <v>23</v>
  </rv>
  <rv s="0">
    <v>536870912</v>
    <v>Australian Capital Territory</v>
    <v>c296eb2e-2c1a-16bf-bc37-164541ce7365</v>
    <v>en-US</v>
    <v>Map</v>
  </rv>
  <rv s="0">
    <v>536870912</v>
    <v>New South Wales</v>
    <v>9143b1e4-782f-52c3-0f4a-cea5eaf6f36a</v>
    <v>en-US</v>
    <v>Map</v>
  </rv>
  <rv s="0">
    <v>536870912</v>
    <v>Northern Territory</v>
    <v>20947ace-4dd4-0516-21df-2af8da517b06</v>
    <v>en-US</v>
    <v>Map</v>
  </rv>
  <rv s="0">
    <v>536870912</v>
    <v>Queensland</v>
    <v>d8d1c6ea-bc68-82f2-5bb3-ae7aa11442b4</v>
    <v>en-US</v>
    <v>Map</v>
  </rv>
  <rv s="0">
    <v>536870912</v>
    <v>South Australia</v>
    <v>202994ba-49c2-98c5-91fa-e0b05ffcf2da</v>
    <v>en-US</v>
    <v>Map</v>
  </rv>
  <rv s="0">
    <v>536870912</v>
    <v>Tasmania</v>
    <v>8327961c-5e1c-9007-38cc-b90bc76e7bc3</v>
    <v>en-US</v>
    <v>Map</v>
  </rv>
  <rv s="0">
    <v>536870912</v>
    <v>Victoria</v>
    <v>afad25fd-4cbc-2e30-7764-19bd8a1cb1bc</v>
    <v>en-US</v>
    <v>Map</v>
  </rv>
  <rv s="0">
    <v>536870912</v>
    <v>Western Australia</v>
    <v>bf87c7cd-72cb-99af-809b-eb7577149dcd</v>
    <v>en-US</v>
    <v>Map</v>
  </rv>
  <rv s="0">
    <v>536870912</v>
    <v>Christmas Island</v>
    <v>66788ba9-2bf3-1a5c-abea-c2feb1989f85</v>
    <v>en-US</v>
    <v>Map</v>
  </rv>
  <rv s="0">
    <v>536870912</v>
    <v>Ashmore and Cartier Islands</v>
    <v>0cf3b96d-0c52-2057-50e3-f4d0baacc740</v>
    <v>en-US</v>
    <v>Map</v>
  </rv>
  <rv s="0">
    <v>536870912</v>
    <v>Cocos (Keeling) Islands</v>
    <v>02bce610-1981-8169-049c-5f416771ad7e</v>
    <v>en-US</v>
    <v>Map</v>
  </rv>
  <rv s="0">
    <v>536870912</v>
    <v>Coral Sea Islands</v>
    <v>12fcab3d-6815-b0bc-3cf7-b1396ef5cd47</v>
    <v>en-US</v>
    <v>Map</v>
  </rv>
  <rv s="0">
    <v>536870912</v>
    <v>Heard Island and McDonald Islands</v>
    <v>fb1ed011-1cc6-3fa2-760a-a9290a0bfc5d</v>
    <v>en-US</v>
    <v>Map</v>
  </rv>
  <rv s="0">
    <v>536870912</v>
    <v>Jervis Bay Territory</v>
    <v>e59341af-b7a6-b4f4-6a5d-590c58c94b7c</v>
    <v>en-US</v>
    <v>Map</v>
  </rv>
  <rv s="0">
    <v>536870912</v>
    <v>Norfolk Island</v>
    <v>edf78bdd-d272-9969-118f-522fd065d490</v>
    <v>en-US</v>
    <v>Map</v>
  </rv>
  <rv s="3">
    <v>36</v>
  </rv>
  <rv s="1">
    <fb>0.22985815296127299</fb>
    <v>23</v>
  </rv>
  <rv s="3">
    <v>37</v>
  </rv>
  <rv s="1">
    <fb>0.47399999999999998</fb>
    <v>23</v>
  </rv>
  <rv s="1">
    <fb>5.2680001258850098E-2</fb>
    <v>31</v>
  </rv>
  <rv s="1">
    <fb>21844756</fb>
    <v>24</v>
  </rv>
  <rv s="6">
    <v>#VALUE!</v>
    <v>en-US</v>
    <v>06de2191-243d-a83f-6990-2eb1c7f3382a</v>
    <v>536870912</v>
    <v>1</v>
    <v>84</v>
    <v>37</v>
    <v>Australia</v>
    <v>19</v>
    <v>20</v>
    <v>Map</v>
    <v>21</v>
    <v>85</v>
    <v>AU</v>
    <v>615</v>
    <v>616</v>
    <v>617</v>
    <v>618</v>
    <v>619</v>
    <v>620</v>
    <v>621</v>
    <v>622</v>
    <v>623</v>
    <v>AUD</v>
    <v>Australia, officially the Commonwealth of Australia, is a country comprising the mainland of the Australian continent, the island of Tasmania and numerous smaller islands. It has a total area of 7,688,287 km², making it the sixth-largest country ...</v>
    <v>624</v>
    <v>625</v>
    <v>626</v>
    <v>627</v>
    <v>628</v>
    <v>629</v>
    <v>630</v>
    <v>631</v>
    <v>632</v>
    <v>298</v>
    <v>633</v>
    <v>635</v>
    <v>636</v>
    <v>637</v>
    <v>638</v>
    <v>639</v>
    <v>640</v>
    <v>Australia</v>
    <v>Advance Australia Fair</v>
    <v>641</v>
    <v>Commonwealth of Australia</v>
    <v>642</v>
    <v>643</v>
    <v>644</v>
    <v>311</v>
    <v>645</v>
    <v>33</v>
    <v>100</v>
    <v>314</v>
    <v>646</v>
    <v>647</v>
    <v>648</v>
    <v>664</v>
    <v>665</v>
    <v>666</v>
    <v>667</v>
    <v>668</v>
    <v>Australia</v>
    <v>669</v>
    <v>mdp/vdpid/12</v>
  </rv>
  <rv s="0">
    <v>536870912</v>
    <v>Spain</v>
    <v>1baf9d59-f443-e9f4-6e49-de048a073e3f</v>
    <v>en-US</v>
    <v>Map</v>
  </rv>
  <rv s="1">
    <fb>0.52577247440306896</fb>
    <v>23</v>
  </rv>
  <rv s="1">
    <fb>505990</fb>
    <v>24</v>
  </rv>
  <rv s="1">
    <fb>196000</fb>
    <v>24</v>
  </rv>
  <rv s="1">
    <fb>7.9</fb>
    <v>25</v>
  </rv>
  <rv s="1">
    <fb>34</fb>
    <v>26</v>
  </rv>
  <rv s="0">
    <v>536870912</v>
    <v>Madrid</v>
    <v>a497c067-c4c6-4bf4-9a5d-34fd30589bda</v>
    <v>en-US</v>
    <v>Map</v>
  </rv>
  <rv s="1">
    <fb>244002.18</fb>
    <v>24</v>
  </rv>
  <rv s="1">
    <fb>110.96151904206</fb>
    <v>27</v>
  </rv>
  <rv s="1">
    <fb>6.9953624171701497E-3</fb>
    <v>23</v>
  </rv>
  <rv s="1">
    <fb>5355.9870055822103</fb>
    <v>24</v>
  </rv>
  <rv s="1">
    <fb>1.26</fb>
    <v>25</v>
  </rv>
  <rv s="1">
    <fb>0.36936209528965797</fb>
    <v>23</v>
  </rv>
  <rv s="1">
    <fb>72.955546118337793</fb>
    <v>28</v>
  </rv>
  <rv s="1">
    <fb>1.26</fb>
    <v>29</v>
  </rv>
  <rv s="1">
    <fb>1394116310768.6299</fb>
    <v>30</v>
  </rv>
  <rv s="1">
    <fb>1.0271029</fb>
    <v>23</v>
  </rv>
  <rv s="1">
    <fb>0.88853009999999999</fb>
    <v>23</v>
  </rv>
  <rv s="2">
    <v>10</v>
    <v>21</v>
    <v>87</v>
    <v>7</v>
    <v>0</v>
    <v>Image of Spain</v>
  </rv>
  <rv s="1">
    <fb>2.5</fb>
    <v>28</v>
  </rv>
  <rv s="0">
    <v>805306368</v>
    <v>Felipe VI (Monarch)</v>
    <v>ec86fb82-ddbc-286a-d1a7-3644682c1efc</v>
    <v>en-US</v>
    <v>Generic</v>
  </rv>
  <rv s="0">
    <v>805306368</v>
    <v>Pedro Sánchez (Prime minister)</v>
    <v>9e0d6cf3-f466-7b6f-0a92-aa23020fc120</v>
    <v>en-US</v>
    <v>Generic</v>
  </rv>
  <rv s="3">
    <v>38</v>
  </rv>
  <rv s="4">
    <v>https://www.bing.com/search?q=spain&amp;form=skydnc</v>
    <v>Learn more on Bing</v>
  </rv>
  <rv s="1">
    <fb>83.334146341463395</fb>
    <v>28</v>
  </rv>
  <rv s="1">
    <fb>797285840000</fb>
    <v>30</v>
  </rv>
  <rv s="1">
    <fb>4</fb>
    <v>28</v>
  </rv>
  <rv s="1">
    <fb>5.6</fb>
    <v>29</v>
  </rv>
  <rv s="3">
    <v>39</v>
  </rv>
  <rv s="1">
    <fb>0.24229018520000001</fb>
    <v>23</v>
  </rv>
  <rv s="1">
    <fb>3.8723000000000001</fb>
    <v>25</v>
  </rv>
  <rv s="1">
    <fb>47615034</fb>
    <v>24</v>
  </rv>
  <rv s="1">
    <fb>0.23399999999999999</fb>
    <v>23</v>
  </rv>
  <rv s="1">
    <fb>0.254</fb>
    <v>23</v>
  </rv>
  <rv s="1">
    <fb>0.41</fb>
    <v>23</v>
  </rv>
  <rv s="1">
    <fb>2.1000000000000001E-2</fb>
    <v>23</v>
  </rv>
  <rv s="1">
    <fb>6.2E-2</fb>
    <v>23</v>
  </rv>
  <rv s="1">
    <fb>0.17199999999999999</fb>
    <v>23</v>
  </rv>
  <rv s="1">
    <fb>0.57492000579834002</fb>
    <v>23</v>
  </rv>
  <rv s="0">
    <v>536870912</v>
    <v>Andalusia</v>
    <v>b009454b-b921-1477-fbf3-ea4c66d409b5</v>
    <v>en-US</v>
    <v>Map</v>
  </rv>
  <rv s="0">
    <v>536870912</v>
    <v>Catalonia</v>
    <v>54afd4ed-d6c4-c6c9-2f8d-10440795b196</v>
    <v>en-US</v>
    <v>Map</v>
  </rv>
  <rv s="0">
    <v>536870912</v>
    <v>Community of Madrid</v>
    <v>854c08ed-f6d7-c812-1a3f-46928ae0597e</v>
    <v>en-US</v>
    <v>Map</v>
  </rv>
  <rv s="0">
    <v>536870912</v>
    <v>Valencian Community</v>
    <v>d1a45f13-aca9-6854-cb23-92573a279216</v>
    <v>en-US</v>
    <v>Map</v>
  </rv>
  <rv s="0">
    <v>536870912</v>
    <v>Galicia</v>
    <v>70c91f08-f55c-f98a-047e-aa9228ed4253</v>
    <v>en-US</v>
    <v>Map</v>
  </rv>
  <rv s="0">
    <v>536870912</v>
    <v>Castile and León</v>
    <v>7fc8f34d-7f31-b8c6-34d4-545cb3920adf</v>
    <v>en-US</v>
    <v>Map</v>
  </rv>
  <rv s="0">
    <v>536870912</v>
    <v>Basque Country</v>
    <v>27cbb013-d521-0f66-7c87-67bad92e92f5</v>
    <v>en-US</v>
    <v>Map</v>
  </rv>
  <rv s="0">
    <v>536870912</v>
    <v>Canary Islands</v>
    <v>e5f4f633-d27e-9012-be27-a85d7ed21999</v>
    <v>en-US</v>
    <v>Map</v>
  </rv>
  <rv s="0">
    <v>536870912</v>
    <v>Castilla–La Mancha</v>
    <v>1e79c598-5619-e707-75d9-40410db3c0b2</v>
    <v>en-US</v>
    <v>Map</v>
  </rv>
  <rv s="0">
    <v>536870912</v>
    <v>Region of Murcia</v>
    <v>e697a468-5c9d-9a42-68ac-b04781a55abd</v>
    <v>en-US</v>
    <v>Map</v>
  </rv>
  <rv s="0">
    <v>536870912</v>
    <v>Aragon</v>
    <v>66482df7-7a8d-eb53-1b74-7702eb8f6ab7</v>
    <v>en-US</v>
    <v>Map</v>
  </rv>
  <rv s="0">
    <v>536870912</v>
    <v>Asturias</v>
    <v>6880b28a-27ed-46a3-3b3f-93553df34103</v>
    <v>en-US</v>
    <v>Map</v>
  </rv>
  <rv s="0">
    <v>536870912</v>
    <v>Extremadura</v>
    <v>60c245e4-f9c9-d637-1ff7-50148c20166f</v>
    <v>en-US</v>
    <v>Map</v>
  </rv>
  <rv s="0">
    <v>536870912</v>
    <v>Navarre</v>
    <v>bd2c46e0-0dec-2a95-cf06-e23728a2a0ed</v>
    <v>en-US</v>
    <v>Map</v>
  </rv>
  <rv s="0">
    <v>536870912</v>
    <v>Cantabria</v>
    <v>ff0ffbe3-172a-ecd8-17cd-6f2f89c9d0dd</v>
    <v>en-US</v>
    <v>Map</v>
  </rv>
  <rv s="0">
    <v>536870912</v>
    <v>La Rioja</v>
    <v>c27fd34e-d1ab-5145-cc6e-9d85b07f919e</v>
    <v>en-US</v>
    <v>Map</v>
  </rv>
  <rv s="0">
    <v>536870912</v>
    <v>Ceuta</v>
    <v>4575b2d9-4933-9d93-b84d-3080054b3dda</v>
    <v>en-US</v>
    <v>Map</v>
  </rv>
  <rv s="0">
    <v>536870912</v>
    <v>Melilla</v>
    <v>a67b3afb-47dd-d884-afd6-0794c4de12ba</v>
    <v>en-US</v>
    <v>Map</v>
  </rv>
  <rv s="3">
    <v>40</v>
  </rv>
  <rv s="1">
    <fb>0.14248211393678101</fb>
    <v>23</v>
  </rv>
  <rv s="1">
    <fb>0.47</fb>
    <v>23</v>
  </rv>
  <rv s="1">
    <fb>0.13958999633789099</fb>
    <v>31</v>
  </rv>
  <rv s="1">
    <fb>37927409</fb>
    <v>24</v>
  </rv>
  <rv s="6">
    <v>#VALUE!</v>
    <v>en-US</v>
    <v>1baf9d59-f443-e9f4-6e49-de048a073e3f</v>
    <v>536870912</v>
    <v>1</v>
    <v>90</v>
    <v>37</v>
    <v>Spain</v>
    <v>19</v>
    <v>20</v>
    <v>Map</v>
    <v>21</v>
    <v>91</v>
    <v>ES</v>
    <v>672</v>
    <v>673</v>
    <v>674</v>
    <v>675</v>
    <v>676</v>
    <v>677</v>
    <v>678</v>
    <v>679</v>
    <v>680</v>
    <v>EUR</v>
    <v>Spain, officially the Kingdom of Spain, is a country in Southwestern Europe with territories in North Africa. Featuring the southernmost point of continental Europe, it is the largest country in Southern Europe and the fourth-most populous ...</v>
    <v>681</v>
    <v>682</v>
    <v>683</v>
    <v>684</v>
    <v>685</v>
    <v>686</v>
    <v>687</v>
    <v>688</v>
    <v>689</v>
    <v>690</v>
    <v>677</v>
    <v>693</v>
    <v>694</v>
    <v>695</v>
    <v>696</v>
    <v>697</v>
    <v>698</v>
    <v>Spain</v>
    <v>Marcha Real</v>
    <v>699</v>
    <v>Reino de España</v>
    <v>700</v>
    <v>701</v>
    <v>702</v>
    <v>703</v>
    <v>704</v>
    <v>705</v>
    <v>706</v>
    <v>707</v>
    <v>646</v>
    <v>708</v>
    <v>709</v>
    <v>728</v>
    <v>729</v>
    <v>61</v>
    <v>730</v>
    <v>731</v>
    <v>Spain</v>
    <v>732</v>
    <v>mdp/vdpid/217</v>
  </rv>
  <rv s="2">
    <v>6</v>
    <v>21</v>
    <v>64</v>
    <v>3</v>
    <v>0</v>
    <v>Image of Netherlands</v>
  </rv>
  <rv s="2">
    <v>1</v>
    <v>21</v>
    <v>33</v>
    <v>3</v>
    <v>0</v>
    <v>Image of United Kingdom</v>
  </rv>
  <rv s="2">
    <v>5</v>
    <v>21</v>
    <v>58</v>
    <v>3</v>
    <v>0</v>
    <v>Image of United States</v>
  </rv>
  <rv s="2">
    <v>2</v>
    <v>21</v>
    <v>40</v>
    <v>3</v>
    <v>0</v>
    <v>Image of France</v>
  </rv>
  <rv s="2">
    <v>3</v>
    <v>21</v>
    <v>46</v>
    <v>3</v>
    <v>0</v>
    <v>Image of Japan</v>
  </rv>
  <rv s="2">
    <v>7</v>
    <v>21</v>
    <v>70</v>
    <v>3</v>
    <v>0</v>
    <v>Image of Belgium</v>
  </rv>
  <rv s="2">
    <v>9</v>
    <v>21</v>
    <v>81</v>
    <v>3</v>
    <v>0</v>
    <v>Image of Australia</v>
  </rv>
  <rv s="2">
    <v>10</v>
    <v>21</v>
    <v>87</v>
    <v>3</v>
    <v>0</v>
    <v>Image of Spain</v>
  </rv>
  <rv s="2">
    <v>0</v>
    <v>21</v>
    <v>2</v>
    <v>3</v>
    <v>0</v>
    <v>Image of Italy</v>
  </rv>
  <rv s="2">
    <v>4</v>
    <v>21</v>
    <v>52</v>
    <v>3</v>
    <v>0</v>
    <v>Image of Portugal</v>
  </rv>
  <rv s="2">
    <v>8</v>
    <v>21</v>
    <v>75</v>
    <v>3</v>
    <v>0</v>
    <v>Image of Norway</v>
  </rv>
</rvData>
</file>

<file path=xl/richData/rdrichvaluestructure.xml><?xml version="1.0" encoding="utf-8"?>
<rvStructures xmlns="http://schemas.microsoft.com/office/spreadsheetml/2017/richdata" count="7">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rvStructures>
</file>

<file path=xl/richData/rdsupportingpropertybag.xml><?xml version="1.0" encoding="utf-8"?>
<supportingPropertyBags xmlns="http://schemas.microsoft.com/office/spreadsheetml/2017/richdata2">
  <spbArrays count="2">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spbArrays>
  <spbData count="92">
    <spb s="0">
      <v xml:space="preserve">data.worldbank.org	</v>
      <v xml:space="preserve">	</v>
      <v xml:space="preserve">http://data.worldbank.org/indicator/FP.CPI.TOTL	</v>
      <v xml:space="preserve">	</v>
    </spb>
    <spb s="0">
      <v xml:space="preserve">Wikipedia	Wikipedia	Cia	travel.state.gov	</v>
      <v xml:space="preserve">CC-BY-SA	CC-BY-SA			</v>
      <v xml:space="preserve">http://es.wikipedia.org/wiki/Italia	http://en.wikipedia.org/wiki/Italy	https://www.cia.gov/library/publications/the-world-factbook/geos/it.html?Transportation	https://travel.state.gov/content/travel/en/international-travel/International-Travel-Country-Information-Pages/SanMarino.html	</v>
      <v xml:space="preserve">http://creativecommons.org/licenses/by-sa/3.0/	http://creativecommons.org/licenses/by-sa/3.0/			</v>
    </spb>
    <spb s="0">
      <v xml:space="preserve">Wikipedia	</v>
      <v xml:space="preserve">CC BY-SA 3.0	</v>
      <v xml:space="preserve">https://en.wikipedia.org/wiki/Italy	</v>
      <v xml:space="preserve">https://creativecommons.org/licenses/by-sa/3.0	</v>
    </spb>
    <spb s="0">
      <v xml:space="preserve">data.worldbank.org	</v>
      <v xml:space="preserve">	</v>
      <v xml:space="preserve">http://data.worldbank.org/indicator/SP.DYN.CBRT.IN	</v>
      <v xml:space="preserve">	</v>
    </spb>
    <spb s="0">
      <v xml:space="preserve">Wikipedia	</v>
      <v xml:space="preserve">CC-BY-SA	</v>
      <v xml:space="preserve">http://en.wikipedia.org/wiki/Italy	</v>
      <v xml:space="preserve">http://creativecommons.org/licenses/by-sa/3.0/	</v>
    </spb>
    <spb s="0">
      <v xml:space="preserve">Cia	</v>
      <v xml:space="preserve">	</v>
      <v xml:space="preserve">https://www.cia.gov/library/publications/the-world-factbook/geos/it.html?Transportation	</v>
      <v xml:space="preserve">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1">
      <v>0</v>
      <v>1</v>
      <v>2</v>
      <v>2</v>
      <v>3</v>
      <v>2</v>
      <v>2</v>
      <v>2</v>
      <v>4</v>
      <v>2</v>
      <v>2</v>
      <v>2</v>
      <v>2</v>
      <v>5</v>
      <v>6</v>
      <v>1</v>
      <v>5</v>
      <v>7</v>
      <v>2</v>
      <v>5</v>
      <v>8</v>
      <v>9</v>
      <v>10</v>
      <v>5</v>
      <v>5</v>
      <v>2</v>
      <v>5</v>
      <v>11</v>
      <v>12</v>
      <v>13</v>
      <v>14</v>
      <v>5</v>
      <v>1</v>
      <v>5</v>
      <v>5</v>
      <v>5</v>
      <v>5</v>
      <v>5</v>
      <v>5</v>
      <v>5</v>
      <v>5</v>
      <v>5</v>
      <v>5</v>
      <v>15</v>
    </spb>
    <spb s="2">
      <v>0</v>
      <v>Name</v>
      <v>LearnMoreOnLink</v>
    </spb>
    <spb s="3">
      <v>0</v>
      <v>0</v>
      <v>0</v>
    </spb>
    <spb s="4">
      <v>18</v>
      <v>18</v>
      <v>18</v>
    </spb>
    <spb s="5">
      <v>1</v>
      <v>2</v>
    </spb>
    <spb s="6">
      <v>https://www.bing.com</v>
      <v>https://www.bing.com/th?id=Ga%5Cbing_yt.png&amp;w=100&amp;h=40&amp;c=0&amp;pid=0.1</v>
      <v>Powered by Bing</v>
    </spb>
    <spb s="7">
      <v>2019</v>
      <v>2019</v>
      <v>square km</v>
      <v>per thousand (2018)</v>
      <v>2022</v>
      <v>2019</v>
      <v>2018</v>
      <v>per liter (2016)</v>
      <v>2019</v>
      <v>years (2018)</v>
      <v>2018</v>
      <v>per thousand (2018)</v>
      <v>2019</v>
      <v>2017</v>
      <v>2016</v>
      <v>2019</v>
      <v>2016</v>
      <v>2018</v>
      <v>kilotons per year (2014)</v>
      <v>deaths per 100,000 (2017)</v>
      <v>kWh (2014)</v>
      <v>2015</v>
      <v>2008</v>
      <v>2017</v>
      <v>2017</v>
      <v>2017</v>
      <v>2017</v>
      <v>2017</v>
      <v>2015</v>
      <v>2017</v>
      <v>2017</v>
      <v>2017</v>
      <v>2017</v>
      <v>2019</v>
    </spb>
    <spb s="8">
      <v>3</v>
    </spb>
    <spb s="8">
      <v>4</v>
    </spb>
    <spb s="8">
      <v>5</v>
    </spb>
    <spb s="8">
      <v>6</v>
    </spb>
    <spb s="8">
      <v>7</v>
    </spb>
    <spb s="8">
      <v>8</v>
    </spb>
    <spb s="8">
      <v>9</v>
    </spb>
    <spb s="8">
      <v>10</v>
    </spb>
    <spb s="8">
      <v>11</v>
    </spb>
    <spb s="0">
      <v xml:space="preserve">Wikipedia	Cia	travel.state.gov	</v>
      <v xml:space="preserve">CC-BY-SA			</v>
      <v xml:space="preserve">http://en.wikipedia.org/wiki/United_Kingdom	https://www.cia.gov/library/publications/the-world-factbook/geos/uk.html?Transportation	https://travel.state.gov/content/travel/en/international-travel/International-Travel-Country-Information-Pages/UnitedKingdom.html?wcmmode=disabled	</v>
      <v xml:space="preserve">http://creativecommons.org/licenses/by-sa/3.0/			</v>
    </spb>
    <spb s="0">
      <v xml:space="preserve">Wikipedia	</v>
      <v xml:space="preserve">CC BY-SA 3.0	</v>
      <v xml:space="preserve">https://en.wikipedia.org/wiki/United_Kingdom	</v>
      <v xml:space="preserve">https://creativecommons.org/licenses/by-sa/3.0	</v>
    </spb>
    <spb s="0">
      <v xml:space="preserve">Wikipedia	</v>
      <v xml:space="preserve">CC-BY-SA	</v>
      <v xml:space="preserve">http://en.wikipedia.org/wiki/United_Kingdom	</v>
      <v xml:space="preserve">http://creativecommons.org/licenses/by-sa/3.0/	</v>
    </spb>
    <spb s="0">
      <v xml:space="preserve">Cia	</v>
      <v xml:space="preserve">	</v>
      <v xml:space="preserve">https://www.cia.gov/library/publications/the-world-factbook/geos/uk.html?Transportation	</v>
      <v xml:space="preserve">	</v>
    </spb>
    <spb s="9">
      <v>0</v>
      <v>32</v>
      <v>33</v>
      <v>33</v>
      <v>3</v>
      <v>33</v>
      <v>33</v>
      <v>33</v>
      <v>34</v>
      <v>33</v>
      <v>33</v>
      <v>34</v>
      <v>33</v>
      <v>33</v>
      <v>35</v>
      <v>6</v>
      <v>32</v>
      <v>35</v>
      <v>7</v>
      <v>33</v>
      <v>35</v>
      <v>8</v>
      <v>9</v>
      <v>10</v>
      <v>35</v>
      <v>35</v>
      <v>33</v>
      <v>35</v>
      <v>11</v>
      <v>12</v>
      <v>13</v>
      <v>14</v>
      <v>35</v>
      <v>32</v>
      <v>35</v>
      <v>35</v>
      <v>35</v>
      <v>35</v>
      <v>35</v>
      <v>35</v>
      <v>35</v>
      <v>35</v>
      <v>35</v>
      <v>35</v>
      <v>15</v>
    </spb>
    <spb s="2">
      <v>1</v>
      <v>Name</v>
      <v>LearnMoreOnLink</v>
    </spb>
    <spb s="7">
      <v>2019</v>
      <v>2019</v>
      <v>square km</v>
      <v>per thousand (2018)</v>
      <v>2022</v>
      <v>2019</v>
      <v>2018</v>
      <v>per liter (2016)</v>
      <v>2019</v>
      <v>years (2018)</v>
      <v>2018</v>
      <v>per thousand (2018)</v>
      <v>2019</v>
      <v>2017</v>
      <v>2016</v>
      <v>2019</v>
      <v>2016</v>
      <v>2018</v>
      <v>kilotons per year (2016)</v>
      <v>deaths per 100,000 (2017)</v>
      <v>kWh (2014)</v>
      <v>2015</v>
      <v>2008</v>
      <v>2016</v>
      <v>2016</v>
      <v>2016</v>
      <v>2016</v>
      <v>2016</v>
      <v>2015</v>
      <v>2016</v>
      <v>2016</v>
      <v>2017</v>
      <v>2017</v>
      <v>2019</v>
    </spb>
    <spb s="0">
      <v xml:space="preserve">Wikipedia	Cia	travel.state.gov	</v>
      <v xml:space="preserve">CC-BY-SA			</v>
      <v xml:space="preserve">http://en.wikipedia.org/wiki/France	https://www.cia.gov/library/publications/the-world-factbook/geos/fr.html?Transportation	https://travel.state.gov/content/travel/en/international-travel/International-Travel-Country-Information-Pages/Monaco.html	</v>
      <v xml:space="preserve">http://creativecommons.org/licenses/by-sa/3.0/			</v>
    </spb>
    <spb s="0">
      <v xml:space="preserve">Wikipedia	</v>
      <v xml:space="preserve">CC BY-SA 3.0	</v>
      <v xml:space="preserve">https://en.wikipedia.org/wiki/France	</v>
      <v xml:space="preserve">https://creativecommons.org/licenses/by-sa/3.0	</v>
    </spb>
    <spb s="0">
      <v xml:space="preserve">Wikipedia	</v>
      <v xml:space="preserve">CC-BY-SA	</v>
      <v xml:space="preserve">http://en.wikipedia.org/wiki/France	</v>
      <v xml:space="preserve">http://creativecommons.org/licenses/by-sa/3.0/	</v>
    </spb>
    <spb s="0">
      <v xml:space="preserve">Cia	</v>
      <v xml:space="preserve">	</v>
      <v xml:space="preserve">https://www.cia.gov/library/publications/the-world-factbook/geos/fr.html?Transportation	</v>
      <v xml:space="preserve">	</v>
    </spb>
    <spb s="9">
      <v>0</v>
      <v>39</v>
      <v>40</v>
      <v>40</v>
      <v>3</v>
      <v>40</v>
      <v>40</v>
      <v>40</v>
      <v>41</v>
      <v>40</v>
      <v>40</v>
      <v>41</v>
      <v>40</v>
      <v>40</v>
      <v>42</v>
      <v>6</v>
      <v>39</v>
      <v>42</v>
      <v>7</v>
      <v>40</v>
      <v>42</v>
      <v>8</v>
      <v>9</v>
      <v>10</v>
      <v>42</v>
      <v>42</v>
      <v>40</v>
      <v>42</v>
      <v>11</v>
      <v>12</v>
      <v>13</v>
      <v>14</v>
      <v>42</v>
      <v>39</v>
      <v>42</v>
      <v>42</v>
      <v>42</v>
      <v>42</v>
      <v>42</v>
      <v>42</v>
      <v>42</v>
      <v>42</v>
      <v>42</v>
      <v>42</v>
      <v>15</v>
    </spb>
    <spb s="7">
      <v>2019</v>
      <v>2019</v>
      <v>square km</v>
      <v>per thousand (2018)</v>
      <v>2021</v>
      <v>2019</v>
      <v>2018</v>
      <v>per liter (2016)</v>
      <v>2019</v>
      <v>years (2018)</v>
      <v>2018</v>
      <v>per thousand (2018)</v>
      <v>2019</v>
      <v>2017</v>
      <v>2016</v>
      <v>2019</v>
      <v>2016</v>
      <v>2018</v>
      <v>kilotons per year (2014)</v>
      <v>deaths per 100,000 (2017)</v>
      <v>kWh (2014)</v>
      <v>2015</v>
      <v>2018</v>
      <v>2017</v>
      <v>2017</v>
      <v>2017</v>
      <v>2017</v>
      <v>2017</v>
      <v>2015</v>
      <v>2017</v>
      <v>2017</v>
      <v>2017</v>
      <v>2017</v>
      <v>2019</v>
    </spb>
    <spb s="0">
      <v xml:space="preserve">Wikipedia	Cia	travel.state.gov	</v>
      <v xml:space="preserve">CC-BY-SA			</v>
      <v xml:space="preserve">http://en.wikipedia.org/wiki/Japan	https://www.cia.gov/library/publications/the-world-factbook/geos/ja.html?Transportation	https://travel.state.gov/content/travel/en/international-travel/International-Travel-Country-Information-Pages/Japan.html	</v>
      <v xml:space="preserve">http://creativecommons.org/licenses/by-sa/3.0/			</v>
    </spb>
    <spb s="0">
      <v xml:space="preserve">Wikipedia	</v>
      <v xml:space="preserve">CC BY-SA 3.0	</v>
      <v xml:space="preserve">https://en.wikipedia.org/wiki/Japan	</v>
      <v xml:space="preserve">https://creativecommons.org/licenses/by-sa/3.0	</v>
    </spb>
    <spb s="0">
      <v xml:space="preserve">Wikipedia	</v>
      <v xml:space="preserve">CC-BY-SA	</v>
      <v xml:space="preserve">http://en.wikipedia.org/wiki/Japan	</v>
      <v xml:space="preserve">http://creativecommons.org/licenses/by-sa/3.0/	</v>
    </spb>
    <spb s="0">
      <v xml:space="preserve">Cia	</v>
      <v xml:space="preserve">	</v>
      <v xml:space="preserve">https://www.cia.gov/library/publications/the-world-factbook/geos/ja.html?Transportation	</v>
      <v xml:space="preserve">	</v>
    </spb>
    <spb s="9">
      <v>0</v>
      <v>45</v>
      <v>46</v>
      <v>46</v>
      <v>3</v>
      <v>46</v>
      <v>46</v>
      <v>46</v>
      <v>47</v>
      <v>46</v>
      <v>46</v>
      <v>47</v>
      <v>46</v>
      <v>46</v>
      <v>48</v>
      <v>6</v>
      <v>45</v>
      <v>48</v>
      <v>7</v>
      <v>46</v>
      <v>48</v>
      <v>8</v>
      <v>9</v>
      <v>10</v>
      <v>48</v>
      <v>48</v>
      <v>46</v>
      <v>48</v>
      <v>11</v>
      <v>12</v>
      <v>13</v>
      <v>14</v>
      <v>48</v>
      <v>45</v>
      <v>48</v>
      <v>48</v>
      <v>48</v>
      <v>48</v>
      <v>48</v>
      <v>48</v>
      <v>48</v>
      <v>48</v>
      <v>48</v>
      <v>48</v>
      <v>15</v>
    </spb>
    <spb s="7">
      <v>2019</v>
      <v>2019</v>
      <v>square km</v>
      <v>per thousand (2018)</v>
      <v>2022</v>
      <v>2019</v>
      <v>2018</v>
      <v>per liter (2016)</v>
      <v>2019</v>
      <v>years (2018)</v>
      <v>2018</v>
      <v>per thousand (2018)</v>
      <v>2019</v>
      <v>2017</v>
      <v>2016</v>
      <v>2019</v>
      <v>2016</v>
      <v>2016</v>
      <v>kilotons per year (2016)</v>
      <v>deaths per 100,000 (2017)</v>
      <v>kWh (2014)</v>
      <v>2015</v>
      <v>2019</v>
      <v>2013</v>
      <v>2013</v>
      <v>2013</v>
      <v>2013</v>
      <v>2013</v>
      <v>2015</v>
      <v>2013</v>
      <v>2013</v>
      <v>2015</v>
      <v>2015</v>
      <v>2019</v>
    </spb>
    <spb s="0">
      <v xml:space="preserve">Wikipedia	Cia	travel.state.gov	</v>
      <v xml:space="preserve">CC-BY-SA			</v>
      <v xml:space="preserve">http://en.wikipedia.org/wiki/Portugal	https://www.cia.gov/library/publications/the-world-factbook/geos/po.html?Transportation	https://travel.state.gov/content/travel/en/international-travel/International-Travel-Country-Information-Pages/Portugal.html	</v>
      <v xml:space="preserve">http://creativecommons.org/licenses/by-sa/3.0/			</v>
    </spb>
    <spb s="0">
      <v xml:space="preserve">Wikipedia	</v>
      <v xml:space="preserve">CC BY-SA 3.0	</v>
      <v xml:space="preserve">https://en.wikipedia.org/wiki/Portugal	</v>
      <v xml:space="preserve">https://creativecommons.org/licenses/by-sa/3.0	</v>
    </spb>
    <spb s="0">
      <v xml:space="preserve">Wikipedia	</v>
      <v xml:space="preserve">CC-BY-SA	</v>
      <v xml:space="preserve">http://en.wikipedia.org/wiki/Portugal	</v>
      <v xml:space="preserve">http://creativecommons.org/licenses/by-sa/3.0/	</v>
    </spb>
    <spb s="0">
      <v xml:space="preserve">Cia	</v>
      <v xml:space="preserve">	</v>
      <v xml:space="preserve">https://www.cia.gov/library/publications/the-world-factbook/geos/po.html?Transportation	</v>
      <v xml:space="preserve">	</v>
    </spb>
    <spb s="9">
      <v>0</v>
      <v>51</v>
      <v>52</v>
      <v>52</v>
      <v>3</v>
      <v>52</v>
      <v>52</v>
      <v>52</v>
      <v>53</v>
      <v>52</v>
      <v>52</v>
      <v>53</v>
      <v>52</v>
      <v>52</v>
      <v>54</v>
      <v>6</v>
      <v>51</v>
      <v>54</v>
      <v>7</v>
      <v>52</v>
      <v>54</v>
      <v>8</v>
      <v>9</v>
      <v>10</v>
      <v>54</v>
      <v>54</v>
      <v>52</v>
      <v>54</v>
      <v>11</v>
      <v>12</v>
      <v>13</v>
      <v>14</v>
      <v>54</v>
      <v>51</v>
      <v>54</v>
      <v>54</v>
      <v>54</v>
      <v>54</v>
      <v>54</v>
      <v>54</v>
      <v>54</v>
      <v>54</v>
      <v>54</v>
      <v>54</v>
      <v>15</v>
    </spb>
    <spb s="7">
      <v>2019</v>
      <v>2019</v>
      <v>square km</v>
      <v>per thousand (2018)</v>
      <v>2022</v>
      <v>2019</v>
      <v>2018</v>
      <v>per liter (2016)</v>
      <v>2019</v>
      <v>years (2018)</v>
      <v>2018</v>
      <v>per thousand (2018)</v>
      <v>2019</v>
      <v>2017</v>
      <v>2016</v>
      <v>2019</v>
      <v>2016</v>
      <v>2017</v>
      <v>kilotons per year (2016)</v>
      <v>deaths per 100,000 (2017)</v>
      <v>kWh (2014)</v>
      <v>2015</v>
      <v>2018</v>
      <v>2017</v>
      <v>2017</v>
      <v>2017</v>
      <v>2017</v>
      <v>2017</v>
      <v>2015</v>
      <v>2017</v>
      <v>2017</v>
      <v>2017</v>
      <v>2017</v>
      <v>2019</v>
    </spb>
    <spb s="0">
      <v xml:space="preserve">Wikipedia	US Census	US Census	</v>
      <v xml:space="preserve">CC-BY-SA			</v>
      <v xml:space="preserve">http://en.wikipedia.org/wiki/United_States	https://www.census.gov/popest/data/state/asrh/2014/files/SC-EST2014-AGESEX-CIV.csv	http://www.census.gov/quickfacts/table/VET605214/	</v>
      <v xml:space="preserve">http://creativecommons.org/licenses/by-sa/3.0/			</v>
    </spb>
    <spb s="0">
      <v xml:space="preserve">Wikipedia	</v>
      <v xml:space="preserve">CC BY-SA 3.0	</v>
      <v xml:space="preserve">https://en.wikipedia.org/wiki/United_States	</v>
      <v xml:space="preserve">https://creativecommons.org/licenses/by-sa/3.0	</v>
    </spb>
    <spb s="0">
      <v xml:space="preserve">Wikipedia	</v>
      <v xml:space="preserve">CC-BY-SA	</v>
      <v xml:space="preserve">http://en.wikipedia.org/wiki/United_States	</v>
      <v xml:space="preserve">http://creativecommons.org/licenses/by-sa/3.0/	</v>
    </spb>
    <spb s="0">
      <v xml:space="preserve">US Census	</v>
      <v xml:space="preserve">	</v>
      <v xml:space="preserve">https://www.census.gov/popest/data/state/asrh/2014/files/SC-EST2014-AGESEX-CIV.csv	</v>
      <v xml:space="preserve">	</v>
    </spb>
    <spb s="10">
      <v>0</v>
      <v>57</v>
      <v>58</v>
      <v>58</v>
      <v>3</v>
      <v>58</v>
      <v>58</v>
      <v>58</v>
      <v>59</v>
      <v>58</v>
      <v>58</v>
      <v>59</v>
      <v>58</v>
      <v>58</v>
      <v>6</v>
      <v>57</v>
      <v>60</v>
      <v>7</v>
      <v>58</v>
      <v>60</v>
      <v>8</v>
      <v>9</v>
      <v>10</v>
      <v>60</v>
      <v>58</v>
      <v>60</v>
      <v>11</v>
      <v>12</v>
      <v>13</v>
      <v>14</v>
      <v>60</v>
      <v>57</v>
      <v>60</v>
      <v>60</v>
      <v>60</v>
      <v>60</v>
      <v>60</v>
      <v>60</v>
      <v>60</v>
      <v>60</v>
      <v>60</v>
      <v>60</v>
      <v>15</v>
    </spb>
    <spb s="7">
      <v>2019</v>
      <v>2019</v>
      <v>square km</v>
      <v>per thousand (2018)</v>
      <v>2022</v>
      <v>2022</v>
      <v>2018</v>
      <v>per liter (2016)</v>
      <v>2019</v>
      <v>years (2018)</v>
      <v>2019</v>
      <v>per thousand (2018)</v>
      <v>2019</v>
      <v>2017</v>
      <v>2016</v>
      <v>2020</v>
      <v>2016</v>
      <v>2017</v>
      <v>kilotons per year (2016)</v>
      <v>deaths per 100,000 (2017)</v>
      <v>kWh (2014)</v>
      <v>2015</v>
      <v>2018</v>
      <v>2016</v>
      <v>2016</v>
      <v>2016</v>
      <v>2016</v>
      <v>2016</v>
      <v>2015</v>
      <v>2016</v>
      <v>2016</v>
      <v>2017</v>
      <v>2017</v>
      <v>2019</v>
    </spb>
    <spb s="0">
      <v xml:space="preserve">Wikipedia	Cia	travel.state.gov	</v>
      <v xml:space="preserve">CC-BY-SA			</v>
      <v xml:space="preserve">http://en.wikipedia.org/wiki/Netherlands	https://www.cia.gov/library/publications/the-world-factbook/geos/nl.html?Transportation	https://travel.state.gov/content/travel/en/international-travel/International-Travel-Country-Information-Pages/Netherlands.html	</v>
      <v xml:space="preserve">http://creativecommons.org/licenses/by-sa/3.0/			</v>
    </spb>
    <spb s="0">
      <v xml:space="preserve">Wikipedia	</v>
      <v xml:space="preserve">CC BY-SA 3.0	</v>
      <v xml:space="preserve">https://en.wikipedia.org/wiki/Netherlands	</v>
      <v xml:space="preserve">https://creativecommons.org/licenses/by-sa/3.0	</v>
    </spb>
    <spb s="0">
      <v xml:space="preserve">Wikipedia	</v>
      <v xml:space="preserve">CC-BY-SA	</v>
      <v xml:space="preserve">http://en.wikipedia.org/wiki/Netherlands	</v>
      <v xml:space="preserve">http://creativecommons.org/licenses/by-sa/3.0/	</v>
    </spb>
    <spb s="0">
      <v xml:space="preserve">Cia	</v>
      <v xml:space="preserve">	</v>
      <v xml:space="preserve">https://www.cia.gov/library/publications/the-world-factbook/geos/nl.html?Transportation	</v>
      <v xml:space="preserve">	</v>
    </spb>
    <spb s="9">
      <v>0</v>
      <v>63</v>
      <v>64</v>
      <v>64</v>
      <v>3</v>
      <v>64</v>
      <v>64</v>
      <v>64</v>
      <v>65</v>
      <v>64</v>
      <v>64</v>
      <v>65</v>
      <v>64</v>
      <v>64</v>
      <v>66</v>
      <v>6</v>
      <v>63</v>
      <v>66</v>
      <v>7</v>
      <v>64</v>
      <v>66</v>
      <v>8</v>
      <v>9</v>
      <v>10</v>
      <v>66</v>
      <v>66</v>
      <v>64</v>
      <v>66</v>
      <v>11</v>
      <v>12</v>
      <v>13</v>
      <v>14</v>
      <v>66</v>
      <v>63</v>
      <v>66</v>
      <v>66</v>
      <v>66</v>
      <v>66</v>
      <v>66</v>
      <v>66</v>
      <v>66</v>
      <v>66</v>
      <v>66</v>
      <v>66</v>
      <v>15</v>
    </spb>
    <spb s="7">
      <v>2019</v>
      <v>2019</v>
      <v>square km</v>
      <v>per thousand (2018)</v>
      <v>2024</v>
      <v>2019</v>
      <v>2018</v>
      <v>per liter (2016)</v>
      <v>2019</v>
      <v>years (2018)</v>
      <v>2018</v>
      <v>per thousand (2018)</v>
      <v>2019</v>
      <v>2017</v>
      <v>2016</v>
      <v>2019</v>
      <v>2016</v>
      <v>2017</v>
      <v>kilotons per year (2016)</v>
      <v>deaths per 100,000 (2017)</v>
      <v>kWh (2014)</v>
      <v>2015</v>
      <v>2017</v>
      <v>2017</v>
      <v>2017</v>
      <v>2017</v>
      <v>2017</v>
      <v>2017</v>
      <v>2015</v>
      <v>2017</v>
      <v>2017</v>
      <v>2017</v>
      <v>2017</v>
      <v>2019</v>
    </spb>
    <spb s="0">
      <v xml:space="preserve">Wikipedia	Cia	travel.state.gov	</v>
      <v xml:space="preserve">CC-BY-SA			</v>
      <v xml:space="preserve">http://en.wikipedia.org/wiki/Belgium	https://www.cia.gov/library/publications/the-world-factbook/geos/be.html?Transportation	https://travel.state.gov/content/travel/en/international-travel/International-Travel-Country-Information-Pages/Belgium.html	</v>
      <v xml:space="preserve">http://creativecommons.org/licenses/by-sa/3.0/			</v>
    </spb>
    <spb s="0">
      <v xml:space="preserve">Wikipedia	</v>
      <v xml:space="preserve">CC BY-SA 3.0	</v>
      <v xml:space="preserve">https://en.wikipedia.org/wiki/Belgium	</v>
      <v xml:space="preserve">https://creativecommons.org/licenses/by-sa/3.0	</v>
    </spb>
    <spb s="0">
      <v xml:space="preserve">Wikipedia	</v>
      <v xml:space="preserve">CC-BY-SA	</v>
      <v xml:space="preserve">http://en.wikipedia.org/wiki/Belgium	</v>
      <v xml:space="preserve">http://creativecommons.org/licenses/by-sa/3.0/	</v>
    </spb>
    <spb s="0">
      <v xml:space="preserve">Cia	</v>
      <v xml:space="preserve">	</v>
      <v xml:space="preserve">https://www.cia.gov/library/publications/the-world-factbook/geos/be.html?Transportation	</v>
      <v xml:space="preserve">	</v>
    </spb>
    <spb s="9">
      <v>0</v>
      <v>69</v>
      <v>70</v>
      <v>70</v>
      <v>3</v>
      <v>70</v>
      <v>70</v>
      <v>70</v>
      <v>71</v>
      <v>70</v>
      <v>70</v>
      <v>71</v>
      <v>70</v>
      <v>70</v>
      <v>72</v>
      <v>6</v>
      <v>69</v>
      <v>72</v>
      <v>7</v>
      <v>70</v>
      <v>72</v>
      <v>8</v>
      <v>9</v>
      <v>10</v>
      <v>72</v>
      <v>72</v>
      <v>70</v>
      <v>72</v>
      <v>11</v>
      <v>12</v>
      <v>13</v>
      <v>14</v>
      <v>72</v>
      <v>69</v>
      <v>72</v>
      <v>72</v>
      <v>72</v>
      <v>72</v>
      <v>72</v>
      <v>72</v>
      <v>72</v>
      <v>72</v>
      <v>72</v>
      <v>72</v>
      <v>15</v>
    </spb>
    <spb s="0">
      <v xml:space="preserve">Wikipedia	Cia	travel.state.gov	</v>
      <v xml:space="preserve">CC-BY-SA			</v>
      <v xml:space="preserve">http://en.wikipedia.org/wiki/Norway	https://www.cia.gov/library/publications/the-world-factbook/geos/no.html?Transportation	https://travel.state.gov/content/travel/en/international-travel/International-Travel-Country-Information-Pages/Norway.html	</v>
      <v xml:space="preserve">http://creativecommons.org/licenses/by-sa/3.0/			</v>
    </spb>
    <spb s="0">
      <v xml:space="preserve">Wikipedia	</v>
      <v xml:space="preserve">CC BY-SA 3.0	</v>
      <v xml:space="preserve">https://en.wikipedia.org/wiki/Norway	</v>
      <v xml:space="preserve">https://creativecommons.org/licenses/by-sa/3.0	</v>
    </spb>
    <spb s="0">
      <v xml:space="preserve">Wikipedia	</v>
      <v xml:space="preserve">CC-BY-SA	</v>
      <v xml:space="preserve">http://en.wikipedia.org/wiki/Norway	</v>
      <v xml:space="preserve">http://creativecommons.org/licenses/by-sa/3.0/	</v>
    </spb>
    <spb s="0">
      <v xml:space="preserve">Cia	</v>
      <v xml:space="preserve">	</v>
      <v xml:space="preserve">https://www.cia.gov/library/publications/the-world-factbook/geos/no.html?Transportation	</v>
      <v xml:space="preserve">	</v>
    </spb>
    <spb s="1">
      <v>0</v>
      <v>74</v>
      <v>75</v>
      <v>75</v>
      <v>3</v>
      <v>75</v>
      <v>75</v>
      <v>75</v>
      <v>76</v>
      <v>75</v>
      <v>75</v>
      <v>75</v>
      <v>75</v>
      <v>77</v>
      <v>6</v>
      <v>74</v>
      <v>77</v>
      <v>7</v>
      <v>75</v>
      <v>77</v>
      <v>8</v>
      <v>9</v>
      <v>10</v>
      <v>77</v>
      <v>77</v>
      <v>75</v>
      <v>77</v>
      <v>11</v>
      <v>12</v>
      <v>13</v>
      <v>14</v>
      <v>77</v>
      <v>74</v>
      <v>77</v>
      <v>77</v>
      <v>77</v>
      <v>77</v>
      <v>77</v>
      <v>77</v>
      <v>77</v>
      <v>77</v>
      <v>77</v>
      <v>77</v>
      <v>15</v>
    </spb>
    <spb s="7">
      <v>2019</v>
      <v>2019</v>
      <v>square km</v>
      <v>per thousand (2018)</v>
      <v>2022</v>
      <v>2019</v>
      <v>2018</v>
      <v>per liter (2016)</v>
      <v>2019</v>
      <v>years (2018)</v>
      <v>2018</v>
      <v>per thousand (2018)</v>
      <v>2019</v>
      <v>2017</v>
      <v>2016</v>
      <v>2019</v>
      <v>2016</v>
      <v>2018</v>
      <v>kilotons per year (2016)</v>
      <v>deaths per 100,000 (2017)</v>
      <v>kWh (2014)</v>
      <v>2015</v>
      <v>2019</v>
      <v>2017</v>
      <v>2017</v>
      <v>2017</v>
      <v>2017</v>
      <v>2017</v>
      <v>2015</v>
      <v>2017</v>
      <v>2017</v>
      <v>2017</v>
      <v>2017</v>
      <v>2019</v>
    </spb>
    <spb s="0">
      <v xml:space="preserve">Wikipedia	Cia	travel.state.gov	</v>
      <v xml:space="preserve">CC-BY-SA			</v>
      <v xml:space="preserve">http://en.wikipedia.org/wiki/Australia	https://www.cia.gov/library/publications/the-world-factbook/geos/as.html?Transportation	https://travel.state.gov/content/travel/en/international-travel/International-Travel-Country-Information-Pages/Australia.html	</v>
      <v xml:space="preserve">http://creativecommons.org/licenses/by-sa/3.0/			</v>
    </spb>
    <spb s="0">
      <v xml:space="preserve">Wikipedia	</v>
      <v xml:space="preserve">CC BY-SA 3.0	</v>
      <v xml:space="preserve">https://en.wikipedia.org/wiki/Australia	</v>
      <v xml:space="preserve">https://creativecommons.org/licenses/by-sa/3.0	</v>
    </spb>
    <spb s="0">
      <v xml:space="preserve">Wikipedia	</v>
      <v xml:space="preserve">CC-BY-SA	</v>
      <v xml:space="preserve">http://en.wikipedia.org/wiki/Australia	</v>
      <v xml:space="preserve">http://creativecommons.org/licenses/by-sa/3.0/	</v>
    </spb>
    <spb s="0">
      <v xml:space="preserve">Cia	</v>
      <v xml:space="preserve">	</v>
      <v xml:space="preserve">https://www.cia.gov/library/publications/the-world-factbook/geos/as.html?Transportation	</v>
      <v xml:space="preserve">	</v>
    </spb>
    <spb s="9">
      <v>0</v>
      <v>80</v>
      <v>81</v>
      <v>81</v>
      <v>3</v>
      <v>81</v>
      <v>81</v>
      <v>81</v>
      <v>82</v>
      <v>81</v>
      <v>81</v>
      <v>82</v>
      <v>81</v>
      <v>81</v>
      <v>83</v>
      <v>6</v>
      <v>80</v>
      <v>83</v>
      <v>7</v>
      <v>81</v>
      <v>83</v>
      <v>8</v>
      <v>9</v>
      <v>10</v>
      <v>83</v>
      <v>83</v>
      <v>81</v>
      <v>83</v>
      <v>11</v>
      <v>12</v>
      <v>13</v>
      <v>14</v>
      <v>83</v>
      <v>80</v>
      <v>83</v>
      <v>83</v>
      <v>83</v>
      <v>83</v>
      <v>83</v>
      <v>83</v>
      <v>83</v>
      <v>83</v>
      <v>83</v>
      <v>83</v>
      <v>15</v>
    </spb>
    <spb s="7">
      <v>2019</v>
      <v>2019</v>
      <v>square km</v>
      <v>per thousand (2018)</v>
      <v>2022</v>
      <v>2019</v>
      <v>2018</v>
      <v>per liter (2016)</v>
      <v>2019</v>
      <v>years (2018)</v>
      <v>2018</v>
      <v>per thousand (2018)</v>
      <v>2019</v>
      <v>2017</v>
      <v>2016</v>
      <v>2019</v>
      <v>2016</v>
      <v>2017</v>
      <v>kilotons per year (2016)</v>
      <v>deaths per 100,000 (2017)</v>
      <v>kWh (2014)</v>
      <v>2015</v>
      <v>2019</v>
      <v>2014</v>
      <v>2014</v>
      <v>2014</v>
      <v>2014</v>
      <v>2014</v>
      <v>2014</v>
      <v>2014</v>
      <v>2014</v>
      <v>2017</v>
      <v>2017</v>
      <v>2019</v>
    </spb>
    <spb s="0">
      <v xml:space="preserve">Wikipedia	Cia	Facebook	</v>
      <v xml:space="preserve">CC-BY-SA			</v>
      <v xml:space="preserve">http://en.wikipedia.org/wiki/Spain	https://www.cia.gov/library/publications/the-world-factbook/geos/sp.html?Transportation	https://www.facebook.com/spain.info.no	</v>
      <v xml:space="preserve">http://creativecommons.org/licenses/by-sa/3.0/			</v>
    </spb>
    <spb s="0">
      <v xml:space="preserve">Wikipedia	</v>
      <v xml:space="preserve">CC BY-SA 3.0	</v>
      <v xml:space="preserve">https://en.wikipedia.org/wiki/Spain	</v>
      <v xml:space="preserve">https://creativecommons.org/licenses/by-sa/3.0	</v>
    </spb>
    <spb s="0">
      <v xml:space="preserve">Wikipedia	</v>
      <v xml:space="preserve">CC-BY-SA	</v>
      <v xml:space="preserve">http://en.wikipedia.org/wiki/Spain	</v>
      <v xml:space="preserve">http://creativecommons.org/licenses/by-sa/3.0/	</v>
    </spb>
    <spb s="0">
      <v xml:space="preserve">Cia	</v>
      <v xml:space="preserve">	</v>
      <v xml:space="preserve">https://www.cia.gov/library/publications/the-world-factbook/geos/sp.html?Transportation	</v>
      <v xml:space="preserve">	</v>
    </spb>
    <spb s="9">
      <v>0</v>
      <v>86</v>
      <v>87</v>
      <v>87</v>
      <v>3</v>
      <v>87</v>
      <v>87</v>
      <v>87</v>
      <v>88</v>
      <v>87</v>
      <v>87</v>
      <v>88</v>
      <v>87</v>
      <v>87</v>
      <v>89</v>
      <v>6</v>
      <v>86</v>
      <v>89</v>
      <v>7</v>
      <v>87</v>
      <v>89</v>
      <v>8</v>
      <v>9</v>
      <v>10</v>
      <v>89</v>
      <v>89</v>
      <v>87</v>
      <v>89</v>
      <v>11</v>
      <v>12</v>
      <v>13</v>
      <v>14</v>
      <v>89</v>
      <v>86</v>
      <v>89</v>
      <v>89</v>
      <v>89</v>
      <v>89</v>
      <v>89</v>
      <v>89</v>
      <v>89</v>
      <v>89</v>
      <v>89</v>
      <v>89</v>
      <v>15</v>
    </spb>
    <spb s="7">
      <v>2019</v>
      <v>2019</v>
      <v>square km</v>
      <v>per thousand (2018)</v>
      <v>2022</v>
      <v>2019</v>
      <v>2018</v>
      <v>per liter (2016)</v>
      <v>2019</v>
      <v>years (2018)</v>
      <v>2018</v>
      <v>per thousand (2018)</v>
      <v>2019</v>
      <v>2017</v>
      <v>2016</v>
      <v>2019</v>
      <v>2016</v>
      <v>2017</v>
      <v>kilotons per year (2016)</v>
      <v>deaths per 100,000 (2017)</v>
      <v>kWh (2014)</v>
      <v>2015</v>
      <v>2019</v>
      <v>2017</v>
      <v>2017</v>
      <v>2017</v>
      <v>2017</v>
      <v>2017</v>
      <v>2015</v>
      <v>2017</v>
      <v>2017</v>
      <v>2017</v>
      <v>2017</v>
      <v>2019</v>
    </spb>
  </spbData>
</supportingPropertyBags>
</file>

<file path=xl/richData/rdsupportingpropertybagstructure.xml><?xml version="1.0" encoding="utf-8"?>
<spbStructures xmlns="http://schemas.microsoft.com/office/spreadsheetml/2017/richdata2" count="11">
  <s>
    <k n="SourceText" t="s"/>
    <k n="LicenseText" t="s"/>
    <k n="SourceAddress" t="s"/>
    <k n="LicenseAddress"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Order" t="spba"/>
    <k n="TitleProperty" t="s"/>
    <k n="SubTitleProperty" t="s"/>
  </s>
  <s>
    <k n="ShowInCardView" t="b"/>
    <k n="ShowInDotNotation" t="b"/>
    <k n="ShowInAutoComplete" t="b"/>
  </s>
  <s>
    <k n="UniqueName" t="spb"/>
    <k n="VDPID/VSID" t="spb"/>
    <k n="LearnMoreOnLink" t="spb"/>
  </s>
  <s>
    <k n="Name" t="i"/>
    <k n="Image" t="i"/>
  </s>
  <s>
    <k n="link" t="s"/>
    <k n="logo" t="s"/>
    <k n="name" t="s"/>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_Self" t="i"/>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Total tax rate" t="spb"/>
    <k n="Life expectancy" t="spb"/>
    <k n="National anthem" t="spb"/>
    <k n="Tax revenue (%)" t="spb"/>
    <k n="Infant mortality" t="spb"/>
    <k n="Urban population" t="spb"/>
    <k n="Armed forces size" t="spb"/>
    <k n="Forested area (%)"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3" formatCode="#,##0"/>
    </x:dxf>
    <x:dxf>
      <x:numFmt numFmtId="0" formatCode="General"/>
    </x:dxf>
    <x:dxf>
      <x:numFmt numFmtId="2" formatCode="0.00"/>
    </x:dxf>
    <x:dxf>
      <x:numFmt numFmtId="14" formatCode="0.00%"/>
    </x:dxf>
    <x:dxf>
      <x:numFmt numFmtId="4" formatCode="#,##0.00"/>
    </x:dxf>
    <x:dxf>
      <x:numFmt numFmtId="1" formatCode="0"/>
    </x:dxf>
  </dxfs>
  <richProperties>
    <rPr n="IsTitleField" t="b"/>
    <rPr n="IsHeroField" t="b"/>
    <rPr n="NumberFormat" t="s"/>
  </richProperties>
  <richStyles>
    <rSty>
      <rpv i="0">1</rpv>
    </rSty>
    <rSty>
      <rpv i="1">1</rpv>
    </rSty>
    <rSty dxfid="3">
      <rpv i="2">0.0%</rpv>
    </rSty>
    <rSty dxfid="0">
      <rpv i="2">#,##0</rpv>
    </rSty>
    <rSty dxfid="2">
      <rpv i="2">0.00</rpv>
    </rSty>
    <rSty dxfid="5">
      <rpv i="2">0</rpv>
    </rSty>
    <rSty dxfid="4">
      <rpv i="2">#,##0.00</rpv>
    </rSty>
    <rSty dxfid="1">
      <rpv i="2">0.0</rpv>
    </rSty>
    <rSty dxfid="1">
      <rpv i="2">_([$$-en-US]* #,##0.00_);_([$$-en-US]* (#,##0.00);_([$$-en-US]* "-"??_);_(@_)</rpv>
    </rSty>
    <rSty dxfid="1">
      <rpv i="2">_([$$-en-US]* #,##0_);_([$$-en-US]* (#,##0);_([$$-en-US]* "-"_);_(@_)</rpv>
    </rSty>
    <rSty dxfid="3"/>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568D27-E287-403B-B1FA-57F0452AFF24}" name="Registration" displayName="Registration" ref="A1:L61" totalsRowShown="0" headerRowDxfId="262" dataDxfId="261">
  <autoFilter ref="A1:L61" xr:uid="{51568D27-E287-403B-B1FA-57F0452AFF24}"/>
  <sortState xmlns:xlrd2="http://schemas.microsoft.com/office/spreadsheetml/2017/richdata2" ref="A2:L61">
    <sortCondition ref="B1:B61"/>
  </sortState>
  <tableColumns count="12">
    <tableColumn id="13" xr3:uid="{85EF6EAF-BB0B-4D9C-B6FD-2A52D961B0C4}" name="#" dataDxfId="260">
      <calculatedColumnFormula>ROW()-1</calculatedColumnFormula>
    </tableColumn>
    <tableColumn id="1" xr3:uid="{3300AFF3-7837-43B5-8DF4-B4B0A955526E}" name="Name" dataDxfId="259"/>
    <tableColumn id="2" xr3:uid="{AF200FCC-B052-4A39-B940-DBCBCF9F9239}" name="Nickname" dataDxfId="258"/>
    <tableColumn id="3" xr3:uid="{60A50DBE-13FD-44D5-ABC6-EF97031611A5}" name="Country" dataDxfId="257"/>
    <tableColumn id="4" xr3:uid="{7065C323-42E5-4C50-8E62-C998289523B5}" name="TT Order" dataDxfId="256"/>
    <tableColumn id="5" xr3:uid="{3CFD023F-21C3-4AB7-8693-0E361BD652D4}" name="BM Order" dataDxfId="255"/>
    <tableColumn id="6" xr3:uid="{45E8F1A0-A469-413A-B605-D5E8937BDB0E}" name="MR Order" dataDxfId="254"/>
    <tableColumn id="7" xr3:uid="{4CEAA4BE-16C0-426E-A623-C892F0AEDD5A}" name="GP Order" dataDxfId="253"/>
    <tableColumn id="8" xr3:uid="{5EF2F846-403A-4318-808A-DB83446B2510}" name="TT" dataDxfId="252"/>
    <tableColumn id="9" xr3:uid="{1DC8EB17-3486-4DFA-9293-0B9BDF2FD08A}" name="BM" dataDxfId="251"/>
    <tableColumn id="10" xr3:uid="{3A6220FE-E16F-4B75-B4B2-DAF0713336B9}" name="MR" dataDxfId="250"/>
    <tableColumn id="11" xr3:uid="{5E5FD3CF-31B3-4B95-A949-4B8E622C33F9}" name="GP" dataDxfId="24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87485F-9CB0-4C65-A36F-5CC4F58F9E52}" name="Tracks" displayName="Tracks" ref="C1:D21" totalsRowShown="0" headerRowDxfId="248" dataDxfId="247" headerRowBorderDxfId="245" tableBorderDxfId="246" totalsRowBorderDxfId="244">
  <autoFilter ref="C1:D21" xr:uid="{AC87485F-9CB0-4C65-A36F-5CC4F58F9E52}"/>
  <tableColumns count="2">
    <tableColumn id="1" xr3:uid="{A2C4E309-5BAC-4DA7-97F1-ED0FE01D235E}" name="Track Name" dataDxfId="243"/>
    <tableColumn id="2" xr3:uid="{906182A1-D598-45AA-9D61-89D3C64E27B4}" name="Track Abbr."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F5174A-7FB4-4945-BC8F-CBF667BEE624}" name="Cups" displayName="Cups" ref="F1:F5" totalsRowShown="0" headerRowDxfId="241" dataDxfId="240" headerRowBorderDxfId="239">
  <autoFilter ref="F1:F5" xr:uid="{6EF5174A-7FB4-4945-BC8F-CBF667BEE624}"/>
  <tableColumns count="1">
    <tableColumn id="1" xr3:uid="{EB275C21-7825-481A-ADA2-1575BDE86687}" name="Cups" dataDxfId="23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EE09B-48F3-4490-B877-8993214607F2}">
  <sheetPr codeName="Sheet1">
    <tabColor theme="1"/>
  </sheetPr>
  <dimension ref="A1:U61"/>
  <sheetViews>
    <sheetView zoomScaleNormal="100" workbookViewId="0">
      <selection activeCell="Q11" sqref="Q11"/>
    </sheetView>
  </sheetViews>
  <sheetFormatPr defaultColWidth="6.7109375" defaultRowHeight="12.75"/>
  <cols>
    <col min="1" max="1" width="6.85546875" style="4" bestFit="1" customWidth="1"/>
    <col min="2" max="2" width="25.7109375" style="2" bestFit="1" customWidth="1"/>
    <col min="3" max="3" width="12.85546875" style="2" bestFit="1" customWidth="1"/>
    <col min="4" max="4" width="17.85546875" style="41" bestFit="1" customWidth="1"/>
    <col min="5" max="5" width="13.42578125" style="4" bestFit="1" customWidth="1"/>
    <col min="6" max="6" width="14.140625" style="4" bestFit="1" customWidth="1"/>
    <col min="7" max="7" width="14.28515625" style="4" bestFit="1" customWidth="1"/>
    <col min="8" max="8" width="13.7109375" style="4" bestFit="1" customWidth="1"/>
    <col min="9" max="9" width="7.5703125" style="4" bestFit="1" customWidth="1"/>
    <col min="10" max="10" width="8.28515625" style="4" bestFit="1" customWidth="1"/>
    <col min="11" max="11" width="8.42578125" style="4" bestFit="1" customWidth="1"/>
    <col min="12" max="12" width="7.85546875" style="4" bestFit="1" customWidth="1"/>
    <col min="13" max="13" width="6.7109375" style="2"/>
    <col min="14" max="14" width="10" style="2" bestFit="1" customWidth="1"/>
    <col min="15" max="15" width="3.28515625" style="4" bestFit="1" customWidth="1"/>
    <col min="16" max="16" width="3.7109375" style="4" bestFit="1" customWidth="1"/>
    <col min="17" max="17" width="3.85546875" style="4" bestFit="1" customWidth="1"/>
    <col min="18" max="18" width="3.28515625" style="4" bestFit="1" customWidth="1"/>
    <col min="19" max="19" width="6.7109375" style="2"/>
    <col min="20" max="20" width="17.42578125" style="2" bestFit="1" customWidth="1"/>
    <col min="21" max="21" width="5.5703125" style="4" bestFit="1" customWidth="1"/>
    <col min="22" max="16384" width="6.7109375" style="4"/>
  </cols>
  <sheetData>
    <row r="1" spans="1:21">
      <c r="A1" s="4" t="s">
        <v>0</v>
      </c>
      <c r="B1" s="2" t="s">
        <v>1</v>
      </c>
      <c r="C1" s="2" t="s">
        <v>2</v>
      </c>
      <c r="D1" s="41" t="s">
        <v>3</v>
      </c>
      <c r="E1" s="4" t="s">
        <v>4</v>
      </c>
      <c r="F1" s="4" t="s">
        <v>5</v>
      </c>
      <c r="G1" s="4" t="s">
        <v>6</v>
      </c>
      <c r="H1" s="4" t="s">
        <v>7</v>
      </c>
      <c r="I1" s="4" t="s">
        <v>8</v>
      </c>
      <c r="J1" s="4" t="s">
        <v>9</v>
      </c>
      <c r="K1" s="4" t="s">
        <v>10</v>
      </c>
      <c r="L1" s="4" t="s">
        <v>11</v>
      </c>
      <c r="O1" s="15" t="s">
        <v>8</v>
      </c>
      <c r="P1" s="15" t="s">
        <v>9</v>
      </c>
      <c r="Q1" s="15" t="s">
        <v>10</v>
      </c>
      <c r="R1" s="15" t="s">
        <v>11</v>
      </c>
      <c r="U1" s="15" t="s">
        <v>12</v>
      </c>
    </row>
    <row r="2" spans="1:21">
      <c r="A2" s="40">
        <f>ROW()-1</f>
        <v>1</v>
      </c>
      <c r="B2" s="2" t="s">
        <v>13</v>
      </c>
      <c r="C2" s="2" t="s">
        <v>14</v>
      </c>
      <c r="D2" s="41" t="e" vm="1">
        <v>#VALUE!</v>
      </c>
      <c r="E2" s="4">
        <v>38</v>
      </c>
      <c r="F2" s="4">
        <v>37</v>
      </c>
      <c r="G2" s="4">
        <v>42</v>
      </c>
      <c r="H2" s="4">
        <v>41</v>
      </c>
      <c r="I2" s="4" t="s">
        <v>15</v>
      </c>
      <c r="J2" s="4" t="s">
        <v>15</v>
      </c>
      <c r="K2" s="4" t="s">
        <v>15</v>
      </c>
      <c r="L2" s="4" t="s">
        <v>15</v>
      </c>
      <c r="N2" s="15" t="s">
        <v>16</v>
      </c>
      <c r="O2" s="9">
        <f>COUNTIF(Registration[TT],"Yes")</f>
        <v>47</v>
      </c>
      <c r="P2" s="9">
        <f>COUNTIF(Registration[BM],"Yes")</f>
        <v>45</v>
      </c>
      <c r="Q2" s="9">
        <f>COUNTIF(Registration[MR],"Yes")</f>
        <v>45</v>
      </c>
      <c r="R2" s="9">
        <f>COUNTIF(Registration[GP],"Yes")</f>
        <v>42</v>
      </c>
      <c r="T2" s="15" t="e" cm="1" vm="1">
        <f t="array" ref="T2:T12">_xlfn.UNIQUE(_xlfn._xlws.FILTER(Registration[Country],Registration[Country]&lt;&gt;""))</f>
        <v>#VALUE!</v>
      </c>
      <c r="U2" s="9" cm="1">
        <f t="array" ref="U2:U12">COUNTIF(Registration[Country],_xlfn.ANCHORARRAY(T2))</f>
        <v>1</v>
      </c>
    </row>
    <row r="3" spans="1:21">
      <c r="A3" s="40">
        <f>ROW()-1</f>
        <v>2</v>
      </c>
      <c r="B3" s="2" t="s">
        <v>17</v>
      </c>
      <c r="C3" s="2" t="s">
        <v>18</v>
      </c>
      <c r="D3" s="41" t="e" vm="2">
        <v>#VALUE!</v>
      </c>
      <c r="E3" s="4">
        <v>28</v>
      </c>
      <c r="F3" s="4">
        <v>42</v>
      </c>
      <c r="G3" s="4">
        <v>29</v>
      </c>
      <c r="H3" s="4">
        <v>29</v>
      </c>
      <c r="I3" s="4" t="s">
        <v>15</v>
      </c>
      <c r="J3" s="4" t="s">
        <v>15</v>
      </c>
      <c r="K3" s="4" t="s">
        <v>15</v>
      </c>
      <c r="L3" s="4" t="s">
        <v>15</v>
      </c>
      <c r="N3" s="15" t="s">
        <v>19</v>
      </c>
      <c r="O3" s="3">
        <v>24</v>
      </c>
      <c r="P3" s="3">
        <v>24</v>
      </c>
      <c r="Q3" s="3">
        <v>24</v>
      </c>
      <c r="R3" s="3">
        <v>24</v>
      </c>
      <c r="T3" s="15" t="e" vm="2">
        <v>#VALUE!</v>
      </c>
      <c r="U3" s="9">
        <v>5</v>
      </c>
    </row>
    <row r="4" spans="1:21">
      <c r="A4" s="40">
        <f>ROW()-1</f>
        <v>3</v>
      </c>
      <c r="B4" s="2" t="s">
        <v>20</v>
      </c>
      <c r="C4" s="2" t="s">
        <v>21</v>
      </c>
      <c r="D4" s="41" t="e" vm="3">
        <v>#VALUE!</v>
      </c>
      <c r="E4" s="4">
        <v>44</v>
      </c>
      <c r="F4" s="4">
        <v>40</v>
      </c>
      <c r="G4" s="4">
        <v>35</v>
      </c>
      <c r="I4" s="4" t="s">
        <v>15</v>
      </c>
      <c r="J4" s="4" t="s">
        <v>15</v>
      </c>
      <c r="K4" s="4" t="s">
        <v>15</v>
      </c>
      <c r="L4" s="4" t="s">
        <v>22</v>
      </c>
      <c r="N4" s="15" t="s">
        <v>23</v>
      </c>
      <c r="O4" s="3">
        <v>0</v>
      </c>
      <c r="P4" s="3">
        <v>3</v>
      </c>
      <c r="Q4" s="3">
        <v>3</v>
      </c>
      <c r="R4" s="3">
        <v>3</v>
      </c>
      <c r="T4" s="15" t="e" vm="3">
        <v>#VALUE!</v>
      </c>
      <c r="U4" s="9">
        <v>30</v>
      </c>
    </row>
    <row r="5" spans="1:21">
      <c r="A5" s="40">
        <f>ROW()-1</f>
        <v>4</v>
      </c>
      <c r="B5" s="2" t="s">
        <v>24</v>
      </c>
      <c r="C5" s="2" t="s">
        <v>25</v>
      </c>
      <c r="D5" s="41" t="e" vm="3">
        <v>#VALUE!</v>
      </c>
      <c r="E5" s="4">
        <v>42</v>
      </c>
      <c r="F5" s="4">
        <v>26</v>
      </c>
      <c r="I5" s="4" t="s">
        <v>15</v>
      </c>
      <c r="J5" s="4" t="s">
        <v>15</v>
      </c>
      <c r="K5" s="4" t="s">
        <v>22</v>
      </c>
      <c r="L5" s="4" t="s">
        <v>22</v>
      </c>
      <c r="T5" s="15" t="e" vm="4">
        <v>#VALUE!</v>
      </c>
      <c r="U5" s="9">
        <v>3</v>
      </c>
    </row>
    <row r="6" spans="1:21">
      <c r="A6" s="40">
        <f>ROW()-1</f>
        <v>5</v>
      </c>
      <c r="B6" s="2" t="s">
        <v>26</v>
      </c>
      <c r="C6" s="2" t="s">
        <v>27</v>
      </c>
      <c r="D6" s="41" t="e" vm="2">
        <v>#VALUE!</v>
      </c>
      <c r="E6" s="4">
        <v>17</v>
      </c>
      <c r="F6" s="4">
        <v>19</v>
      </c>
      <c r="G6" s="4">
        <v>18</v>
      </c>
      <c r="H6" s="4">
        <v>10</v>
      </c>
      <c r="I6" s="4" t="s">
        <v>15</v>
      </c>
      <c r="J6" s="4" t="s">
        <v>15</v>
      </c>
      <c r="K6" s="4" t="s">
        <v>15</v>
      </c>
      <c r="L6" s="4" t="s">
        <v>15</v>
      </c>
      <c r="T6" s="15" t="e" vm="5">
        <v>#VALUE!</v>
      </c>
      <c r="U6" s="9">
        <v>1</v>
      </c>
    </row>
    <row r="7" spans="1:21">
      <c r="A7" s="40">
        <f>ROW()-1</f>
        <v>6</v>
      </c>
      <c r="B7" s="2" t="s">
        <v>28</v>
      </c>
      <c r="C7" s="2" t="s">
        <v>29</v>
      </c>
      <c r="D7" s="41" t="e" vm="4">
        <v>#VALUE!</v>
      </c>
      <c r="E7" s="4">
        <v>21</v>
      </c>
      <c r="F7" s="4">
        <v>7</v>
      </c>
      <c r="G7" s="4">
        <v>20</v>
      </c>
      <c r="H7" s="4">
        <v>15</v>
      </c>
      <c r="I7" s="4" t="s">
        <v>15</v>
      </c>
      <c r="J7" s="4" t="s">
        <v>15</v>
      </c>
      <c r="K7" s="4" t="s">
        <v>15</v>
      </c>
      <c r="L7" s="4" t="s">
        <v>15</v>
      </c>
      <c r="T7" s="15" t="e" vm="6">
        <v>#VALUE!</v>
      </c>
      <c r="U7" s="9">
        <v>2</v>
      </c>
    </row>
    <row r="8" spans="1:21">
      <c r="A8" s="40">
        <f>ROW()-1</f>
        <v>7</v>
      </c>
      <c r="B8" s="2" t="s">
        <v>30</v>
      </c>
      <c r="C8" s="2" t="s">
        <v>31</v>
      </c>
      <c r="D8" s="41" t="e" vm="3">
        <v>#VALUE!</v>
      </c>
      <c r="E8" s="4">
        <v>32</v>
      </c>
      <c r="F8" s="4">
        <v>29</v>
      </c>
      <c r="G8" s="4">
        <v>30</v>
      </c>
      <c r="H8" s="4">
        <v>26</v>
      </c>
      <c r="I8" s="4" t="s">
        <v>15</v>
      </c>
      <c r="J8" s="4" t="s">
        <v>15</v>
      </c>
      <c r="K8" s="4" t="s">
        <v>15</v>
      </c>
      <c r="L8" s="4" t="s">
        <v>15</v>
      </c>
      <c r="T8" s="15" t="e" vm="7">
        <v>#VALUE!</v>
      </c>
      <c r="U8" s="9">
        <v>8</v>
      </c>
    </row>
    <row r="9" spans="1:21">
      <c r="A9" s="40">
        <f>ROW()-1</f>
        <v>8</v>
      </c>
      <c r="B9" s="2" t="s">
        <v>32</v>
      </c>
      <c r="C9" s="2" t="s">
        <v>33</v>
      </c>
      <c r="D9" s="41" t="e" vm="5">
        <v>#VALUE!</v>
      </c>
      <c r="E9" s="4">
        <v>45</v>
      </c>
      <c r="F9" s="4">
        <v>44</v>
      </c>
      <c r="G9" s="4">
        <v>40</v>
      </c>
      <c r="I9" s="4" t="s">
        <v>15</v>
      </c>
      <c r="J9" s="4" t="s">
        <v>15</v>
      </c>
      <c r="K9" s="4" t="s">
        <v>15</v>
      </c>
      <c r="L9" s="4" t="s">
        <v>22</v>
      </c>
      <c r="T9" s="15" t="e" vm="8">
        <v>#VALUE!</v>
      </c>
      <c r="U9" s="9">
        <v>3</v>
      </c>
    </row>
    <row r="10" spans="1:21">
      <c r="A10" s="40">
        <f>ROW()-1</f>
        <v>9</v>
      </c>
      <c r="B10" s="2" t="s">
        <v>34</v>
      </c>
      <c r="C10" s="2" t="s">
        <v>35</v>
      </c>
      <c r="D10" s="41" t="e" vm="2">
        <v>#VALUE!</v>
      </c>
      <c r="E10" s="4">
        <v>6</v>
      </c>
      <c r="F10" s="4">
        <v>11</v>
      </c>
      <c r="G10" s="4">
        <v>14</v>
      </c>
      <c r="H10" s="4">
        <v>14</v>
      </c>
      <c r="I10" s="4" t="s">
        <v>15</v>
      </c>
      <c r="J10" s="4" t="s">
        <v>15</v>
      </c>
      <c r="K10" s="4" t="s">
        <v>15</v>
      </c>
      <c r="L10" s="4" t="s">
        <v>15</v>
      </c>
      <c r="T10" s="15" t="e" vm="9">
        <v>#VALUE!</v>
      </c>
      <c r="U10" s="9">
        <v>1</v>
      </c>
    </row>
    <row r="11" spans="1:21">
      <c r="A11" s="40">
        <f>ROW()-1</f>
        <v>10</v>
      </c>
      <c r="B11" s="2" t="s">
        <v>36</v>
      </c>
      <c r="C11" s="2" t="s">
        <v>37</v>
      </c>
      <c r="D11" s="41" t="e" vm="3">
        <v>#VALUE!</v>
      </c>
      <c r="E11" s="4">
        <v>19</v>
      </c>
      <c r="F11" s="4">
        <v>12</v>
      </c>
      <c r="G11" s="4">
        <v>25</v>
      </c>
      <c r="H11" s="4">
        <v>30</v>
      </c>
      <c r="I11" s="4" t="s">
        <v>15</v>
      </c>
      <c r="J11" s="4" t="s">
        <v>15</v>
      </c>
      <c r="K11" s="4" t="s">
        <v>15</v>
      </c>
      <c r="L11" s="4" t="s">
        <v>15</v>
      </c>
      <c r="T11" s="15" t="e" vm="10">
        <v>#VALUE!</v>
      </c>
      <c r="U11" s="9">
        <v>1</v>
      </c>
    </row>
    <row r="12" spans="1:21">
      <c r="A12" s="40">
        <f>ROW()-1</f>
        <v>11</v>
      </c>
      <c r="B12" s="2" t="s">
        <v>38</v>
      </c>
      <c r="C12" s="2" t="s">
        <v>39</v>
      </c>
      <c r="D12" s="41" t="e" vm="6">
        <v>#VALUE!</v>
      </c>
      <c r="E12" s="4">
        <v>26</v>
      </c>
      <c r="F12" s="4">
        <v>1</v>
      </c>
      <c r="G12" s="4">
        <v>9</v>
      </c>
      <c r="H12" s="4">
        <v>8</v>
      </c>
      <c r="I12" s="4" t="s">
        <v>15</v>
      </c>
      <c r="J12" s="4" t="s">
        <v>15</v>
      </c>
      <c r="K12" s="4" t="s">
        <v>15</v>
      </c>
      <c r="L12" s="4" t="s">
        <v>15</v>
      </c>
      <c r="T12" s="15" t="e" vm="11">
        <v>#VALUE!</v>
      </c>
      <c r="U12" s="9">
        <v>1</v>
      </c>
    </row>
    <row r="13" spans="1:21">
      <c r="A13" s="40">
        <f>ROW()-1</f>
        <v>12</v>
      </c>
      <c r="B13" s="2" t="s">
        <v>40</v>
      </c>
      <c r="C13" s="2" t="s">
        <v>41</v>
      </c>
      <c r="D13" s="41" t="e" vm="7">
        <v>#VALUE!</v>
      </c>
      <c r="E13" s="4">
        <v>23</v>
      </c>
      <c r="F13" s="4">
        <v>30</v>
      </c>
      <c r="I13" s="4" t="s">
        <v>15</v>
      </c>
      <c r="J13" s="4" t="s">
        <v>15</v>
      </c>
      <c r="K13" s="4" t="s">
        <v>22</v>
      </c>
      <c r="L13" s="4" t="s">
        <v>22</v>
      </c>
    </row>
    <row r="14" spans="1:21">
      <c r="A14" s="40">
        <f>ROW()-1</f>
        <v>13</v>
      </c>
      <c r="B14" s="2" t="s">
        <v>42</v>
      </c>
      <c r="C14" s="2" t="s">
        <v>43</v>
      </c>
      <c r="D14" s="41" t="e" vm="3">
        <v>#VALUE!</v>
      </c>
      <c r="E14" s="4">
        <v>31</v>
      </c>
      <c r="F14" s="4">
        <v>39</v>
      </c>
      <c r="G14" s="4">
        <v>31</v>
      </c>
      <c r="H14" s="4">
        <v>28</v>
      </c>
      <c r="I14" s="4" t="s">
        <v>15</v>
      </c>
      <c r="J14" s="4" t="s">
        <v>15</v>
      </c>
      <c r="K14" s="4" t="s">
        <v>15</v>
      </c>
      <c r="L14" s="4" t="s">
        <v>15</v>
      </c>
    </row>
    <row r="15" spans="1:21">
      <c r="A15" s="40">
        <f>ROW()-1</f>
        <v>14</v>
      </c>
      <c r="B15" s="2" t="s">
        <v>44</v>
      </c>
      <c r="C15" s="2" t="s">
        <v>45</v>
      </c>
      <c r="D15" s="41" t="e" vm="3">
        <v>#VALUE!</v>
      </c>
      <c r="E15" s="4">
        <v>24</v>
      </c>
      <c r="F15" s="4">
        <v>32</v>
      </c>
      <c r="G15" s="4">
        <v>28</v>
      </c>
      <c r="H15" s="4">
        <v>27</v>
      </c>
      <c r="I15" s="4" t="s">
        <v>15</v>
      </c>
      <c r="J15" s="4" t="s">
        <v>15</v>
      </c>
      <c r="K15" s="4" t="s">
        <v>15</v>
      </c>
      <c r="L15" s="4" t="s">
        <v>15</v>
      </c>
    </row>
    <row r="16" spans="1:21">
      <c r="A16" s="40">
        <f>ROW()-1</f>
        <v>15</v>
      </c>
      <c r="B16" s="2" t="s">
        <v>46</v>
      </c>
      <c r="C16" s="2" t="s">
        <v>47</v>
      </c>
      <c r="D16" s="41" t="e" vm="3">
        <v>#VALUE!</v>
      </c>
      <c r="E16" s="4">
        <v>10</v>
      </c>
      <c r="F16" s="4">
        <v>20</v>
      </c>
      <c r="G16" s="4">
        <v>11</v>
      </c>
      <c r="H16" s="4">
        <v>13</v>
      </c>
      <c r="I16" s="4" t="s">
        <v>15</v>
      </c>
      <c r="J16" s="4" t="s">
        <v>15</v>
      </c>
      <c r="K16" s="4" t="s">
        <v>15</v>
      </c>
      <c r="L16" s="4" t="s">
        <v>15</v>
      </c>
    </row>
    <row r="17" spans="1:12">
      <c r="A17" s="40">
        <f>ROW()-1</f>
        <v>16</v>
      </c>
      <c r="B17" s="2" t="s">
        <v>48</v>
      </c>
      <c r="C17" s="2" t="s">
        <v>49</v>
      </c>
      <c r="D17" s="41" t="e" vm="3">
        <v>#VALUE!</v>
      </c>
      <c r="E17" s="4">
        <v>13</v>
      </c>
      <c r="F17" s="4">
        <v>9</v>
      </c>
      <c r="G17" s="4">
        <v>15</v>
      </c>
      <c r="H17" s="4">
        <v>18</v>
      </c>
      <c r="I17" s="4" t="s">
        <v>15</v>
      </c>
      <c r="J17" s="4" t="s">
        <v>15</v>
      </c>
      <c r="K17" s="4" t="s">
        <v>15</v>
      </c>
      <c r="L17" s="4" t="s">
        <v>15</v>
      </c>
    </row>
    <row r="18" spans="1:12">
      <c r="A18" s="40">
        <f>ROW()-1</f>
        <v>17</v>
      </c>
      <c r="B18" s="2" t="s">
        <v>50</v>
      </c>
      <c r="C18" s="2" t="s">
        <v>51</v>
      </c>
      <c r="D18" s="41" t="e" vm="3">
        <v>#VALUE!</v>
      </c>
      <c r="G18" s="4">
        <v>17</v>
      </c>
      <c r="H18" s="4">
        <v>19</v>
      </c>
      <c r="I18" s="4" t="s">
        <v>22</v>
      </c>
      <c r="J18" s="4" t="s">
        <v>22</v>
      </c>
      <c r="K18" s="4" t="s">
        <v>15</v>
      </c>
      <c r="L18" s="4" t="s">
        <v>15</v>
      </c>
    </row>
    <row r="19" spans="1:12">
      <c r="A19" s="40">
        <f>ROW()-1</f>
        <v>18</v>
      </c>
      <c r="B19" s="2" t="s">
        <v>52</v>
      </c>
      <c r="C19" s="2" t="s">
        <v>53</v>
      </c>
      <c r="D19" s="41" t="e" vm="3">
        <v>#VALUE!</v>
      </c>
      <c r="E19" s="4">
        <v>33</v>
      </c>
      <c r="F19" s="4">
        <v>34</v>
      </c>
      <c r="G19" s="4">
        <v>38</v>
      </c>
      <c r="H19" s="4">
        <v>32</v>
      </c>
      <c r="I19" s="4" t="s">
        <v>15</v>
      </c>
      <c r="J19" s="4" t="s">
        <v>15</v>
      </c>
      <c r="K19" s="4" t="s">
        <v>15</v>
      </c>
      <c r="L19" s="4" t="s">
        <v>15</v>
      </c>
    </row>
    <row r="20" spans="1:12">
      <c r="A20" s="40">
        <f>ROW()-1</f>
        <v>19</v>
      </c>
      <c r="B20" s="2" t="s">
        <v>54</v>
      </c>
      <c r="C20" s="2" t="s">
        <v>55</v>
      </c>
      <c r="D20" s="41" t="e" vm="3">
        <v>#VALUE!</v>
      </c>
      <c r="E20" s="4">
        <v>8</v>
      </c>
      <c r="F20" s="4">
        <v>2</v>
      </c>
      <c r="G20" s="4">
        <v>8</v>
      </c>
      <c r="H20" s="4">
        <v>7</v>
      </c>
      <c r="I20" s="4" t="s">
        <v>15</v>
      </c>
      <c r="J20" s="4" t="s">
        <v>15</v>
      </c>
      <c r="K20" s="4" t="s">
        <v>15</v>
      </c>
      <c r="L20" s="4" t="s">
        <v>15</v>
      </c>
    </row>
    <row r="21" spans="1:12">
      <c r="A21" s="40">
        <f>ROW()-1</f>
        <v>20</v>
      </c>
      <c r="B21" s="2" t="s">
        <v>56</v>
      </c>
      <c r="C21" s="2" t="s">
        <v>57</v>
      </c>
      <c r="D21" s="41" t="e" vm="3">
        <v>#VALUE!</v>
      </c>
      <c r="E21" s="4">
        <v>39</v>
      </c>
      <c r="F21" s="4">
        <v>35</v>
      </c>
      <c r="G21" s="4">
        <v>41</v>
      </c>
      <c r="H21" s="4">
        <v>38</v>
      </c>
      <c r="I21" s="4" t="s">
        <v>15</v>
      </c>
      <c r="J21" s="4" t="s">
        <v>15</v>
      </c>
      <c r="K21" s="4" t="s">
        <v>15</v>
      </c>
      <c r="L21" s="4" t="s">
        <v>15</v>
      </c>
    </row>
    <row r="22" spans="1:12">
      <c r="A22" s="40">
        <f>ROW()-1</f>
        <v>21</v>
      </c>
      <c r="B22" s="2" t="s">
        <v>58</v>
      </c>
      <c r="C22" s="2" t="s">
        <v>59</v>
      </c>
      <c r="D22" s="41" t="e" vm="7">
        <v>#VALUE!</v>
      </c>
      <c r="F22" s="4">
        <v>17</v>
      </c>
      <c r="G22" s="4">
        <v>16</v>
      </c>
      <c r="I22" s="4" t="s">
        <v>22</v>
      </c>
      <c r="J22" s="4" t="s">
        <v>15</v>
      </c>
      <c r="K22" s="4" t="s">
        <v>15</v>
      </c>
      <c r="L22" s="4" t="s">
        <v>22</v>
      </c>
    </row>
    <row r="23" spans="1:12">
      <c r="A23" s="40">
        <f>ROW()-1</f>
        <v>22</v>
      </c>
      <c r="B23" s="2" t="s">
        <v>60</v>
      </c>
      <c r="C23" s="2" t="s">
        <v>61</v>
      </c>
      <c r="D23" s="41" t="e" vm="3">
        <v>#VALUE!</v>
      </c>
      <c r="E23" s="4">
        <v>37</v>
      </c>
      <c r="F23" s="4">
        <v>41</v>
      </c>
      <c r="G23" s="4">
        <v>36</v>
      </c>
      <c r="H23" s="4">
        <v>33</v>
      </c>
      <c r="I23" s="4" t="s">
        <v>15</v>
      </c>
      <c r="J23" s="4" t="s">
        <v>15</v>
      </c>
      <c r="K23" s="4" t="s">
        <v>15</v>
      </c>
      <c r="L23" s="4" t="s">
        <v>15</v>
      </c>
    </row>
    <row r="24" spans="1:12">
      <c r="A24" s="40">
        <f>ROW()-1</f>
        <v>23</v>
      </c>
      <c r="B24" s="2" t="s">
        <v>62</v>
      </c>
      <c r="C24" s="2" t="s">
        <v>63</v>
      </c>
      <c r="D24" s="41" t="e" vm="3">
        <v>#VALUE!</v>
      </c>
      <c r="E24" s="4">
        <v>3</v>
      </c>
      <c r="F24" s="4">
        <v>5</v>
      </c>
      <c r="G24" s="4">
        <v>5</v>
      </c>
      <c r="H24" s="4">
        <v>4</v>
      </c>
      <c r="I24" s="4" t="s">
        <v>15</v>
      </c>
      <c r="J24" s="4" t="s">
        <v>15</v>
      </c>
      <c r="K24" s="4" t="s">
        <v>15</v>
      </c>
      <c r="L24" s="4" t="s">
        <v>15</v>
      </c>
    </row>
    <row r="25" spans="1:12">
      <c r="A25" s="40">
        <f>ROW()-1</f>
        <v>24</v>
      </c>
      <c r="B25" s="2" t="s">
        <v>64</v>
      </c>
      <c r="C25" s="2" t="s">
        <v>65</v>
      </c>
      <c r="D25" s="41" t="e" vm="3">
        <v>#VALUE!</v>
      </c>
      <c r="E25" s="4">
        <v>35</v>
      </c>
      <c r="F25" s="4">
        <v>33</v>
      </c>
      <c r="G25" s="4">
        <v>45</v>
      </c>
      <c r="H25" s="4">
        <v>35</v>
      </c>
      <c r="I25" s="4" t="s">
        <v>15</v>
      </c>
      <c r="J25" s="4" t="s">
        <v>15</v>
      </c>
      <c r="K25" s="4" t="s">
        <v>15</v>
      </c>
      <c r="L25" s="4" t="s">
        <v>15</v>
      </c>
    </row>
    <row r="26" spans="1:12">
      <c r="A26" s="40">
        <f>ROW()-1</f>
        <v>25</v>
      </c>
      <c r="B26" s="2" t="s">
        <v>66</v>
      </c>
      <c r="C26" s="2" t="s">
        <v>67</v>
      </c>
      <c r="D26" s="41" t="e" vm="4">
        <v>#VALUE!</v>
      </c>
      <c r="E26" s="4">
        <v>14</v>
      </c>
      <c r="F26" s="4">
        <v>15</v>
      </c>
      <c r="G26" s="4">
        <v>10</v>
      </c>
      <c r="H26" s="4">
        <v>11</v>
      </c>
      <c r="I26" s="4" t="s">
        <v>15</v>
      </c>
      <c r="J26" s="4" t="s">
        <v>15</v>
      </c>
      <c r="K26" s="4" t="s">
        <v>15</v>
      </c>
      <c r="L26" s="4" t="s">
        <v>15</v>
      </c>
    </row>
    <row r="27" spans="1:12">
      <c r="A27" s="40">
        <f>ROW()-1</f>
        <v>26</v>
      </c>
      <c r="B27" s="2" t="s">
        <v>68</v>
      </c>
      <c r="C27" s="2" t="s">
        <v>69</v>
      </c>
      <c r="D27" s="41" t="e" vm="3">
        <v>#VALUE!</v>
      </c>
      <c r="E27" s="4">
        <v>15</v>
      </c>
      <c r="F27" s="4">
        <v>31</v>
      </c>
      <c r="G27" s="4">
        <v>26</v>
      </c>
      <c r="H27" s="4">
        <v>22</v>
      </c>
      <c r="I27" s="4" t="s">
        <v>15</v>
      </c>
      <c r="J27" s="4" t="s">
        <v>15</v>
      </c>
      <c r="K27" s="4" t="s">
        <v>15</v>
      </c>
      <c r="L27" s="4" t="s">
        <v>15</v>
      </c>
    </row>
    <row r="28" spans="1:12">
      <c r="A28" s="40">
        <f>ROW()-1</f>
        <v>27</v>
      </c>
      <c r="B28" s="2" t="s">
        <v>70</v>
      </c>
      <c r="C28" s="2" t="s">
        <v>71</v>
      </c>
      <c r="D28" s="41" t="e" vm="3">
        <v>#VALUE!</v>
      </c>
      <c r="E28" s="4">
        <v>5</v>
      </c>
      <c r="F28" s="4">
        <v>23</v>
      </c>
      <c r="G28" s="4">
        <v>7</v>
      </c>
      <c r="H28" s="4">
        <v>12</v>
      </c>
      <c r="I28" s="4" t="s">
        <v>15</v>
      </c>
      <c r="J28" s="4" t="s">
        <v>15</v>
      </c>
      <c r="K28" s="4" t="s">
        <v>15</v>
      </c>
      <c r="L28" s="4" t="s">
        <v>15</v>
      </c>
    </row>
    <row r="29" spans="1:12">
      <c r="A29" s="40">
        <f>ROW()-1</f>
        <v>28</v>
      </c>
      <c r="B29" s="2" t="s">
        <v>72</v>
      </c>
      <c r="C29" s="2" t="s">
        <v>73</v>
      </c>
      <c r="D29" s="41" t="e" vm="6">
        <v>#VALUE!</v>
      </c>
      <c r="E29" s="4">
        <v>4</v>
      </c>
      <c r="F29" s="4">
        <v>8</v>
      </c>
      <c r="G29" s="4">
        <v>2</v>
      </c>
      <c r="H29" s="4">
        <v>1</v>
      </c>
      <c r="I29" s="4" t="s">
        <v>15</v>
      </c>
      <c r="J29" s="4" t="s">
        <v>15</v>
      </c>
      <c r="K29" s="4" t="s">
        <v>15</v>
      </c>
      <c r="L29" s="4" t="s">
        <v>15</v>
      </c>
    </row>
    <row r="30" spans="1:12">
      <c r="A30" s="40">
        <f>ROW()-1</f>
        <v>29</v>
      </c>
      <c r="B30" s="2" t="s">
        <v>74</v>
      </c>
      <c r="C30" s="2" t="s">
        <v>75</v>
      </c>
      <c r="D30" s="41" t="e" vm="3">
        <v>#VALUE!</v>
      </c>
      <c r="E30" s="4">
        <v>43</v>
      </c>
      <c r="F30" s="4">
        <v>38</v>
      </c>
      <c r="G30" s="4">
        <v>39</v>
      </c>
      <c r="H30" s="4">
        <v>34</v>
      </c>
      <c r="I30" s="4" t="s">
        <v>15</v>
      </c>
      <c r="J30" s="4" t="s">
        <v>15</v>
      </c>
      <c r="K30" s="4" t="s">
        <v>15</v>
      </c>
      <c r="L30" s="4" t="s">
        <v>15</v>
      </c>
    </row>
    <row r="31" spans="1:12">
      <c r="A31" s="40">
        <f>ROW()-1</f>
        <v>30</v>
      </c>
      <c r="B31" s="2" t="s">
        <v>76</v>
      </c>
      <c r="C31" s="2" t="s">
        <v>77</v>
      </c>
      <c r="D31" s="41" t="e" vm="3">
        <v>#VALUE!</v>
      </c>
      <c r="E31" s="4">
        <v>46</v>
      </c>
      <c r="I31" s="4" t="s">
        <v>15</v>
      </c>
      <c r="J31" s="4" t="s">
        <v>22</v>
      </c>
      <c r="K31" s="4" t="s">
        <v>22</v>
      </c>
      <c r="L31" s="4" t="s">
        <v>22</v>
      </c>
    </row>
    <row r="32" spans="1:12">
      <c r="A32" s="40">
        <f>ROW()-1</f>
        <v>31</v>
      </c>
      <c r="B32" s="2" t="s">
        <v>78</v>
      </c>
      <c r="C32" s="2" t="s">
        <v>79</v>
      </c>
      <c r="D32" s="41" t="e" vm="3">
        <v>#VALUE!</v>
      </c>
      <c r="E32" s="4">
        <v>20</v>
      </c>
      <c r="I32" s="4" t="s">
        <v>15</v>
      </c>
      <c r="J32" s="4" t="s">
        <v>22</v>
      </c>
      <c r="K32" s="4" t="s">
        <v>22</v>
      </c>
      <c r="L32" s="4" t="s">
        <v>22</v>
      </c>
    </row>
    <row r="33" spans="1:12">
      <c r="A33" s="40">
        <f>ROW()-1</f>
        <v>32</v>
      </c>
      <c r="B33" s="2" t="s">
        <v>80</v>
      </c>
      <c r="C33" s="2" t="s">
        <v>81</v>
      </c>
      <c r="D33" s="41" t="e" vm="7">
        <v>#VALUE!</v>
      </c>
      <c r="E33" s="4">
        <v>1</v>
      </c>
      <c r="F33" s="4">
        <v>4</v>
      </c>
      <c r="G33" s="4">
        <v>3</v>
      </c>
      <c r="H33" s="4">
        <v>3</v>
      </c>
      <c r="I33" s="4" t="s">
        <v>15</v>
      </c>
      <c r="J33" s="4" t="s">
        <v>15</v>
      </c>
      <c r="K33" s="4" t="s">
        <v>15</v>
      </c>
      <c r="L33" s="4" t="s">
        <v>15</v>
      </c>
    </row>
    <row r="34" spans="1:12">
      <c r="A34" s="40">
        <f>ROW()-1</f>
        <v>33</v>
      </c>
      <c r="B34" s="2" t="s">
        <v>82</v>
      </c>
      <c r="C34" s="2" t="s">
        <v>83</v>
      </c>
      <c r="D34" s="41" t="e" vm="2">
        <v>#VALUE!</v>
      </c>
      <c r="E34" s="4">
        <v>7</v>
      </c>
      <c r="F34" s="4">
        <v>18</v>
      </c>
      <c r="G34" s="4">
        <v>12</v>
      </c>
      <c r="H34" s="4">
        <v>9</v>
      </c>
      <c r="I34" s="4" t="s">
        <v>15</v>
      </c>
      <c r="J34" s="4" t="s">
        <v>15</v>
      </c>
      <c r="K34" s="4" t="s">
        <v>15</v>
      </c>
      <c r="L34" s="4" t="s">
        <v>15</v>
      </c>
    </row>
    <row r="35" spans="1:12">
      <c r="A35" s="40">
        <f>ROW()-1</f>
        <v>34</v>
      </c>
      <c r="B35" s="2" t="s">
        <v>84</v>
      </c>
      <c r="C35" s="2" t="s">
        <v>85</v>
      </c>
      <c r="D35" s="41" t="e" vm="8">
        <v>#VALUE!</v>
      </c>
      <c r="E35" s="4">
        <v>40</v>
      </c>
      <c r="F35" s="4">
        <v>43</v>
      </c>
      <c r="G35" s="4">
        <v>43</v>
      </c>
      <c r="H35" s="4">
        <v>37</v>
      </c>
      <c r="I35" s="4" t="s">
        <v>15</v>
      </c>
      <c r="J35" s="4" t="s">
        <v>15</v>
      </c>
      <c r="K35" s="4" t="s">
        <v>15</v>
      </c>
      <c r="L35" s="4" t="s">
        <v>15</v>
      </c>
    </row>
    <row r="36" spans="1:12">
      <c r="A36" s="40">
        <f>ROW()-1</f>
        <v>35</v>
      </c>
      <c r="B36" s="2" t="s">
        <v>86</v>
      </c>
      <c r="C36" s="2" t="s">
        <v>86</v>
      </c>
      <c r="H36" s="4">
        <v>40</v>
      </c>
      <c r="I36" s="4" t="s">
        <v>22</v>
      </c>
      <c r="J36" s="4" t="s">
        <v>22</v>
      </c>
      <c r="K36" s="4" t="s">
        <v>22</v>
      </c>
      <c r="L36" s="4" t="s">
        <v>15</v>
      </c>
    </row>
    <row r="37" spans="1:12">
      <c r="A37" s="40">
        <f>ROW()-1</f>
        <v>36</v>
      </c>
      <c r="B37" s="2" t="s">
        <v>87</v>
      </c>
      <c r="C37" s="2" t="s">
        <v>87</v>
      </c>
      <c r="I37" s="4" t="s">
        <v>22</v>
      </c>
      <c r="J37" s="4" t="s">
        <v>22</v>
      </c>
      <c r="K37" s="4" t="s">
        <v>22</v>
      </c>
      <c r="L37" s="4" t="s">
        <v>22</v>
      </c>
    </row>
    <row r="38" spans="1:12">
      <c r="A38" s="40">
        <f>ROW()-1</f>
        <v>37</v>
      </c>
      <c r="B38" s="2" t="s">
        <v>88</v>
      </c>
      <c r="C38" s="2" t="s">
        <v>88</v>
      </c>
      <c r="I38" s="4" t="s">
        <v>22</v>
      </c>
      <c r="J38" s="4" t="s">
        <v>22</v>
      </c>
      <c r="K38" s="4" t="s">
        <v>22</v>
      </c>
      <c r="L38" s="4" t="s">
        <v>22</v>
      </c>
    </row>
    <row r="39" spans="1:12">
      <c r="A39" s="40">
        <f>ROW()-1</f>
        <v>38</v>
      </c>
      <c r="B39" s="2" t="s">
        <v>89</v>
      </c>
      <c r="C39" s="2" t="s">
        <v>89</v>
      </c>
      <c r="I39" s="4" t="s">
        <v>22</v>
      </c>
      <c r="J39" s="4" t="s">
        <v>22</v>
      </c>
      <c r="K39" s="4" t="s">
        <v>22</v>
      </c>
      <c r="L39" s="4" t="s">
        <v>22</v>
      </c>
    </row>
    <row r="40" spans="1:12">
      <c r="A40" s="40">
        <f>ROW()-1</f>
        <v>39</v>
      </c>
      <c r="B40" s="2" t="s">
        <v>90</v>
      </c>
      <c r="C40" s="2" t="s">
        <v>91</v>
      </c>
      <c r="D40" s="41" t="e" vm="3">
        <v>#VALUE!</v>
      </c>
      <c r="G40" s="4">
        <v>44</v>
      </c>
      <c r="H40" s="4">
        <v>39</v>
      </c>
      <c r="I40" s="4" t="s">
        <v>22</v>
      </c>
      <c r="J40" s="4" t="s">
        <v>22</v>
      </c>
      <c r="K40" s="4" t="s">
        <v>15</v>
      </c>
      <c r="L40" s="4" t="s">
        <v>15</v>
      </c>
    </row>
    <row r="41" spans="1:12">
      <c r="A41" s="40">
        <f>ROW()-1</f>
        <v>40</v>
      </c>
      <c r="B41" s="2" t="s">
        <v>92</v>
      </c>
      <c r="C41" s="2" t="s">
        <v>93</v>
      </c>
      <c r="D41" s="41" t="e" vm="3">
        <v>#VALUE!</v>
      </c>
      <c r="I41" s="4" t="s">
        <v>22</v>
      </c>
      <c r="J41" s="4" t="s">
        <v>22</v>
      </c>
      <c r="K41" s="4" t="s">
        <v>22</v>
      </c>
      <c r="L41" s="4" t="s">
        <v>22</v>
      </c>
    </row>
    <row r="42" spans="1:12">
      <c r="A42" s="40">
        <f>ROW()-1</f>
        <v>41</v>
      </c>
      <c r="B42" s="2" t="s">
        <v>94</v>
      </c>
      <c r="C42" s="2" t="s">
        <v>95</v>
      </c>
      <c r="D42" s="41" t="e" vm="3">
        <v>#VALUE!</v>
      </c>
      <c r="E42" s="4">
        <v>34</v>
      </c>
      <c r="F42" s="4">
        <v>36</v>
      </c>
      <c r="G42" s="4">
        <v>34</v>
      </c>
      <c r="H42" s="4">
        <v>36</v>
      </c>
      <c r="I42" s="4" t="s">
        <v>15</v>
      </c>
      <c r="J42" s="4" t="s">
        <v>15</v>
      </c>
      <c r="K42" s="4" t="s">
        <v>15</v>
      </c>
      <c r="L42" s="4" t="s">
        <v>15</v>
      </c>
    </row>
    <row r="43" spans="1:12">
      <c r="A43" s="40">
        <f>ROW()-1</f>
        <v>42</v>
      </c>
      <c r="B43" s="2" t="s">
        <v>96</v>
      </c>
      <c r="C43" s="2" t="s">
        <v>97</v>
      </c>
      <c r="D43" s="41" t="e" vm="9">
        <v>#VALUE!</v>
      </c>
      <c r="F43" s="4">
        <v>16</v>
      </c>
      <c r="I43" s="4" t="s">
        <v>22</v>
      </c>
      <c r="J43" s="4" t="s">
        <v>15</v>
      </c>
      <c r="K43" s="4" t="s">
        <v>22</v>
      </c>
      <c r="L43" s="4" t="s">
        <v>22</v>
      </c>
    </row>
    <row r="44" spans="1:12">
      <c r="A44" s="40">
        <f>ROW()-1</f>
        <v>43</v>
      </c>
      <c r="B44" s="2" t="s">
        <v>98</v>
      </c>
      <c r="C44" s="2" t="s">
        <v>99</v>
      </c>
      <c r="D44" s="41" t="e" vm="7">
        <v>#VALUE!</v>
      </c>
      <c r="E44" s="4">
        <v>22</v>
      </c>
      <c r="F44" s="4">
        <v>24</v>
      </c>
      <c r="G44" s="4">
        <v>24</v>
      </c>
      <c r="H44" s="4">
        <v>24</v>
      </c>
      <c r="I44" s="4" t="s">
        <v>15</v>
      </c>
      <c r="J44" s="4" t="s">
        <v>15</v>
      </c>
      <c r="K44" s="4" t="s">
        <v>15</v>
      </c>
      <c r="L44" s="4" t="s">
        <v>15</v>
      </c>
    </row>
    <row r="45" spans="1:12">
      <c r="A45" s="40">
        <f>ROW()-1</f>
        <v>44</v>
      </c>
      <c r="B45" s="2" t="s">
        <v>100</v>
      </c>
      <c r="C45" s="2" t="s">
        <v>101</v>
      </c>
      <c r="D45" s="41" t="e" vm="3">
        <v>#VALUE!</v>
      </c>
      <c r="E45" s="4">
        <v>30</v>
      </c>
      <c r="F45" s="4">
        <v>21</v>
      </c>
      <c r="G45" s="4">
        <v>22</v>
      </c>
      <c r="H45" s="4">
        <v>25</v>
      </c>
      <c r="I45" s="4" t="s">
        <v>15</v>
      </c>
      <c r="J45" s="4" t="s">
        <v>15</v>
      </c>
      <c r="K45" s="4" t="s">
        <v>15</v>
      </c>
      <c r="L45" s="4" t="s">
        <v>15</v>
      </c>
    </row>
    <row r="46" spans="1:12">
      <c r="A46" s="40">
        <f>ROW()-1</f>
        <v>45</v>
      </c>
      <c r="B46" s="2" t="s">
        <v>102</v>
      </c>
      <c r="C46" s="2" t="s">
        <v>103</v>
      </c>
      <c r="D46" s="41" t="e" vm="10">
        <v>#VALUE!</v>
      </c>
      <c r="E46" s="4">
        <v>18</v>
      </c>
      <c r="G46" s="4">
        <v>13</v>
      </c>
      <c r="H46" s="4">
        <v>21</v>
      </c>
      <c r="I46" s="4" t="s">
        <v>15</v>
      </c>
      <c r="J46" s="4" t="s">
        <v>22</v>
      </c>
      <c r="K46" s="4" t="s">
        <v>15</v>
      </c>
      <c r="L46" s="4" t="s">
        <v>15</v>
      </c>
    </row>
    <row r="47" spans="1:12">
      <c r="A47" s="40">
        <f>ROW()-1</f>
        <v>46</v>
      </c>
      <c r="B47" s="2" t="s">
        <v>104</v>
      </c>
      <c r="C47" s="2" t="s">
        <v>105</v>
      </c>
      <c r="D47" s="41" t="e" vm="7">
        <v>#VALUE!</v>
      </c>
      <c r="E47" s="4">
        <v>12</v>
      </c>
      <c r="I47" s="4" t="s">
        <v>15</v>
      </c>
      <c r="J47" s="4" t="s">
        <v>22</v>
      </c>
      <c r="K47" s="4" t="s">
        <v>22</v>
      </c>
      <c r="L47" s="4" t="s">
        <v>22</v>
      </c>
    </row>
    <row r="48" spans="1:12">
      <c r="A48" s="40">
        <f>ROW()-1</f>
        <v>47</v>
      </c>
      <c r="B48" s="2" t="s">
        <v>106</v>
      </c>
      <c r="C48" s="2" t="s">
        <v>107</v>
      </c>
      <c r="D48" s="41" t="e" vm="7">
        <v>#VALUE!</v>
      </c>
      <c r="E48" s="4">
        <v>29</v>
      </c>
      <c r="F48" s="4">
        <v>13</v>
      </c>
      <c r="G48" s="4">
        <v>21</v>
      </c>
      <c r="H48" s="4">
        <v>20</v>
      </c>
      <c r="I48" s="4" t="s">
        <v>15</v>
      </c>
      <c r="J48" s="4" t="s">
        <v>15</v>
      </c>
      <c r="K48" s="4" t="s">
        <v>15</v>
      </c>
      <c r="L48" s="4" t="s">
        <v>15</v>
      </c>
    </row>
    <row r="49" spans="1:12">
      <c r="A49" s="40">
        <f>ROW()-1</f>
        <v>48</v>
      </c>
      <c r="B49" s="2" t="s">
        <v>108</v>
      </c>
      <c r="C49" s="2" t="s">
        <v>109</v>
      </c>
      <c r="D49" s="41" t="e" vm="3">
        <v>#VALUE!</v>
      </c>
      <c r="E49" s="4">
        <v>41</v>
      </c>
      <c r="G49" s="4">
        <v>37</v>
      </c>
      <c r="H49" s="4">
        <v>42</v>
      </c>
      <c r="I49" s="4" t="s">
        <v>15</v>
      </c>
      <c r="J49" s="4" t="s">
        <v>22</v>
      </c>
      <c r="K49" s="4" t="s">
        <v>15</v>
      </c>
      <c r="L49" s="4" t="s">
        <v>15</v>
      </c>
    </row>
    <row r="50" spans="1:12">
      <c r="A50" s="40">
        <f>ROW()-1</f>
        <v>49</v>
      </c>
      <c r="B50" s="2" t="s">
        <v>110</v>
      </c>
      <c r="C50" s="2" t="s">
        <v>111</v>
      </c>
      <c r="D50" s="41" t="e" vm="7">
        <v>#VALUE!</v>
      </c>
      <c r="F50" s="4">
        <v>22</v>
      </c>
      <c r="G50" s="4">
        <v>33</v>
      </c>
      <c r="I50" s="4" t="s">
        <v>22</v>
      </c>
      <c r="J50" s="4" t="s">
        <v>15</v>
      </c>
      <c r="K50" s="4" t="s">
        <v>15</v>
      </c>
      <c r="L50" s="4" t="s">
        <v>22</v>
      </c>
    </row>
    <row r="51" spans="1:12">
      <c r="A51" s="40">
        <f>ROW()-1</f>
        <v>50</v>
      </c>
      <c r="B51" s="2" t="s">
        <v>112</v>
      </c>
      <c r="C51" s="2" t="s">
        <v>113</v>
      </c>
      <c r="D51" s="41" t="e" vm="3">
        <v>#VALUE!</v>
      </c>
      <c r="I51" s="4" t="s">
        <v>22</v>
      </c>
      <c r="J51" s="4" t="s">
        <v>22</v>
      </c>
      <c r="K51" s="4" t="s">
        <v>22</v>
      </c>
      <c r="L51" s="4" t="s">
        <v>22</v>
      </c>
    </row>
    <row r="52" spans="1:12">
      <c r="A52" s="4">
        <f>ROW()-1</f>
        <v>51</v>
      </c>
      <c r="B52" s="2" t="s">
        <v>114</v>
      </c>
      <c r="C52" s="2" t="s">
        <v>115</v>
      </c>
      <c r="D52" s="41" t="e" vm="2">
        <v>#VALUE!</v>
      </c>
      <c r="E52" s="4">
        <v>2</v>
      </c>
      <c r="F52" s="4">
        <v>3</v>
      </c>
      <c r="G52" s="4">
        <v>1</v>
      </c>
      <c r="H52" s="4">
        <v>2</v>
      </c>
      <c r="I52" s="4" t="s">
        <v>15</v>
      </c>
      <c r="J52" s="4" t="s">
        <v>15</v>
      </c>
      <c r="K52" s="4" t="s">
        <v>15</v>
      </c>
      <c r="L52" s="4" t="s">
        <v>15</v>
      </c>
    </row>
    <row r="53" spans="1:12">
      <c r="A53" s="40">
        <f>ROW()-1</f>
        <v>52</v>
      </c>
      <c r="B53" s="2" t="s">
        <v>116</v>
      </c>
      <c r="C53" s="2" t="s">
        <v>117</v>
      </c>
      <c r="D53" s="41" t="e" vm="11">
        <v>#VALUE!</v>
      </c>
      <c r="E53" s="4">
        <v>27</v>
      </c>
      <c r="F53" s="4">
        <v>28</v>
      </c>
      <c r="G53" s="4">
        <v>19</v>
      </c>
      <c r="H53" s="4">
        <v>16</v>
      </c>
      <c r="I53" s="4" t="s">
        <v>15</v>
      </c>
      <c r="J53" s="4" t="s">
        <v>15</v>
      </c>
      <c r="K53" s="4" t="s">
        <v>15</v>
      </c>
      <c r="L53" s="4" t="s">
        <v>15</v>
      </c>
    </row>
    <row r="54" spans="1:12">
      <c r="A54" s="40">
        <f>ROW()-1</f>
        <v>53</v>
      </c>
      <c r="B54" s="2" t="s">
        <v>118</v>
      </c>
      <c r="C54" s="2" t="s">
        <v>119</v>
      </c>
      <c r="D54" s="41" t="e" vm="7">
        <v>#VALUE!</v>
      </c>
      <c r="E54" s="4">
        <v>25</v>
      </c>
      <c r="F54" s="4">
        <v>25</v>
      </c>
      <c r="G54" s="4">
        <v>23</v>
      </c>
      <c r="H54" s="4">
        <v>17</v>
      </c>
      <c r="I54" s="4" t="s">
        <v>15</v>
      </c>
      <c r="J54" s="4" t="s">
        <v>15</v>
      </c>
      <c r="K54" s="4" t="s">
        <v>15</v>
      </c>
      <c r="L54" s="4" t="s">
        <v>15</v>
      </c>
    </row>
    <row r="55" spans="1:12">
      <c r="A55" s="40">
        <f>ROW()-1</f>
        <v>54</v>
      </c>
      <c r="B55" s="2" t="s">
        <v>120</v>
      </c>
      <c r="C55" s="2" t="s">
        <v>121</v>
      </c>
      <c r="D55" s="41" t="e" vm="8">
        <v>#VALUE!</v>
      </c>
      <c r="E55" s="4">
        <v>9</v>
      </c>
      <c r="F55" s="4">
        <v>14</v>
      </c>
      <c r="G55" s="4">
        <v>4</v>
      </c>
      <c r="H55" s="4">
        <v>6</v>
      </c>
      <c r="I55" s="4" t="s">
        <v>15</v>
      </c>
      <c r="J55" s="4" t="s">
        <v>15</v>
      </c>
      <c r="K55" s="4" t="s">
        <v>15</v>
      </c>
      <c r="L55" s="4" t="s">
        <v>15</v>
      </c>
    </row>
    <row r="56" spans="1:12">
      <c r="A56" s="40">
        <f>ROW()-1</f>
        <v>55</v>
      </c>
      <c r="B56" s="2" t="s">
        <v>122</v>
      </c>
      <c r="C56" s="2" t="s">
        <v>123</v>
      </c>
      <c r="D56" s="41" t="e" vm="4">
        <v>#VALUE!</v>
      </c>
      <c r="E56" s="4">
        <v>11</v>
      </c>
      <c r="F56" s="4">
        <v>6</v>
      </c>
      <c r="G56" s="4">
        <v>6</v>
      </c>
      <c r="H56" s="4">
        <v>5</v>
      </c>
      <c r="I56" s="4" t="s">
        <v>15</v>
      </c>
      <c r="J56" s="4" t="s">
        <v>15</v>
      </c>
      <c r="K56" s="4" t="s">
        <v>15</v>
      </c>
      <c r="L56" s="4" t="s">
        <v>15</v>
      </c>
    </row>
    <row r="57" spans="1:12">
      <c r="A57" s="40">
        <f>ROW()-1</f>
        <v>56</v>
      </c>
      <c r="B57" s="2" t="s">
        <v>124</v>
      </c>
      <c r="C57" s="2" t="s">
        <v>125</v>
      </c>
      <c r="D57" s="41" t="e" vm="3">
        <v>#VALUE!</v>
      </c>
      <c r="E57" s="4">
        <v>16</v>
      </c>
      <c r="F57" s="4">
        <v>10</v>
      </c>
      <c r="G57" s="4">
        <v>27</v>
      </c>
      <c r="H57" s="4">
        <v>23</v>
      </c>
      <c r="I57" s="4" t="s">
        <v>15</v>
      </c>
      <c r="J57" s="4" t="s">
        <v>15</v>
      </c>
      <c r="K57" s="4" t="s">
        <v>15</v>
      </c>
      <c r="L57" s="4" t="s">
        <v>15</v>
      </c>
    </row>
    <row r="58" spans="1:12">
      <c r="A58" s="40">
        <f>ROW()-1</f>
        <v>57</v>
      </c>
      <c r="B58" s="2" t="s">
        <v>126</v>
      </c>
      <c r="C58" s="2" t="s">
        <v>127</v>
      </c>
      <c r="D58" s="41" t="e" vm="3">
        <v>#VALUE!</v>
      </c>
      <c r="E58" s="4">
        <v>36</v>
      </c>
      <c r="F58" s="4">
        <v>27</v>
      </c>
      <c r="G58" s="4">
        <v>32</v>
      </c>
      <c r="H58" s="4">
        <v>31</v>
      </c>
      <c r="I58" s="4" t="s">
        <v>15</v>
      </c>
      <c r="J58" s="4" t="s">
        <v>15</v>
      </c>
      <c r="K58" s="4" t="s">
        <v>15</v>
      </c>
      <c r="L58" s="4" t="s">
        <v>15</v>
      </c>
    </row>
    <row r="59" spans="1:12">
      <c r="A59" s="40">
        <f>ROW()-1</f>
        <v>58</v>
      </c>
      <c r="B59" s="2" t="s">
        <v>128</v>
      </c>
      <c r="C59" s="2" t="s">
        <v>129</v>
      </c>
      <c r="D59" s="41" t="e" vm="3">
        <v>#VALUE!</v>
      </c>
      <c r="E59" s="4">
        <v>47</v>
      </c>
      <c r="I59" s="4" t="s">
        <v>15</v>
      </c>
      <c r="J59" s="4" t="s">
        <v>22</v>
      </c>
      <c r="K59" s="4" t="s">
        <v>22</v>
      </c>
      <c r="L59" s="4" t="s">
        <v>22</v>
      </c>
    </row>
    <row r="60" spans="1:12">
      <c r="A60" s="40">
        <f>ROW()-1</f>
        <v>59</v>
      </c>
      <c r="B60" s="2" t="s">
        <v>130</v>
      </c>
      <c r="C60" s="2" t="s">
        <v>131</v>
      </c>
      <c r="D60" s="41" t="e" vm="3">
        <v>#VALUE!</v>
      </c>
      <c r="F60" s="4">
        <v>45</v>
      </c>
      <c r="I60" s="4" t="s">
        <v>22</v>
      </c>
      <c r="J60" s="4" t="s">
        <v>15</v>
      </c>
      <c r="K60" s="4" t="s">
        <v>22</v>
      </c>
      <c r="L60" s="4" t="s">
        <v>22</v>
      </c>
    </row>
    <row r="61" spans="1:12">
      <c r="A61" s="40">
        <f>ROW()-1</f>
        <v>60</v>
      </c>
      <c r="B61" s="2" t="s">
        <v>132</v>
      </c>
      <c r="C61" s="2" t="s">
        <v>133</v>
      </c>
      <c r="D61" s="41" t="e" vm="8">
        <v>#VALUE!</v>
      </c>
      <c r="I61" s="4" t="s">
        <v>22</v>
      </c>
      <c r="J61" s="4" t="s">
        <v>22</v>
      </c>
      <c r="K61" s="4" t="s">
        <v>22</v>
      </c>
      <c r="L61" s="4" t="s">
        <v>22</v>
      </c>
    </row>
  </sheetData>
  <phoneticPr fontId="1"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A754B-D425-4FFF-8CDA-F81211E80DEB}">
  <sheetPr codeName="Sheet7">
    <tabColor theme="1"/>
  </sheetPr>
  <dimension ref="A1:BQ81"/>
  <sheetViews>
    <sheetView zoomScaleNormal="100" workbookViewId="0">
      <selection activeCell="N14" sqref="N11:N14"/>
    </sheetView>
  </sheetViews>
  <sheetFormatPr defaultColWidth="9.7109375" defaultRowHeight="12.75"/>
  <cols>
    <col min="1" max="2" width="5.7109375" style="4" customWidth="1"/>
    <col min="3" max="3" width="16.140625" style="4" bestFit="1" customWidth="1"/>
    <col min="4" max="4" width="16.28515625" style="4" bestFit="1" customWidth="1"/>
    <col min="5" max="5" width="5.7109375" style="4" customWidth="1"/>
    <col min="6" max="6" width="10.5703125" style="4" bestFit="1" customWidth="1"/>
    <col min="7" max="7" width="5.7109375" style="4" customWidth="1"/>
    <col min="8" max="8" width="16" style="4" bestFit="1" customWidth="1"/>
    <col min="9" max="11" width="5.7109375" style="4" customWidth="1"/>
    <col min="12" max="12" width="8" style="4" bestFit="1" customWidth="1"/>
    <col min="13" max="16" width="5.5703125" style="4" bestFit="1" customWidth="1"/>
    <col min="17" max="19" width="5.7109375" style="4" customWidth="1"/>
    <col min="20" max="20" width="3.28515625" style="4" bestFit="1" customWidth="1"/>
    <col min="21" max="21" width="16" style="4" bestFit="1" customWidth="1"/>
    <col min="22" max="24" width="5.7109375" style="4" customWidth="1"/>
    <col min="25" max="25" width="3.28515625" style="4" bestFit="1" customWidth="1"/>
    <col min="26" max="26" width="7.28515625" style="4" bestFit="1" customWidth="1"/>
    <col min="27" max="29" width="5.7109375" style="4" customWidth="1"/>
    <col min="30" max="32" width="13.7109375" style="4" bestFit="1" customWidth="1"/>
    <col min="33" max="33" width="15" style="4" bestFit="1" customWidth="1"/>
    <col min="34" max="34" width="15.42578125" style="4" bestFit="1" customWidth="1"/>
    <col min="35" max="35" width="15" style="4" bestFit="1" customWidth="1"/>
    <col min="36" max="36" width="11.7109375" style="4" bestFit="1" customWidth="1"/>
    <col min="37" max="37" width="17.42578125" style="4" bestFit="1" customWidth="1"/>
    <col min="38" max="38" width="15.7109375" style="4" bestFit="1" customWidth="1"/>
    <col min="39" max="43" width="13.7109375" style="4" bestFit="1" customWidth="1"/>
    <col min="44" max="46" width="5.7109375" style="4" customWidth="1"/>
    <col min="47" max="47" width="3.28515625" style="4" bestFit="1" customWidth="1"/>
    <col min="48" max="48" width="10.5703125" style="4" bestFit="1" customWidth="1"/>
    <col min="49" max="51" width="5.7109375" style="4" customWidth="1"/>
    <col min="52" max="54" width="13.7109375" style="4" bestFit="1" customWidth="1"/>
    <col min="55" max="55" width="15" style="4" bestFit="1" customWidth="1"/>
    <col min="56" max="56" width="15.42578125" style="4" bestFit="1" customWidth="1"/>
    <col min="57" max="57" width="15" style="4" bestFit="1" customWidth="1"/>
    <col min="58" max="58" width="13.7109375" style="4" bestFit="1" customWidth="1"/>
    <col min="59" max="59" width="17.42578125" style="4" bestFit="1" customWidth="1"/>
    <col min="60" max="60" width="15.7109375" style="4" bestFit="1" customWidth="1"/>
    <col min="61" max="65" width="13.7109375" style="4" bestFit="1" customWidth="1"/>
    <col min="66" max="68" width="5.7109375" style="4" customWidth="1"/>
    <col min="69" max="69" width="8.42578125" style="4" bestFit="1" customWidth="1"/>
    <col min="70" max="16384" width="9.7109375" style="4"/>
  </cols>
  <sheetData>
    <row r="1" spans="1:69" ht="12.75" customHeight="1">
      <c r="A1" s="60" t="s">
        <v>134</v>
      </c>
      <c r="C1" s="15" t="s">
        <v>135</v>
      </c>
      <c r="D1" s="6" t="s">
        <v>136</v>
      </c>
      <c r="F1" s="6" t="s">
        <v>137</v>
      </c>
      <c r="H1" s="6" t="s">
        <v>138</v>
      </c>
      <c r="J1" s="60" t="s">
        <v>139</v>
      </c>
      <c r="L1" s="63" t="s">
        <v>140</v>
      </c>
      <c r="M1" s="64"/>
      <c r="N1" s="64"/>
      <c r="O1" s="64"/>
      <c r="P1" s="65"/>
      <c r="R1" s="60" t="s">
        <v>141</v>
      </c>
      <c r="U1" s="6" t="s">
        <v>142</v>
      </c>
      <c r="W1" s="60" t="s">
        <v>143</v>
      </c>
      <c r="Y1" s="3"/>
      <c r="Z1" s="6" t="s">
        <v>142</v>
      </c>
      <c r="AB1" s="60" t="s">
        <v>144</v>
      </c>
      <c r="AD1" s="6" t="s">
        <v>145</v>
      </c>
      <c r="AE1" s="6" t="s">
        <v>146</v>
      </c>
      <c r="AF1" s="6" t="s">
        <v>147</v>
      </c>
      <c r="AG1" s="6" t="s">
        <v>148</v>
      </c>
      <c r="AH1" s="6" t="s">
        <v>149</v>
      </c>
      <c r="AI1" s="6" t="s">
        <v>150</v>
      </c>
      <c r="AJ1" s="6" t="s">
        <v>151</v>
      </c>
      <c r="AK1" s="6" t="s">
        <v>152</v>
      </c>
      <c r="AL1" s="6" t="s">
        <v>153</v>
      </c>
      <c r="AM1" s="6" t="s">
        <v>154</v>
      </c>
      <c r="AN1" s="6" t="s">
        <v>155</v>
      </c>
      <c r="AO1" s="6" t="s">
        <v>156</v>
      </c>
      <c r="AP1" s="6" t="s">
        <v>157</v>
      </c>
      <c r="AQ1" s="6" t="s">
        <v>158</v>
      </c>
      <c r="AS1" s="60" t="s">
        <v>159</v>
      </c>
      <c r="AU1" s="3"/>
      <c r="AV1" s="6" t="s">
        <v>142</v>
      </c>
      <c r="AX1" s="60" t="s">
        <v>160</v>
      </c>
      <c r="AZ1" s="6" t="s">
        <v>145</v>
      </c>
      <c r="BA1" s="6" t="s">
        <v>146</v>
      </c>
      <c r="BB1" s="6" t="s">
        <v>147</v>
      </c>
      <c r="BC1" s="6" t="s">
        <v>148</v>
      </c>
      <c r="BD1" s="6" t="s">
        <v>149</v>
      </c>
      <c r="BE1" s="6" t="s">
        <v>150</v>
      </c>
      <c r="BF1" s="6" t="s">
        <v>151</v>
      </c>
      <c r="BG1" s="6" t="s">
        <v>152</v>
      </c>
      <c r="BH1" s="6" t="s">
        <v>153</v>
      </c>
      <c r="BI1" s="6" t="s">
        <v>154</v>
      </c>
      <c r="BJ1" s="6" t="s">
        <v>155</v>
      </c>
      <c r="BK1" s="6" t="s">
        <v>156</v>
      </c>
      <c r="BL1" s="6" t="s">
        <v>157</v>
      </c>
      <c r="BM1" s="6" t="s">
        <v>158</v>
      </c>
      <c r="BO1" s="60" t="s">
        <v>161</v>
      </c>
      <c r="BQ1" s="4" t="s">
        <v>162</v>
      </c>
    </row>
    <row r="2" spans="1:69" ht="12.75" customHeight="1">
      <c r="A2" s="61"/>
      <c r="C2" s="9" t="s">
        <v>163</v>
      </c>
      <c r="D2" s="9" t="s">
        <v>164</v>
      </c>
      <c r="F2" s="9" t="s">
        <v>165</v>
      </c>
      <c r="H2" s="9" t="str" cm="1">
        <f t="array" aca="1" ref="H2:H21" ca="1">_xlfn.SORTBY(Tracks[Track Name],_xlfn.RANDARRAY(ROWS(Tracks[Track Name])))</f>
        <v>Ghost Valley 1</v>
      </c>
      <c r="J2" s="61"/>
      <c r="L2" s="6" t="s">
        <v>166</v>
      </c>
      <c r="M2" s="6" t="s">
        <v>8</v>
      </c>
      <c r="N2" s="6" t="s">
        <v>9</v>
      </c>
      <c r="O2" s="6" t="s">
        <v>10</v>
      </c>
      <c r="P2" s="6" t="s">
        <v>11</v>
      </c>
      <c r="R2" s="61"/>
      <c r="T2" s="60" t="s">
        <v>167</v>
      </c>
      <c r="U2" s="9" t="str" cm="1">
        <f t="array" aca="1" ref="U2:U41" ca="1">_xlfn.VSTACK(_xlfn.SORTBY(Tracks[Track Name],_xlfn.RANDARRAY(ROWS(Tracks[Track Name]))),_xlfn.SORTBY(Tracks[Track Name],_xlfn.RANDARRAY(ROWS(Tracks[Track Name]))))</f>
        <v>Vanilla Lake 1</v>
      </c>
      <c r="W2" s="61"/>
      <c r="Y2" s="60" t="s">
        <v>168</v>
      </c>
      <c r="Z2" s="9" t="str" cm="1">
        <f t="array" aca="1" ref="Z2:Z81" ca="1">_xlfn.VSTACK(_xlfn.SORTBY(Tracks[Track Abbr.],_xlfn.RANDARRAY(ROWS(Tracks[Track Abbr.]))),_xlfn.SORTBY(Tracks[Track Abbr.],_xlfn.RANDARRAY(ROWS(Tracks[Track Abbr.]))),_xlfn.SORTBY(Tracks[Track Abbr.],_xlfn.RANDARRAY(ROWS(Tracks[Track Abbr.]))),_xlfn.SORTBY(Tracks[Track Abbr.],_xlfn.RANDARRAY(ROWS(Tracks[Track Abbr.]))))</f>
        <v>DP1</v>
      </c>
      <c r="AB2" s="61"/>
      <c r="AD2" s="9" t="str" cm="1">
        <f t="array" aca="1" ref="AD2:AD21" ca="1">_xlfn.SORTBY(Tracks[Track Abbr.],_xlfn.RANDARRAY(ROWS(Tracks[Track Abbr.])))</f>
        <v>RR</v>
      </c>
      <c r="AE2" s="9" t="str" cm="1">
        <f t="array" aca="1" ref="AE2:AE21" ca="1">_xlfn.SORTBY(Tracks[Track Abbr.],_xlfn.RANDARRAY(ROWS(Tracks[Track Abbr.])))</f>
        <v>DP3</v>
      </c>
      <c r="AF2" s="9" t="str" cm="1">
        <f t="array" aca="1" ref="AF2:AF21" ca="1">_xlfn.SORTBY(Tracks[Track Abbr.],_xlfn.RANDARRAY(ROWS(Tracks[Track Abbr.])))</f>
        <v>RR</v>
      </c>
      <c r="AG2" s="9" t="str" cm="1">
        <f t="array" aca="1" ref="AG2:AG21" ca="1">_xlfn.SORTBY(Tracks[Track Abbr.],_xlfn.RANDARRAY(ROWS(Tracks[Track Abbr.])))</f>
        <v>KB2</v>
      </c>
      <c r="AH2" s="9" t="str" cm="1">
        <f t="array" aca="1" ref="AH2:AH21" ca="1">_xlfn.SORTBY(Tracks[Track Abbr.],_xlfn.RANDARRAY(ROWS(Tracks[Track Abbr.])))</f>
        <v>GV3</v>
      </c>
      <c r="AI2" s="9" t="str" cm="1">
        <f t="array" aca="1" ref="AI2:AI21" ca="1">_xlfn.SORTBY(Tracks[Track Abbr.],_xlfn.RANDARRAY(ROWS(Tracks[Track Abbr.])))</f>
        <v>GV3</v>
      </c>
      <c r="AJ2" s="9" t="str" cm="1">
        <f t="array" aca="1" ref="AJ2:AJ21" ca="1">_xlfn.SORTBY(Tracks[Track Abbr.],_xlfn.RANDARRAY(ROWS(Tracks[Track Abbr.])))</f>
        <v>BC1</v>
      </c>
      <c r="AK2" s="9" t="str" cm="1">
        <f t="array" aca="1" ref="AK2:AK21" ca="1">_xlfn.SORTBY(Tracks[Track Abbr.],_xlfn.RANDARRAY(ROWS(Tracks[Track Abbr.])))</f>
        <v>MC3</v>
      </c>
      <c r="AL2" s="9" t="str" cm="1">
        <f t="array" aca="1" ref="AL2:AL21" ca="1">_xlfn.SORTBY(Tracks[Track Abbr.],_xlfn.RANDARRAY(ROWS(Tracks[Track Abbr.])))</f>
        <v>DP2</v>
      </c>
      <c r="AM2" s="9" t="str" cm="1">
        <f t="array" aca="1" ref="AM2:AM21" ca="1">_xlfn.SORTBY(Tracks[Track Abbr.],_xlfn.RANDARRAY(ROWS(Tracks[Track Abbr.])))</f>
        <v>GV1</v>
      </c>
      <c r="AN2" s="9" t="str" cm="1">
        <f t="array" aca="1" ref="AN2:AN21" ca="1">_xlfn.SORTBY(Tracks[Track Abbr.],_xlfn.RANDARRAY(ROWS(Tracks[Track Abbr.])))</f>
        <v>GV1</v>
      </c>
      <c r="AO2" s="9" t="str" cm="1">
        <f t="array" aca="1" ref="AO2:AO21" ca="1">_xlfn.SORTBY(Tracks[Track Abbr.],_xlfn.RANDARRAY(ROWS(Tracks[Track Abbr.])))</f>
        <v>KB1</v>
      </c>
      <c r="AP2" s="9" t="str" cm="1">
        <f t="array" aca="1" ref="AP2:AP21" ca="1">_xlfn.SORTBY(Tracks[Track Abbr.],_xlfn.RANDARRAY(ROWS(Tracks[Track Abbr.])))</f>
        <v>DP1</v>
      </c>
      <c r="AQ2" s="9" t="str" cm="1">
        <f t="array" aca="1" ref="AQ2:AQ21" ca="1">_xlfn.SORTBY(Tracks[Track Abbr.],_xlfn.RANDARRAY(ROWS(Tracks[Track Abbr.])))</f>
        <v>MC4</v>
      </c>
      <c r="AS2" s="61"/>
      <c r="AU2" s="60" t="s">
        <v>169</v>
      </c>
      <c r="AV2" s="9" t="str" cm="1">
        <f t="array" aca="1" ref="AV2:AV21" ca="1">_xlfn.VSTACK(_xlfn.SORTBY(Cups[Cups],_xlfn.RANDARRAY(ROWS(Cups[Cups]))),_xlfn.SORTBY(Cups[Cups],_xlfn.RANDARRAY(ROWS(Cups[Cups]))),_xlfn.SORTBY(Cups[Cups],_xlfn.RANDARRAY(ROWS(Cups[Cups]))),_xlfn.SORTBY(Cups[Cups],_xlfn.RANDARRAY(ROWS(Cups[Cups]))),_xlfn.SORTBY(Cups[Cups],_xlfn.RANDARRAY(ROWS(Cups[Cups]))))</f>
        <v>Special</v>
      </c>
      <c r="AX2" s="61"/>
      <c r="AZ2" s="9" t="str" cm="1">
        <f t="array" aca="1" ref="AZ2:AZ5" ca="1">_xlfn.SORTBY(Cups[Cups],_xlfn.RANDARRAY(ROWS(Cups[Cups])))</f>
        <v>Flower</v>
      </c>
      <c r="BA2" s="9" t="str" cm="1">
        <f t="array" aca="1" ref="BA2:BA5" ca="1">_xlfn.SORTBY(Cups[Cups],_xlfn.RANDARRAY(ROWS(Cups[Cups])))</f>
        <v>Flower</v>
      </c>
      <c r="BB2" s="9" t="str" cm="1">
        <f t="array" aca="1" ref="BB2:BB5" ca="1">_xlfn.SORTBY(Cups[Cups],_xlfn.RANDARRAY(ROWS(Cups[Cups])))</f>
        <v>Star</v>
      </c>
      <c r="BC2" s="9" t="str" cm="1">
        <f t="array" aca="1" ref="BC2:BC5" ca="1">_xlfn.SORTBY(Cups[Cups],_xlfn.RANDARRAY(ROWS(Cups[Cups])))</f>
        <v>Star</v>
      </c>
      <c r="BD2" s="9" t="str" cm="1">
        <f t="array" aca="1" ref="BD2:BD5" ca="1">_xlfn.SORTBY(Cups[Cups],_xlfn.RANDARRAY(ROWS(Cups[Cups])))</f>
        <v>Special</v>
      </c>
      <c r="BE2" s="9" t="str" cm="1">
        <f t="array" aca="1" ref="BE2:BE5" ca="1">_xlfn.SORTBY(Cups[Cups],_xlfn.RANDARRAY(ROWS(Cups[Cups])))</f>
        <v>Flower</v>
      </c>
      <c r="BF2" s="9" t="str" cm="1">
        <f t="array" aca="1" ref="BF2:BF5" ca="1">_xlfn.SORTBY(Cups[Cups],_xlfn.RANDARRAY(ROWS(Cups[Cups])))</f>
        <v>Flower</v>
      </c>
      <c r="BG2" s="9" t="str" cm="1">
        <f t="array" aca="1" ref="BG2:BG5" ca="1">_xlfn.SORTBY(Cups[Cups],_xlfn.RANDARRAY(ROWS(Cups[Cups])))</f>
        <v>Special</v>
      </c>
      <c r="BH2" s="9" t="str" cm="1">
        <f t="array" aca="1" ref="BH2:BH5" ca="1">_xlfn.SORTBY(Cups[Cups],_xlfn.RANDARRAY(ROWS(Cups[Cups])))</f>
        <v>Mushroom</v>
      </c>
      <c r="BI2" s="9" t="str" cm="1">
        <f t="array" aca="1" ref="BI2:BI5" ca="1">_xlfn.SORTBY(Cups[Cups],_xlfn.RANDARRAY(ROWS(Cups[Cups])))</f>
        <v>Mushroom</v>
      </c>
      <c r="BJ2" s="9" t="str" cm="1">
        <f t="array" aca="1" ref="BJ2:BJ5" ca="1">_xlfn.SORTBY(Cups[Cups],_xlfn.RANDARRAY(ROWS(Cups[Cups])))</f>
        <v>Special</v>
      </c>
      <c r="BK2" s="9" t="str" cm="1">
        <f t="array" aca="1" ref="BK2:BK5" ca="1">_xlfn.SORTBY(Cups[Cups],_xlfn.RANDARRAY(ROWS(Cups[Cups])))</f>
        <v>Special</v>
      </c>
      <c r="BL2" s="9" t="str" cm="1">
        <f t="array" aca="1" ref="BL2:BL5" ca="1">_xlfn.SORTBY(Cups[Cups],_xlfn.RANDARRAY(ROWS(Cups[Cups])))</f>
        <v>Star</v>
      </c>
      <c r="BM2" s="9" t="str" cm="1">
        <f t="array" aca="1" ref="BM2:BM5" ca="1">_xlfn.SORTBY(Cups[Cups],_xlfn.RANDARRAY(ROWS(Cups[Cups])))</f>
        <v>Flower</v>
      </c>
      <c r="BO2" s="61"/>
      <c r="BQ2" s="4" t="s">
        <v>170</v>
      </c>
    </row>
    <row r="3" spans="1:69">
      <c r="A3" s="61"/>
      <c r="C3" s="9" t="s">
        <v>171</v>
      </c>
      <c r="D3" s="9" t="s">
        <v>172</v>
      </c>
      <c r="F3" s="9" t="s">
        <v>173</v>
      </c>
      <c r="H3" s="9" t="str">
        <f ca="1"/>
        <v>Ghost Valley 3</v>
      </c>
      <c r="J3" s="61"/>
      <c r="L3" s="6" cm="1">
        <f t="array" ref="L3:L26">_xlfn.SEQUENCE((24))</f>
        <v>1</v>
      </c>
      <c r="M3" s="9">
        <v>2000</v>
      </c>
      <c r="N3" s="9">
        <v>2000</v>
      </c>
      <c r="O3" s="9">
        <v>2000</v>
      </c>
      <c r="P3" s="9">
        <v>2000</v>
      </c>
      <c r="R3" s="61"/>
      <c r="T3" s="61"/>
      <c r="U3" s="9" t="str">
        <f ca="1"/>
        <v>Koopa Beach 2</v>
      </c>
      <c r="W3" s="61"/>
      <c r="Y3" s="61"/>
      <c r="Z3" s="9" t="str">
        <f ca="1"/>
        <v>CI2</v>
      </c>
      <c r="AB3" s="61"/>
      <c r="AD3" s="9" t="str">
        <f ca="1"/>
        <v>GV1</v>
      </c>
      <c r="AE3" s="9" t="str">
        <f ca="1"/>
        <v>BC1</v>
      </c>
      <c r="AF3" s="9" t="str">
        <f ca="1"/>
        <v>VL2</v>
      </c>
      <c r="AG3" s="9" t="str">
        <f ca="1"/>
        <v>DP1</v>
      </c>
      <c r="AH3" s="9" t="str">
        <f ca="1"/>
        <v>VL1</v>
      </c>
      <c r="AI3" s="9" t="str">
        <f ca="1"/>
        <v>KB1</v>
      </c>
      <c r="AJ3" s="9" t="str">
        <f ca="1"/>
        <v>DP3</v>
      </c>
      <c r="AK3" s="9" t="str">
        <f ca="1"/>
        <v>VL2</v>
      </c>
      <c r="AL3" s="9" t="str">
        <f ca="1"/>
        <v>MC3</v>
      </c>
      <c r="AM3" s="9" t="str">
        <f ca="1"/>
        <v>KB2</v>
      </c>
      <c r="AN3" s="9" t="str">
        <f ca="1"/>
        <v>BC2</v>
      </c>
      <c r="AO3" s="9" t="str">
        <f ca="1"/>
        <v>GV3</v>
      </c>
      <c r="AP3" s="9" t="str">
        <f ca="1"/>
        <v>MC1</v>
      </c>
      <c r="AQ3" s="9" t="str">
        <f ca="1"/>
        <v>KB1</v>
      </c>
      <c r="AS3" s="61"/>
      <c r="AU3" s="61"/>
      <c r="AV3" s="9" t="str">
        <f ca="1"/>
        <v>Star</v>
      </c>
      <c r="AX3" s="61"/>
      <c r="AZ3" s="9" t="str">
        <f ca="1"/>
        <v>Mushroom</v>
      </c>
      <c r="BA3" s="9" t="str">
        <f ca="1"/>
        <v>Special</v>
      </c>
      <c r="BB3" s="9" t="str">
        <f ca="1"/>
        <v>Special</v>
      </c>
      <c r="BC3" s="9" t="str">
        <f ca="1"/>
        <v>Mushroom</v>
      </c>
      <c r="BD3" s="9" t="str">
        <f ca="1"/>
        <v>Flower</v>
      </c>
      <c r="BE3" s="9" t="str">
        <f ca="1"/>
        <v>Special</v>
      </c>
      <c r="BF3" s="9" t="str">
        <f ca="1"/>
        <v>Mushroom</v>
      </c>
      <c r="BG3" s="9" t="str">
        <f ca="1"/>
        <v>Mushroom</v>
      </c>
      <c r="BH3" s="9" t="str">
        <f ca="1"/>
        <v>Star</v>
      </c>
      <c r="BI3" s="9" t="str">
        <f ca="1"/>
        <v>Star</v>
      </c>
      <c r="BJ3" s="9" t="str">
        <f ca="1"/>
        <v>Star</v>
      </c>
      <c r="BK3" s="9" t="str">
        <f ca="1"/>
        <v>Flower</v>
      </c>
      <c r="BL3" s="9" t="str">
        <f ca="1"/>
        <v>Special</v>
      </c>
      <c r="BM3" s="9" t="str">
        <f ca="1"/>
        <v>Star</v>
      </c>
      <c r="BO3" s="61"/>
      <c r="BQ3" s="4" t="s">
        <v>174</v>
      </c>
    </row>
    <row r="4" spans="1:69">
      <c r="A4" s="61"/>
      <c r="C4" s="9" t="s">
        <v>175</v>
      </c>
      <c r="D4" s="9" t="s">
        <v>176</v>
      </c>
      <c r="F4" s="9" t="s">
        <v>177</v>
      </c>
      <c r="H4" s="9" t="str">
        <f ca="1"/>
        <v>Choco Island 1</v>
      </c>
      <c r="J4" s="61"/>
      <c r="L4" s="6">
        <v>2</v>
      </c>
      <c r="M4" s="9">
        <v>1600</v>
      </c>
      <c r="N4" s="9">
        <v>1600</v>
      </c>
      <c r="O4" s="9">
        <v>1600</v>
      </c>
      <c r="P4" s="9">
        <v>1600</v>
      </c>
      <c r="R4" s="61"/>
      <c r="T4" s="61"/>
      <c r="U4" s="9" t="str">
        <f ca="1"/>
        <v>Donut Plains 2</v>
      </c>
      <c r="W4" s="61"/>
      <c r="Y4" s="61"/>
      <c r="Z4" s="9" t="str">
        <f ca="1"/>
        <v>GV1</v>
      </c>
      <c r="AB4" s="61"/>
      <c r="AD4" s="9" t="str">
        <f ca="1"/>
        <v>VL2</v>
      </c>
      <c r="AE4" s="9" t="str">
        <f ca="1"/>
        <v>DP1</v>
      </c>
      <c r="AF4" s="9" t="str">
        <f ca="1"/>
        <v>MC3</v>
      </c>
      <c r="AG4" s="9" t="str">
        <f ca="1"/>
        <v>MC1</v>
      </c>
      <c r="AH4" s="9" t="str">
        <f ca="1"/>
        <v>MC3</v>
      </c>
      <c r="AI4" s="9" t="str">
        <f ca="1"/>
        <v>BC1</v>
      </c>
      <c r="AJ4" s="9" t="str">
        <f ca="1"/>
        <v>RR</v>
      </c>
      <c r="AK4" s="9" t="str">
        <f ca="1"/>
        <v>GV2</v>
      </c>
      <c r="AL4" s="9" t="str">
        <f ca="1"/>
        <v>KB1</v>
      </c>
      <c r="AM4" s="9" t="str">
        <f ca="1"/>
        <v>GV3</v>
      </c>
      <c r="AN4" s="9" t="str">
        <f ca="1"/>
        <v>DP1</v>
      </c>
      <c r="AO4" s="9" t="str">
        <f ca="1"/>
        <v>DP2</v>
      </c>
      <c r="AP4" s="9" t="str">
        <f ca="1"/>
        <v>GV2</v>
      </c>
      <c r="AQ4" s="9" t="str">
        <f ca="1"/>
        <v>DP1</v>
      </c>
      <c r="AS4" s="61"/>
      <c r="AU4" s="61"/>
      <c r="AV4" s="9" t="str">
        <f ca="1"/>
        <v>Mushroom</v>
      </c>
      <c r="AX4" s="61"/>
      <c r="AZ4" s="9" t="str">
        <f ca="1"/>
        <v>Special</v>
      </c>
      <c r="BA4" s="9" t="str">
        <f ca="1"/>
        <v>Mushroom</v>
      </c>
      <c r="BB4" s="9" t="str">
        <f ca="1"/>
        <v>Mushroom</v>
      </c>
      <c r="BC4" s="9" t="str">
        <f ca="1"/>
        <v>Flower</v>
      </c>
      <c r="BD4" s="9" t="str">
        <f ca="1"/>
        <v>Star</v>
      </c>
      <c r="BE4" s="9" t="str">
        <f ca="1"/>
        <v>Star</v>
      </c>
      <c r="BF4" s="9" t="str">
        <f ca="1"/>
        <v>Star</v>
      </c>
      <c r="BG4" s="9" t="str">
        <f ca="1"/>
        <v>Flower</v>
      </c>
      <c r="BH4" s="9" t="str">
        <f ca="1"/>
        <v>Flower</v>
      </c>
      <c r="BI4" s="9" t="str">
        <f ca="1"/>
        <v>Special</v>
      </c>
      <c r="BJ4" s="9" t="str">
        <f ca="1"/>
        <v>Mushroom</v>
      </c>
      <c r="BK4" s="9" t="str">
        <f ca="1"/>
        <v>Star</v>
      </c>
      <c r="BL4" s="9" t="str">
        <f ca="1"/>
        <v>Flower</v>
      </c>
      <c r="BM4" s="9" t="str">
        <f ca="1"/>
        <v>Mushroom</v>
      </c>
      <c r="BO4" s="61"/>
      <c r="BQ4" s="4" t="s">
        <v>178</v>
      </c>
    </row>
    <row r="5" spans="1:69">
      <c r="A5" s="61"/>
      <c r="C5" s="9" t="s">
        <v>179</v>
      </c>
      <c r="D5" s="9" t="s">
        <v>180</v>
      </c>
      <c r="F5" s="9" t="s">
        <v>181</v>
      </c>
      <c r="H5" s="9" t="str">
        <f ca="1"/>
        <v>Choco Island 2</v>
      </c>
      <c r="J5" s="61"/>
      <c r="L5" s="6">
        <v>3</v>
      </c>
      <c r="M5" s="9">
        <v>1300</v>
      </c>
      <c r="N5" s="9">
        <v>1300</v>
      </c>
      <c r="O5" s="9">
        <v>1300</v>
      </c>
      <c r="P5" s="9">
        <v>1300</v>
      </c>
      <c r="R5" s="61"/>
      <c r="T5" s="61"/>
      <c r="U5" s="9" t="str">
        <f ca="1"/>
        <v>Koopa Beach 1</v>
      </c>
      <c r="W5" s="61"/>
      <c r="Y5" s="61"/>
      <c r="Z5" s="9" t="str">
        <f ca="1"/>
        <v>MC1</v>
      </c>
      <c r="AB5" s="61"/>
      <c r="AD5" s="9" t="str">
        <f ca="1"/>
        <v>DP2</v>
      </c>
      <c r="AE5" s="9" t="str">
        <f ca="1"/>
        <v>CI1</v>
      </c>
      <c r="AF5" s="9" t="str">
        <f ca="1"/>
        <v>VL1</v>
      </c>
      <c r="AG5" s="9" t="str">
        <f ca="1"/>
        <v>CI2</v>
      </c>
      <c r="AH5" s="9" t="str">
        <f ca="1"/>
        <v>DP3</v>
      </c>
      <c r="AI5" s="9" t="str">
        <f ca="1"/>
        <v>MC1</v>
      </c>
      <c r="AJ5" s="9" t="str">
        <f ca="1"/>
        <v>KB1</v>
      </c>
      <c r="AK5" s="9" t="str">
        <f ca="1"/>
        <v>GV3</v>
      </c>
      <c r="AL5" s="9" t="str">
        <f ca="1"/>
        <v>DP3</v>
      </c>
      <c r="AM5" s="9" t="str">
        <f ca="1"/>
        <v>DP1</v>
      </c>
      <c r="AN5" s="9" t="str">
        <f ca="1"/>
        <v>CI2</v>
      </c>
      <c r="AO5" s="9" t="str">
        <f ca="1"/>
        <v>MC4</v>
      </c>
      <c r="AP5" s="9" t="str">
        <f ca="1"/>
        <v>BC3</v>
      </c>
      <c r="AQ5" s="9" t="str">
        <f ca="1"/>
        <v>DP2</v>
      </c>
      <c r="AS5" s="61"/>
      <c r="AU5" s="61"/>
      <c r="AV5" s="9" t="str">
        <f ca="1"/>
        <v>Flower</v>
      </c>
      <c r="AX5" s="61"/>
      <c r="AZ5" s="9" t="str">
        <f ca="1"/>
        <v>Star</v>
      </c>
      <c r="BA5" s="9" t="str">
        <f ca="1"/>
        <v>Star</v>
      </c>
      <c r="BB5" s="9" t="str">
        <f ca="1"/>
        <v>Flower</v>
      </c>
      <c r="BC5" s="9" t="str">
        <f ca="1"/>
        <v>Special</v>
      </c>
      <c r="BD5" s="9" t="str">
        <f ca="1"/>
        <v>Mushroom</v>
      </c>
      <c r="BE5" s="9" t="str">
        <f ca="1"/>
        <v>Mushroom</v>
      </c>
      <c r="BF5" s="9" t="str">
        <f ca="1"/>
        <v>Special</v>
      </c>
      <c r="BG5" s="9" t="str">
        <f ca="1"/>
        <v>Star</v>
      </c>
      <c r="BH5" s="9" t="str">
        <f ca="1"/>
        <v>Special</v>
      </c>
      <c r="BI5" s="9" t="str">
        <f ca="1"/>
        <v>Flower</v>
      </c>
      <c r="BJ5" s="9" t="str">
        <f ca="1"/>
        <v>Flower</v>
      </c>
      <c r="BK5" s="9" t="str">
        <f ca="1"/>
        <v>Mushroom</v>
      </c>
      <c r="BL5" s="9" t="str">
        <f ca="1"/>
        <v>Mushroom</v>
      </c>
      <c r="BM5" s="9" t="str">
        <f ca="1"/>
        <v>Special</v>
      </c>
      <c r="BO5" s="61"/>
      <c r="BQ5" s="4" t="s">
        <v>162</v>
      </c>
    </row>
    <row r="6" spans="1:69">
      <c r="A6" s="61"/>
      <c r="C6" s="9" t="s">
        <v>182</v>
      </c>
      <c r="D6" s="9" t="s">
        <v>183</v>
      </c>
      <c r="H6" s="9" t="str">
        <f ca="1"/>
        <v>Ghost Valley 2</v>
      </c>
      <c r="J6" s="61"/>
      <c r="L6" s="6">
        <v>4</v>
      </c>
      <c r="M6" s="9">
        <v>1000</v>
      </c>
      <c r="N6" s="9">
        <v>1000</v>
      </c>
      <c r="O6" s="9">
        <v>1000</v>
      </c>
      <c r="P6" s="9">
        <v>1000</v>
      </c>
      <c r="R6" s="61"/>
      <c r="T6" s="61"/>
      <c r="U6" s="9" t="str">
        <f ca="1"/>
        <v>Ghost Valley 2</v>
      </c>
      <c r="W6" s="61"/>
      <c r="Y6" s="61"/>
      <c r="Z6" s="9" t="str">
        <f ca="1"/>
        <v>GV2</v>
      </c>
      <c r="AB6" s="61"/>
      <c r="AD6" s="9" t="str">
        <f ca="1"/>
        <v>KB1</v>
      </c>
      <c r="AE6" s="9" t="str">
        <f ca="1"/>
        <v>KB2</v>
      </c>
      <c r="AF6" s="9" t="str">
        <f ca="1"/>
        <v>CI1</v>
      </c>
      <c r="AG6" s="9" t="str">
        <f ca="1"/>
        <v>DP3</v>
      </c>
      <c r="AH6" s="9" t="str">
        <f ca="1"/>
        <v>KB1</v>
      </c>
      <c r="AI6" s="9" t="str">
        <f ca="1"/>
        <v>MC4</v>
      </c>
      <c r="AJ6" s="9" t="str">
        <f ca="1"/>
        <v>MC1</v>
      </c>
      <c r="AK6" s="9" t="str">
        <f ca="1"/>
        <v>CI1</v>
      </c>
      <c r="AL6" s="9" t="str">
        <f ca="1"/>
        <v>KB2</v>
      </c>
      <c r="AM6" s="9" t="str">
        <f ca="1"/>
        <v>MC4</v>
      </c>
      <c r="AN6" s="9" t="str">
        <f ca="1"/>
        <v>MC4</v>
      </c>
      <c r="AO6" s="9" t="str">
        <f ca="1"/>
        <v>CI2</v>
      </c>
      <c r="AP6" s="9" t="str">
        <f ca="1"/>
        <v>DP3</v>
      </c>
      <c r="AQ6" s="9" t="str">
        <f ca="1"/>
        <v>GV2</v>
      </c>
      <c r="AS6" s="61"/>
      <c r="AU6" s="61"/>
      <c r="AV6" s="9" t="str">
        <f ca="1"/>
        <v>Mushroom</v>
      </c>
      <c r="AX6" s="61"/>
      <c r="AZ6" s="9"/>
      <c r="BA6" s="9"/>
      <c r="BB6" s="9"/>
      <c r="BC6" s="9"/>
      <c r="BD6" s="9"/>
      <c r="BE6" s="9"/>
      <c r="BF6" s="9"/>
      <c r="BG6" s="9"/>
      <c r="BH6" s="9"/>
      <c r="BI6" s="9" t="str" cm="1">
        <f t="array" aca="1" ref="BI6:BI9" ca="1">_xlfn.SORTBY(Cups[Cups],_xlfn.RANDARRAY(ROWS(Cups[Cups])))</f>
        <v>Special</v>
      </c>
      <c r="BJ6" s="9" t="str" cm="1">
        <f t="array" aca="1" ref="BJ6:BJ9" ca="1">_xlfn.SORTBY(Cups[Cups],_xlfn.RANDARRAY(ROWS(Cups[Cups])))</f>
        <v>Star</v>
      </c>
      <c r="BK6" s="9" t="str" cm="1">
        <f t="array" aca="1" ref="BK6:BK9" ca="1">_xlfn.SORTBY(Cups[Cups],_xlfn.RANDARRAY(ROWS(Cups[Cups])))</f>
        <v>Flower</v>
      </c>
      <c r="BL6" s="9" t="str" cm="1">
        <f t="array" aca="1" ref="BL6:BL9" ca="1">_xlfn.SORTBY(Cups[Cups],_xlfn.RANDARRAY(ROWS(Cups[Cups])))</f>
        <v>Special</v>
      </c>
      <c r="BM6" s="9" t="str" cm="1">
        <f t="array" aca="1" ref="BM6:BM9" ca="1">_xlfn.SORTBY(Cups[Cups],_xlfn.RANDARRAY(ROWS(Cups[Cups])))</f>
        <v>Mushroom</v>
      </c>
      <c r="BO6" s="61"/>
      <c r="BQ6" s="4" t="s">
        <v>170</v>
      </c>
    </row>
    <row r="7" spans="1:69">
      <c r="A7" s="61"/>
      <c r="C7" s="9" t="s">
        <v>184</v>
      </c>
      <c r="D7" s="9" t="s">
        <v>185</v>
      </c>
      <c r="H7" s="9" t="str">
        <f ca="1"/>
        <v>Rainbow Road</v>
      </c>
      <c r="J7" s="61"/>
      <c r="L7" s="6">
        <v>5</v>
      </c>
      <c r="M7" s="9">
        <v>800</v>
      </c>
      <c r="N7" s="9">
        <v>750</v>
      </c>
      <c r="O7" s="9">
        <v>750</v>
      </c>
      <c r="P7" s="9">
        <v>750</v>
      </c>
      <c r="R7" s="61"/>
      <c r="T7" s="61"/>
      <c r="U7" s="9" t="str">
        <f ca="1"/>
        <v>Bowser Castle 3</v>
      </c>
      <c r="W7" s="61"/>
      <c r="Y7" s="61"/>
      <c r="Z7" s="9" t="str">
        <f ca="1"/>
        <v>MC3</v>
      </c>
      <c r="AB7" s="61"/>
      <c r="AD7" s="9" t="str">
        <f ca="1"/>
        <v>MC1</v>
      </c>
      <c r="AE7" s="9" t="str">
        <f ca="1"/>
        <v>DP2</v>
      </c>
      <c r="AF7" s="9" t="str">
        <f ca="1"/>
        <v>MC4</v>
      </c>
      <c r="AG7" s="9" t="str">
        <f ca="1"/>
        <v>MC3</v>
      </c>
      <c r="AH7" s="9" t="str">
        <f ca="1"/>
        <v>BC2</v>
      </c>
      <c r="AI7" s="9" t="str">
        <f ca="1"/>
        <v>KB2</v>
      </c>
      <c r="AJ7" s="9" t="str">
        <f ca="1"/>
        <v>VL1</v>
      </c>
      <c r="AK7" s="9" t="str">
        <f ca="1"/>
        <v>RR</v>
      </c>
      <c r="AL7" s="9" t="str">
        <f ca="1"/>
        <v>GV1</v>
      </c>
      <c r="AM7" s="9" t="str">
        <f ca="1"/>
        <v>BC2</v>
      </c>
      <c r="AN7" s="9" t="str">
        <f ca="1"/>
        <v>GV2</v>
      </c>
      <c r="AO7" s="9" t="str">
        <f ca="1"/>
        <v>KB2</v>
      </c>
      <c r="AP7" s="9" t="str">
        <f ca="1"/>
        <v>DP2</v>
      </c>
      <c r="AQ7" s="9" t="str">
        <f ca="1"/>
        <v>GV1</v>
      </c>
      <c r="AS7" s="61"/>
      <c r="AU7" s="61"/>
      <c r="AV7" s="9" t="str">
        <f ca="1"/>
        <v>Flower</v>
      </c>
      <c r="AX7" s="61"/>
      <c r="AZ7" s="9"/>
      <c r="BA7" s="9"/>
      <c r="BB7" s="9"/>
      <c r="BC7" s="9"/>
      <c r="BD7" s="9"/>
      <c r="BE7" s="9"/>
      <c r="BF7" s="9"/>
      <c r="BG7" s="9"/>
      <c r="BH7" s="9"/>
      <c r="BI7" s="9" t="str">
        <f ca="1"/>
        <v>Flower</v>
      </c>
      <c r="BJ7" s="9" t="str">
        <f ca="1"/>
        <v>Mushroom</v>
      </c>
      <c r="BK7" s="9" t="str">
        <f ca="1"/>
        <v>Star</v>
      </c>
      <c r="BL7" s="9" t="str">
        <f ca="1"/>
        <v>Flower</v>
      </c>
      <c r="BM7" s="9" t="str">
        <f ca="1"/>
        <v>Special</v>
      </c>
      <c r="BO7" s="61"/>
      <c r="BQ7" s="4" t="s">
        <v>174</v>
      </c>
    </row>
    <row r="8" spans="1:69">
      <c r="A8" s="61"/>
      <c r="C8" s="9" t="s">
        <v>186</v>
      </c>
      <c r="D8" s="9" t="s">
        <v>187</v>
      </c>
      <c r="H8" s="9" t="str">
        <f ca="1"/>
        <v>Bowser Castle 1</v>
      </c>
      <c r="J8" s="61"/>
      <c r="L8" s="6">
        <v>6</v>
      </c>
      <c r="M8" s="9">
        <v>700</v>
      </c>
      <c r="N8" s="9">
        <v>750</v>
      </c>
      <c r="O8" s="9">
        <v>750</v>
      </c>
      <c r="P8" s="9">
        <v>750</v>
      </c>
      <c r="R8" s="61"/>
      <c r="T8" s="61"/>
      <c r="U8" s="9" t="str">
        <f ca="1"/>
        <v>Rainbow Road</v>
      </c>
      <c r="W8" s="61"/>
      <c r="Y8" s="61"/>
      <c r="Z8" s="9" t="str">
        <f ca="1"/>
        <v>MC2</v>
      </c>
      <c r="AB8" s="61"/>
      <c r="AD8" s="9" t="str">
        <f ca="1"/>
        <v>GV2</v>
      </c>
      <c r="AE8" s="9" t="str">
        <f ca="1"/>
        <v>RR</v>
      </c>
      <c r="AF8" s="9" t="str">
        <f ca="1"/>
        <v>BC1</v>
      </c>
      <c r="AG8" s="9" t="str">
        <f ca="1"/>
        <v>VL2</v>
      </c>
      <c r="AH8" s="9" t="str">
        <f ca="1"/>
        <v>KB2</v>
      </c>
      <c r="AI8" s="9" t="str">
        <f ca="1"/>
        <v>VL1</v>
      </c>
      <c r="AJ8" s="9" t="str">
        <f ca="1"/>
        <v>CI1</v>
      </c>
      <c r="AK8" s="9" t="str">
        <f ca="1"/>
        <v>DP1</v>
      </c>
      <c r="AL8" s="9" t="str">
        <f ca="1"/>
        <v>CI1</v>
      </c>
      <c r="AM8" s="9" t="str">
        <f ca="1"/>
        <v>CI1</v>
      </c>
      <c r="AN8" s="9" t="str">
        <f ca="1"/>
        <v>MC1</v>
      </c>
      <c r="AO8" s="9" t="str">
        <f ca="1"/>
        <v>VL1</v>
      </c>
      <c r="AP8" s="9" t="str">
        <f ca="1"/>
        <v>GV1</v>
      </c>
      <c r="AQ8" s="9" t="str">
        <f ca="1"/>
        <v>BC2</v>
      </c>
      <c r="AS8" s="61"/>
      <c r="AU8" s="61"/>
      <c r="AV8" s="9" t="str">
        <f ca="1"/>
        <v>Special</v>
      </c>
      <c r="AX8" s="61"/>
      <c r="AZ8" s="9"/>
      <c r="BA8" s="9"/>
      <c r="BB8" s="9"/>
      <c r="BC8" s="9"/>
      <c r="BD8" s="9"/>
      <c r="BE8" s="9"/>
      <c r="BF8" s="9"/>
      <c r="BG8" s="9"/>
      <c r="BH8" s="9"/>
      <c r="BI8" s="9" t="str">
        <f ca="1"/>
        <v>Star</v>
      </c>
      <c r="BJ8" s="9" t="str">
        <f ca="1"/>
        <v>Special</v>
      </c>
      <c r="BK8" s="9" t="str">
        <f ca="1"/>
        <v>Special</v>
      </c>
      <c r="BL8" s="9" t="str">
        <f ca="1"/>
        <v>Mushroom</v>
      </c>
      <c r="BM8" s="9" t="str">
        <f ca="1"/>
        <v>Star</v>
      </c>
      <c r="BO8" s="61"/>
      <c r="BQ8" s="4" t="s">
        <v>178</v>
      </c>
    </row>
    <row r="9" spans="1:69">
      <c r="A9" s="61"/>
      <c r="C9" s="9" t="s">
        <v>188</v>
      </c>
      <c r="D9" s="9" t="s">
        <v>189</v>
      </c>
      <c r="H9" s="9" t="str">
        <f ca="1"/>
        <v>Mario Circuit 4</v>
      </c>
      <c r="J9" s="61"/>
      <c r="L9" s="6">
        <v>7</v>
      </c>
      <c r="M9" s="9">
        <v>600</v>
      </c>
      <c r="N9" s="9">
        <v>550</v>
      </c>
      <c r="O9" s="9">
        <v>550</v>
      </c>
      <c r="P9" s="9">
        <v>550</v>
      </c>
      <c r="R9" s="61"/>
      <c r="T9" s="61"/>
      <c r="U9" s="9" t="str">
        <f ca="1"/>
        <v>Vanilla Lake 2</v>
      </c>
      <c r="W9" s="61"/>
      <c r="Y9" s="61"/>
      <c r="Z9" s="9" t="str">
        <f ca="1"/>
        <v>RR</v>
      </c>
      <c r="AB9" s="61"/>
      <c r="AD9" s="9" t="str">
        <f ca="1"/>
        <v>DP3</v>
      </c>
      <c r="AE9" s="9" t="str">
        <f ca="1"/>
        <v>MC4</v>
      </c>
      <c r="AF9" s="9" t="str">
        <f ca="1"/>
        <v>GV1</v>
      </c>
      <c r="AG9" s="9" t="str">
        <f ca="1"/>
        <v>MC2</v>
      </c>
      <c r="AH9" s="9" t="str">
        <f ca="1"/>
        <v>CI1</v>
      </c>
      <c r="AI9" s="9" t="str">
        <f ca="1"/>
        <v>BC3</v>
      </c>
      <c r="AJ9" s="9" t="str">
        <f ca="1"/>
        <v>GV2</v>
      </c>
      <c r="AK9" s="9" t="str">
        <f ca="1"/>
        <v>CI2</v>
      </c>
      <c r="AL9" s="9" t="str">
        <f ca="1"/>
        <v>BC3</v>
      </c>
      <c r="AM9" s="9" t="str">
        <f ca="1"/>
        <v>KB1</v>
      </c>
      <c r="AN9" s="9" t="str">
        <f ca="1"/>
        <v>BC3</v>
      </c>
      <c r="AO9" s="9" t="str">
        <f ca="1"/>
        <v>RR</v>
      </c>
      <c r="AP9" s="9" t="str">
        <f ca="1"/>
        <v>BC1</v>
      </c>
      <c r="AQ9" s="9" t="str">
        <f ca="1"/>
        <v>BC3</v>
      </c>
      <c r="AS9" s="61"/>
      <c r="AU9" s="61"/>
      <c r="AV9" s="9" t="str">
        <f ca="1"/>
        <v>Star</v>
      </c>
      <c r="AX9" s="61"/>
      <c r="AZ9" s="9"/>
      <c r="BA9" s="9"/>
      <c r="BB9" s="9"/>
      <c r="BC9" s="9"/>
      <c r="BD9" s="9"/>
      <c r="BE9" s="9"/>
      <c r="BF9" s="9"/>
      <c r="BG9" s="9"/>
      <c r="BH9" s="9"/>
      <c r="BI9" s="9" t="str">
        <f ca="1"/>
        <v>Mushroom</v>
      </c>
      <c r="BJ9" s="9" t="str">
        <f ca="1"/>
        <v>Flower</v>
      </c>
      <c r="BK9" s="9" t="str">
        <f ca="1"/>
        <v>Mushroom</v>
      </c>
      <c r="BL9" s="9" t="str">
        <f ca="1"/>
        <v>Star</v>
      </c>
      <c r="BM9" s="9" t="str">
        <f ca="1"/>
        <v>Flower</v>
      </c>
      <c r="BO9" s="61"/>
      <c r="BQ9" s="4" t="s">
        <v>162</v>
      </c>
    </row>
    <row r="10" spans="1:69">
      <c r="A10" s="61"/>
      <c r="C10" s="9" t="s">
        <v>190</v>
      </c>
      <c r="D10" s="9" t="s">
        <v>191</v>
      </c>
      <c r="H10" s="9" t="str">
        <f ca="1"/>
        <v>Donut Plains 1</v>
      </c>
      <c r="J10" s="61"/>
      <c r="L10" s="6">
        <v>8</v>
      </c>
      <c r="M10" s="9">
        <v>500</v>
      </c>
      <c r="N10" s="9">
        <v>550</v>
      </c>
      <c r="O10" s="9">
        <v>550</v>
      </c>
      <c r="P10" s="9">
        <v>550</v>
      </c>
      <c r="R10" s="61"/>
      <c r="T10" s="61"/>
      <c r="U10" s="9" t="str">
        <f ca="1"/>
        <v>Donut Plains 3</v>
      </c>
      <c r="W10" s="61"/>
      <c r="Y10" s="61"/>
      <c r="Z10" s="9" t="str">
        <f ca="1"/>
        <v>KB2</v>
      </c>
      <c r="AB10" s="61"/>
      <c r="AD10" s="9" t="str">
        <f ca="1"/>
        <v>KB2</v>
      </c>
      <c r="AE10" s="9" t="str">
        <f ca="1"/>
        <v>KB1</v>
      </c>
      <c r="AF10" s="9" t="str">
        <f ca="1"/>
        <v>DP3</v>
      </c>
      <c r="AG10" s="9" t="str">
        <f ca="1"/>
        <v>GV3</v>
      </c>
      <c r="AH10" s="9" t="str">
        <f ca="1"/>
        <v>BC1</v>
      </c>
      <c r="AI10" s="9" t="str">
        <f ca="1"/>
        <v>DP2</v>
      </c>
      <c r="AJ10" s="9" t="str">
        <f ca="1"/>
        <v>MC2</v>
      </c>
      <c r="AK10" s="9" t="str">
        <f ca="1"/>
        <v>MC1</v>
      </c>
      <c r="AL10" s="9" t="str">
        <f ca="1"/>
        <v>CI2</v>
      </c>
      <c r="AM10" s="9" t="str">
        <f ca="1"/>
        <v>MC3</v>
      </c>
      <c r="AN10" s="9" t="str">
        <f ca="1"/>
        <v>BC1</v>
      </c>
      <c r="AO10" s="9" t="str">
        <f ca="1"/>
        <v>GV1</v>
      </c>
      <c r="AP10" s="9" t="str">
        <f ca="1"/>
        <v>KB1</v>
      </c>
      <c r="AQ10" s="9" t="str">
        <f ca="1"/>
        <v>VL1</v>
      </c>
      <c r="AS10" s="61"/>
      <c r="AU10" s="61"/>
      <c r="AV10" s="9" t="str">
        <f ca="1"/>
        <v>Star</v>
      </c>
      <c r="AX10" s="61"/>
      <c r="BO10" s="61"/>
      <c r="BQ10" s="4" t="s">
        <v>170</v>
      </c>
    </row>
    <row r="11" spans="1:69">
      <c r="A11" s="61"/>
      <c r="C11" s="9" t="s">
        <v>192</v>
      </c>
      <c r="D11" s="9" t="s">
        <v>193</v>
      </c>
      <c r="H11" s="9" t="str">
        <f ca="1"/>
        <v>Vanilla Lake 1</v>
      </c>
      <c r="J11" s="61"/>
      <c r="L11" s="6">
        <v>9</v>
      </c>
      <c r="M11" s="9">
        <v>420</v>
      </c>
      <c r="N11" s="9">
        <v>400</v>
      </c>
      <c r="O11" s="9">
        <v>400</v>
      </c>
      <c r="P11" s="9">
        <v>400</v>
      </c>
      <c r="R11" s="61"/>
      <c r="T11" s="61"/>
      <c r="U11" s="9" t="str">
        <f ca="1"/>
        <v>Mario Circuit 1</v>
      </c>
      <c r="W11" s="61"/>
      <c r="Y11" s="61"/>
      <c r="Z11" s="9" t="str">
        <f ca="1"/>
        <v>KB1</v>
      </c>
      <c r="AB11" s="61"/>
      <c r="AD11" s="9" t="str">
        <f ca="1"/>
        <v>VL1</v>
      </c>
      <c r="AE11" s="9" t="str">
        <f ca="1"/>
        <v>MC2</v>
      </c>
      <c r="AF11" s="9" t="str">
        <f ca="1"/>
        <v>KB2</v>
      </c>
      <c r="AG11" s="9" t="str">
        <f ca="1"/>
        <v>CI1</v>
      </c>
      <c r="AH11" s="9" t="str">
        <f ca="1"/>
        <v>GV1</v>
      </c>
      <c r="AI11" s="9" t="str">
        <f ca="1"/>
        <v>MC3</v>
      </c>
      <c r="AJ11" s="9" t="str">
        <f ca="1"/>
        <v>CI2</v>
      </c>
      <c r="AK11" s="9" t="str">
        <f ca="1"/>
        <v>BC1</v>
      </c>
      <c r="AL11" s="9" t="str">
        <f ca="1"/>
        <v>GV2</v>
      </c>
      <c r="AM11" s="9" t="str">
        <f ca="1"/>
        <v>CI2</v>
      </c>
      <c r="AN11" s="9" t="str">
        <f ca="1"/>
        <v>MC2</v>
      </c>
      <c r="AO11" s="9" t="str">
        <f ca="1"/>
        <v>BC2</v>
      </c>
      <c r="AP11" s="9" t="str">
        <f ca="1"/>
        <v>RR</v>
      </c>
      <c r="AQ11" s="9" t="str">
        <f ca="1"/>
        <v>VL2</v>
      </c>
      <c r="AS11" s="61"/>
      <c r="AU11" s="61"/>
      <c r="AV11" s="9" t="str">
        <f ca="1"/>
        <v>Flower</v>
      </c>
      <c r="AX11" s="61"/>
      <c r="AZ11" s="6" t="s">
        <v>194</v>
      </c>
      <c r="BA11" s="6" t="s">
        <v>194</v>
      </c>
      <c r="BB11" s="6" t="s">
        <v>194</v>
      </c>
      <c r="BC11" s="6" t="s">
        <v>194</v>
      </c>
      <c r="BD11" s="6" t="s">
        <v>194</v>
      </c>
      <c r="BE11" s="6" t="s">
        <v>194</v>
      </c>
      <c r="BF11" s="6" t="s">
        <v>194</v>
      </c>
      <c r="BG11" s="6" t="s">
        <v>194</v>
      </c>
      <c r="BH11" s="6" t="s">
        <v>194</v>
      </c>
      <c r="BI11" s="6" t="s">
        <v>194</v>
      </c>
      <c r="BJ11" s="6" t="s">
        <v>194</v>
      </c>
      <c r="BK11" s="6" t="s">
        <v>194</v>
      </c>
      <c r="BL11" s="6" t="s">
        <v>194</v>
      </c>
      <c r="BM11" s="6" t="s">
        <v>194</v>
      </c>
      <c r="BO11" s="61"/>
      <c r="BQ11" s="4" t="s">
        <v>174</v>
      </c>
    </row>
    <row r="12" spans="1:69">
      <c r="A12" s="61"/>
      <c r="C12" s="9" t="s">
        <v>195</v>
      </c>
      <c r="D12" s="9" t="s">
        <v>196</v>
      </c>
      <c r="H12" s="9" t="str">
        <f ca="1"/>
        <v>Mario Circuit 2</v>
      </c>
      <c r="J12" s="61"/>
      <c r="L12" s="6">
        <v>10</v>
      </c>
      <c r="M12" s="9">
        <v>400</v>
      </c>
      <c r="N12" s="9">
        <v>400</v>
      </c>
      <c r="O12" s="9">
        <v>400</v>
      </c>
      <c r="P12" s="9">
        <v>400</v>
      </c>
      <c r="R12" s="61"/>
      <c r="T12" s="61"/>
      <c r="U12" s="9" t="str">
        <f ca="1"/>
        <v>Mario Circuit 2</v>
      </c>
      <c r="W12" s="61"/>
      <c r="Y12" s="61"/>
      <c r="Z12" s="9" t="str">
        <f ca="1"/>
        <v>GV3</v>
      </c>
      <c r="AB12" s="61"/>
      <c r="AD12" s="9" t="str">
        <f ca="1"/>
        <v>BC2</v>
      </c>
      <c r="AE12" s="9" t="str">
        <f ca="1"/>
        <v>GV2</v>
      </c>
      <c r="AF12" s="9" t="str">
        <f ca="1"/>
        <v>GV2</v>
      </c>
      <c r="AG12" s="9" t="str">
        <f ca="1"/>
        <v>BC3</v>
      </c>
      <c r="AH12" s="9" t="str">
        <f ca="1"/>
        <v>DP2</v>
      </c>
      <c r="AI12" s="9" t="str">
        <f ca="1"/>
        <v>DP3</v>
      </c>
      <c r="AJ12" s="9" t="str">
        <f ca="1"/>
        <v>GV1</v>
      </c>
      <c r="AK12" s="9" t="str">
        <f ca="1"/>
        <v>VL1</v>
      </c>
      <c r="AL12" s="9" t="str">
        <f ca="1"/>
        <v>VL1</v>
      </c>
      <c r="AM12" s="9" t="str">
        <f ca="1"/>
        <v>BC1</v>
      </c>
      <c r="AN12" s="9" t="str">
        <f ca="1"/>
        <v>DP2</v>
      </c>
      <c r="AO12" s="9" t="str">
        <f ca="1"/>
        <v>BC3</v>
      </c>
      <c r="AP12" s="9" t="str">
        <f ca="1"/>
        <v>KB2</v>
      </c>
      <c r="AQ12" s="9" t="str">
        <f ca="1"/>
        <v>GV3</v>
      </c>
      <c r="AS12" s="61"/>
      <c r="AU12" s="61"/>
      <c r="AV12" s="9" t="str">
        <f ca="1"/>
        <v>Special</v>
      </c>
      <c r="AX12" s="61"/>
      <c r="AZ12" s="9">
        <v>1</v>
      </c>
      <c r="BA12" s="9">
        <v>1</v>
      </c>
      <c r="BB12" s="9">
        <v>2</v>
      </c>
      <c r="BC12" s="9">
        <v>2</v>
      </c>
      <c r="BD12" s="9">
        <v>2</v>
      </c>
      <c r="BE12" s="9">
        <v>2</v>
      </c>
      <c r="BF12" s="9">
        <v>2</v>
      </c>
      <c r="BG12" s="9">
        <v>2</v>
      </c>
      <c r="BH12" s="9">
        <v>2</v>
      </c>
      <c r="BI12" s="9">
        <v>3</v>
      </c>
      <c r="BJ12" s="9">
        <v>3</v>
      </c>
      <c r="BK12" s="9">
        <v>3</v>
      </c>
      <c r="BL12" s="9">
        <v>3</v>
      </c>
      <c r="BM12" s="9">
        <v>3</v>
      </c>
      <c r="BO12" s="61"/>
      <c r="BQ12" s="4" t="s">
        <v>178</v>
      </c>
    </row>
    <row r="13" spans="1:69">
      <c r="A13" s="61"/>
      <c r="C13" s="9" t="s">
        <v>197</v>
      </c>
      <c r="D13" s="9" t="s">
        <v>198</v>
      </c>
      <c r="H13" s="9" t="str">
        <f ca="1"/>
        <v>Mario Circuit 3</v>
      </c>
      <c r="J13" s="61"/>
      <c r="L13" s="6">
        <v>11</v>
      </c>
      <c r="M13" s="9">
        <v>380</v>
      </c>
      <c r="N13" s="9">
        <v>400</v>
      </c>
      <c r="O13" s="9">
        <v>400</v>
      </c>
      <c r="P13" s="9">
        <v>400</v>
      </c>
      <c r="R13" s="61"/>
      <c r="T13" s="61"/>
      <c r="U13" s="9" t="str">
        <f ca="1"/>
        <v>Mario Circuit 4</v>
      </c>
      <c r="W13" s="61"/>
      <c r="Y13" s="61"/>
      <c r="Z13" s="9" t="str">
        <f ca="1"/>
        <v>VL2</v>
      </c>
      <c r="AB13" s="61"/>
      <c r="AD13" s="9" t="str">
        <f ca="1"/>
        <v>MC4</v>
      </c>
      <c r="AE13" s="9" t="str">
        <f ca="1"/>
        <v>CI2</v>
      </c>
      <c r="AF13" s="9" t="str">
        <f ca="1"/>
        <v>BC2</v>
      </c>
      <c r="AG13" s="9" t="str">
        <f ca="1"/>
        <v>DP2</v>
      </c>
      <c r="AH13" s="9" t="str">
        <f ca="1"/>
        <v>BC3</v>
      </c>
      <c r="AI13" s="9" t="str">
        <f ca="1"/>
        <v>DP1</v>
      </c>
      <c r="AJ13" s="9" t="str">
        <f ca="1"/>
        <v>BC3</v>
      </c>
      <c r="AK13" s="9" t="str">
        <f ca="1"/>
        <v>BC2</v>
      </c>
      <c r="AL13" s="9" t="str">
        <f ca="1"/>
        <v>MC2</v>
      </c>
      <c r="AM13" s="9" t="str">
        <f ca="1"/>
        <v>BC3</v>
      </c>
      <c r="AN13" s="9" t="str">
        <f ca="1"/>
        <v>RR</v>
      </c>
      <c r="AO13" s="9" t="str">
        <f ca="1"/>
        <v>GV2</v>
      </c>
      <c r="AP13" s="9" t="str">
        <f ca="1"/>
        <v>VL1</v>
      </c>
      <c r="AQ13" s="9" t="str">
        <f ca="1"/>
        <v>MC3</v>
      </c>
      <c r="AS13" s="61"/>
      <c r="AU13" s="61"/>
      <c r="AV13" s="9" t="str">
        <f ca="1"/>
        <v>Mushroom</v>
      </c>
      <c r="AX13" s="61"/>
      <c r="BO13" s="61"/>
      <c r="BQ13" s="4" t="s">
        <v>162</v>
      </c>
    </row>
    <row r="14" spans="1:69">
      <c r="A14" s="61"/>
      <c r="C14" s="9" t="s">
        <v>199</v>
      </c>
      <c r="D14" s="9" t="s">
        <v>200</v>
      </c>
      <c r="H14" s="9" t="str">
        <f ca="1"/>
        <v>Koopa Beach 2</v>
      </c>
      <c r="J14" s="61"/>
      <c r="L14" s="6">
        <v>12</v>
      </c>
      <c r="M14" s="9">
        <v>360</v>
      </c>
      <c r="N14" s="9">
        <v>400</v>
      </c>
      <c r="O14" s="9">
        <v>400</v>
      </c>
      <c r="P14" s="9">
        <v>400</v>
      </c>
      <c r="R14" s="61"/>
      <c r="T14" s="61"/>
      <c r="U14" s="9" t="str">
        <f ca="1"/>
        <v>Bowser Castle 1</v>
      </c>
      <c r="W14" s="61"/>
      <c r="Y14" s="61"/>
      <c r="Z14" s="9" t="str">
        <f ca="1"/>
        <v>BC3</v>
      </c>
      <c r="AB14" s="61"/>
      <c r="AD14" s="9" t="str">
        <f ca="1"/>
        <v>CI2</v>
      </c>
      <c r="AE14" s="9" t="str">
        <f ca="1"/>
        <v>GV3</v>
      </c>
      <c r="AF14" s="9" t="str">
        <f ca="1"/>
        <v>DP2</v>
      </c>
      <c r="AG14" s="9" t="str">
        <f ca="1"/>
        <v>BC1</v>
      </c>
      <c r="AH14" s="9" t="str">
        <f ca="1"/>
        <v>MC4</v>
      </c>
      <c r="AI14" s="9" t="str">
        <f ca="1"/>
        <v>CI1</v>
      </c>
      <c r="AJ14" s="9" t="str">
        <f ca="1"/>
        <v>DP2</v>
      </c>
      <c r="AK14" s="9" t="str">
        <f ca="1"/>
        <v>BC3</v>
      </c>
      <c r="AL14" s="9" t="str">
        <f ca="1"/>
        <v>DP1</v>
      </c>
      <c r="AM14" s="9" t="str">
        <f ca="1"/>
        <v>GV2</v>
      </c>
      <c r="AN14" s="9" t="str">
        <f ca="1"/>
        <v>DP3</v>
      </c>
      <c r="AO14" s="9" t="str">
        <f ca="1"/>
        <v>BC1</v>
      </c>
      <c r="AP14" s="9" t="str">
        <f ca="1"/>
        <v>CI2</v>
      </c>
      <c r="AQ14" s="9" t="str">
        <f ca="1"/>
        <v>CI1</v>
      </c>
      <c r="AS14" s="61"/>
      <c r="AU14" s="61"/>
      <c r="AV14" s="9" t="str">
        <f ca="1"/>
        <v>Special</v>
      </c>
      <c r="AX14" s="61"/>
      <c r="BO14" s="61"/>
      <c r="BQ14" s="4" t="s">
        <v>170</v>
      </c>
    </row>
    <row r="15" spans="1:69">
      <c r="A15" s="61"/>
      <c r="C15" s="9" t="s">
        <v>201</v>
      </c>
      <c r="D15" s="9" t="s">
        <v>202</v>
      </c>
      <c r="H15" s="9" t="str">
        <f ca="1"/>
        <v>Vanilla Lake 2</v>
      </c>
      <c r="J15" s="61"/>
      <c r="L15" s="6">
        <v>13</v>
      </c>
      <c r="M15" s="9">
        <v>340</v>
      </c>
      <c r="N15" s="9">
        <v>300</v>
      </c>
      <c r="O15" s="9">
        <v>300</v>
      </c>
      <c r="P15" s="9">
        <v>300</v>
      </c>
      <c r="R15" s="61"/>
      <c r="T15" s="61"/>
      <c r="U15" s="9" t="str">
        <f ca="1"/>
        <v>Bowser Castle 2</v>
      </c>
      <c r="W15" s="61"/>
      <c r="Y15" s="61"/>
      <c r="Z15" s="9" t="str">
        <f ca="1"/>
        <v>BC2</v>
      </c>
      <c r="AB15" s="61"/>
      <c r="AD15" s="9" t="str">
        <f ca="1"/>
        <v>BC3</v>
      </c>
      <c r="AE15" s="9" t="str">
        <f ca="1"/>
        <v>VL1</v>
      </c>
      <c r="AF15" s="9" t="str">
        <f ca="1"/>
        <v>KB1</v>
      </c>
      <c r="AG15" s="9" t="str">
        <f ca="1"/>
        <v>GV2</v>
      </c>
      <c r="AH15" s="9" t="str">
        <f ca="1"/>
        <v>RR</v>
      </c>
      <c r="AI15" s="9" t="str">
        <f ca="1"/>
        <v>RR</v>
      </c>
      <c r="AJ15" s="9" t="str">
        <f ca="1"/>
        <v>BC2</v>
      </c>
      <c r="AK15" s="9" t="str">
        <f ca="1"/>
        <v>MC4</v>
      </c>
      <c r="AL15" s="9" t="str">
        <f ca="1"/>
        <v>RR</v>
      </c>
      <c r="AM15" s="9" t="str">
        <f ca="1"/>
        <v>VL2</v>
      </c>
      <c r="AN15" s="9" t="str">
        <f ca="1"/>
        <v>VL2</v>
      </c>
      <c r="AO15" s="9" t="str">
        <f ca="1"/>
        <v>MC3</v>
      </c>
      <c r="AP15" s="9" t="str">
        <f ca="1"/>
        <v>MC2</v>
      </c>
      <c r="AQ15" s="9" t="str">
        <f ca="1"/>
        <v>DP3</v>
      </c>
      <c r="AS15" s="61"/>
      <c r="AU15" s="61"/>
      <c r="AV15" s="9" t="str">
        <f ca="1"/>
        <v>Star</v>
      </c>
      <c r="AX15" s="61"/>
      <c r="BO15" s="61"/>
      <c r="BQ15" s="4" t="s">
        <v>174</v>
      </c>
    </row>
    <row r="16" spans="1:69">
      <c r="A16" s="61"/>
      <c r="C16" s="9" t="s">
        <v>203</v>
      </c>
      <c r="D16" s="9" t="s">
        <v>204</v>
      </c>
      <c r="H16" s="9" t="str">
        <f ca="1"/>
        <v>Mario Circuit 1</v>
      </c>
      <c r="J16" s="61"/>
      <c r="L16" s="6">
        <v>14</v>
      </c>
      <c r="M16" s="9">
        <v>320</v>
      </c>
      <c r="N16" s="9">
        <v>300</v>
      </c>
      <c r="O16" s="9">
        <v>300</v>
      </c>
      <c r="P16" s="9">
        <v>300</v>
      </c>
      <c r="R16" s="61"/>
      <c r="T16" s="61"/>
      <c r="U16" s="9" t="str">
        <f ca="1"/>
        <v>Choco Island 2</v>
      </c>
      <c r="W16" s="61"/>
      <c r="Y16" s="61"/>
      <c r="Z16" s="9" t="str">
        <f ca="1"/>
        <v>VL1</v>
      </c>
      <c r="AB16" s="61"/>
      <c r="AD16" s="9" t="str">
        <f ca="1"/>
        <v>MC2</v>
      </c>
      <c r="AE16" s="9" t="str">
        <f ca="1"/>
        <v>BC3</v>
      </c>
      <c r="AF16" s="9" t="str">
        <f ca="1"/>
        <v>MC1</v>
      </c>
      <c r="AG16" s="9" t="str">
        <f ca="1"/>
        <v>VL1</v>
      </c>
      <c r="AH16" s="9" t="str">
        <f ca="1"/>
        <v>MC1</v>
      </c>
      <c r="AI16" s="9" t="str">
        <f ca="1"/>
        <v>CI2</v>
      </c>
      <c r="AJ16" s="9" t="str">
        <f ca="1"/>
        <v>KB2</v>
      </c>
      <c r="AK16" s="9" t="str">
        <f ca="1"/>
        <v>DP3</v>
      </c>
      <c r="AL16" s="9" t="str">
        <f ca="1"/>
        <v>BC2</v>
      </c>
      <c r="AM16" s="9" t="str">
        <f ca="1"/>
        <v>VL1</v>
      </c>
      <c r="AN16" s="9" t="str">
        <f ca="1"/>
        <v>VL1</v>
      </c>
      <c r="AO16" s="9" t="str">
        <f ca="1"/>
        <v>DP3</v>
      </c>
      <c r="AP16" s="9" t="str">
        <f ca="1"/>
        <v>GV3</v>
      </c>
      <c r="AQ16" s="9" t="str">
        <f ca="1"/>
        <v>RR</v>
      </c>
      <c r="AS16" s="61"/>
      <c r="AU16" s="61"/>
      <c r="AV16" s="9" t="str">
        <f ca="1"/>
        <v>Flower</v>
      </c>
      <c r="AX16" s="61"/>
      <c r="BO16" s="61"/>
      <c r="BQ16" s="4" t="s">
        <v>178</v>
      </c>
    </row>
    <row r="17" spans="1:69">
      <c r="A17" s="61"/>
      <c r="C17" s="9" t="s">
        <v>205</v>
      </c>
      <c r="D17" s="9" t="s">
        <v>206</v>
      </c>
      <c r="H17" s="9" t="str">
        <f ca="1"/>
        <v>Bowser Castle 3</v>
      </c>
      <c r="J17" s="61"/>
      <c r="L17" s="6">
        <v>15</v>
      </c>
      <c r="M17" s="9">
        <v>300</v>
      </c>
      <c r="N17" s="9">
        <v>300</v>
      </c>
      <c r="O17" s="9">
        <v>300</v>
      </c>
      <c r="P17" s="9">
        <v>300</v>
      </c>
      <c r="R17" s="61"/>
      <c r="T17" s="61"/>
      <c r="U17" s="9" t="str">
        <f ca="1"/>
        <v>Choco Island 1</v>
      </c>
      <c r="W17" s="61"/>
      <c r="Y17" s="61"/>
      <c r="Z17" s="9" t="str">
        <f ca="1"/>
        <v>CI1</v>
      </c>
      <c r="AB17" s="61"/>
      <c r="AD17" s="9" t="str">
        <f ca="1"/>
        <v>GV3</v>
      </c>
      <c r="AE17" s="9" t="str">
        <f ca="1"/>
        <v>MC3</v>
      </c>
      <c r="AF17" s="9" t="str">
        <f ca="1"/>
        <v>DP1</v>
      </c>
      <c r="AG17" s="9" t="str">
        <f ca="1"/>
        <v>GV1</v>
      </c>
      <c r="AH17" s="9" t="str">
        <f ca="1"/>
        <v>CI2</v>
      </c>
      <c r="AI17" s="9" t="str">
        <f ca="1"/>
        <v>GV2</v>
      </c>
      <c r="AJ17" s="9" t="str">
        <f ca="1"/>
        <v>MC3</v>
      </c>
      <c r="AK17" s="9" t="str">
        <f ca="1"/>
        <v>DP2</v>
      </c>
      <c r="AL17" s="9" t="str">
        <f ca="1"/>
        <v>BC1</v>
      </c>
      <c r="AM17" s="9" t="str">
        <f ca="1"/>
        <v>DP3</v>
      </c>
      <c r="AN17" s="9" t="str">
        <f ca="1"/>
        <v>GV3</v>
      </c>
      <c r="AO17" s="9" t="str">
        <f ca="1"/>
        <v>CI1</v>
      </c>
      <c r="AP17" s="9" t="str">
        <f ca="1"/>
        <v>MC3</v>
      </c>
      <c r="AQ17" s="9" t="str">
        <f ca="1"/>
        <v>KB2</v>
      </c>
      <c r="AS17" s="61"/>
      <c r="AU17" s="61"/>
      <c r="AV17" s="9" t="str">
        <f ca="1"/>
        <v>Mushroom</v>
      </c>
      <c r="AX17" s="61"/>
      <c r="BO17" s="61"/>
      <c r="BQ17" s="4" t="s">
        <v>162</v>
      </c>
    </row>
    <row r="18" spans="1:69">
      <c r="A18" s="61"/>
      <c r="C18" s="9" t="s">
        <v>207</v>
      </c>
      <c r="D18" s="9" t="s">
        <v>208</v>
      </c>
      <c r="H18" s="9" t="str">
        <f ca="1"/>
        <v>Koopa Beach 1</v>
      </c>
      <c r="J18" s="61"/>
      <c r="L18" s="6">
        <v>16</v>
      </c>
      <c r="M18" s="9">
        <v>280</v>
      </c>
      <c r="N18" s="9">
        <v>300</v>
      </c>
      <c r="O18" s="9">
        <v>300</v>
      </c>
      <c r="P18" s="9">
        <v>300</v>
      </c>
      <c r="R18" s="61"/>
      <c r="T18" s="61"/>
      <c r="U18" s="9" t="str">
        <f ca="1"/>
        <v>Ghost Valley 1</v>
      </c>
      <c r="W18" s="61"/>
      <c r="Y18" s="61"/>
      <c r="Z18" s="9" t="str">
        <f ca="1"/>
        <v>DP3</v>
      </c>
      <c r="AB18" s="61"/>
      <c r="AD18" s="9" t="str">
        <f ca="1"/>
        <v>MC3</v>
      </c>
      <c r="AE18" s="9" t="str">
        <f ca="1"/>
        <v>VL2</v>
      </c>
      <c r="AF18" s="9" t="str">
        <f ca="1"/>
        <v>MC2</v>
      </c>
      <c r="AG18" s="9" t="str">
        <f ca="1"/>
        <v>RR</v>
      </c>
      <c r="AH18" s="9" t="str">
        <f ca="1"/>
        <v>MC2</v>
      </c>
      <c r="AI18" s="9" t="str">
        <f ca="1"/>
        <v>GV1</v>
      </c>
      <c r="AJ18" s="9" t="str">
        <f ca="1"/>
        <v>MC4</v>
      </c>
      <c r="AK18" s="9" t="str">
        <f ca="1"/>
        <v>KB1</v>
      </c>
      <c r="AL18" s="9" t="str">
        <f ca="1"/>
        <v>MC4</v>
      </c>
      <c r="AM18" s="9" t="str">
        <f ca="1"/>
        <v>DP2</v>
      </c>
      <c r="AN18" s="9" t="str">
        <f ca="1"/>
        <v>CI1</v>
      </c>
      <c r="AO18" s="9" t="str">
        <f ca="1"/>
        <v>MC1</v>
      </c>
      <c r="AP18" s="9" t="str">
        <f ca="1"/>
        <v>BC2</v>
      </c>
      <c r="AQ18" s="9" t="str">
        <f ca="1"/>
        <v>CI2</v>
      </c>
      <c r="AS18" s="61"/>
      <c r="AU18" s="61"/>
      <c r="AV18" s="9" t="str">
        <f ca="1"/>
        <v>Flower</v>
      </c>
      <c r="AX18" s="61"/>
      <c r="BO18" s="61"/>
      <c r="BQ18" s="4" t="s">
        <v>170</v>
      </c>
    </row>
    <row r="19" spans="1:69">
      <c r="A19" s="61"/>
      <c r="C19" s="9" t="s">
        <v>209</v>
      </c>
      <c r="D19" s="9" t="s">
        <v>210</v>
      </c>
      <c r="H19" s="9" t="str">
        <f ca="1"/>
        <v>Bowser Castle 2</v>
      </c>
      <c r="J19" s="61"/>
      <c r="L19" s="6">
        <v>17</v>
      </c>
      <c r="M19" s="9">
        <v>160</v>
      </c>
      <c r="N19" s="9">
        <v>150</v>
      </c>
      <c r="O19" s="9">
        <v>150</v>
      </c>
      <c r="P19" s="9">
        <v>150</v>
      </c>
      <c r="R19" s="61"/>
      <c r="T19" s="61"/>
      <c r="U19" s="9" t="str">
        <f ca="1"/>
        <v>Ghost Valley 3</v>
      </c>
      <c r="W19" s="61"/>
      <c r="Y19" s="61"/>
      <c r="Z19" s="9" t="str">
        <f ca="1"/>
        <v>BC1</v>
      </c>
      <c r="AB19" s="61"/>
      <c r="AD19" s="9" t="str">
        <f ca="1"/>
        <v>BC1</v>
      </c>
      <c r="AE19" s="9" t="str">
        <f ca="1"/>
        <v>BC2</v>
      </c>
      <c r="AF19" s="9" t="str">
        <f ca="1"/>
        <v>CI2</v>
      </c>
      <c r="AG19" s="9" t="str">
        <f ca="1"/>
        <v>KB1</v>
      </c>
      <c r="AH19" s="9" t="str">
        <f ca="1"/>
        <v>GV2</v>
      </c>
      <c r="AI19" s="9" t="str">
        <f ca="1"/>
        <v>VL2</v>
      </c>
      <c r="AJ19" s="9" t="str">
        <f ca="1"/>
        <v>GV3</v>
      </c>
      <c r="AK19" s="9" t="str">
        <f ca="1"/>
        <v>GV1</v>
      </c>
      <c r="AL19" s="9" t="str">
        <f ca="1"/>
        <v>GV3</v>
      </c>
      <c r="AM19" s="9" t="str">
        <f ca="1"/>
        <v>RR</v>
      </c>
      <c r="AN19" s="9" t="str">
        <f ca="1"/>
        <v>KB2</v>
      </c>
      <c r="AO19" s="9" t="str">
        <f ca="1"/>
        <v>DP1</v>
      </c>
      <c r="AP19" s="9" t="str">
        <f ca="1"/>
        <v>CI1</v>
      </c>
      <c r="AQ19" s="9" t="str">
        <f ca="1"/>
        <v>MC2</v>
      </c>
      <c r="AS19" s="61"/>
      <c r="AU19" s="61"/>
      <c r="AV19" s="9" t="str">
        <f ca="1"/>
        <v>Mushroom</v>
      </c>
      <c r="AX19" s="61"/>
      <c r="BO19" s="61"/>
      <c r="BQ19" s="4" t="s">
        <v>174</v>
      </c>
    </row>
    <row r="20" spans="1:69">
      <c r="A20" s="61"/>
      <c r="C20" s="9" t="s">
        <v>211</v>
      </c>
      <c r="D20" s="9" t="s">
        <v>212</v>
      </c>
      <c r="H20" s="9" t="str">
        <f ca="1"/>
        <v>Donut Plains 3</v>
      </c>
      <c r="J20" s="61"/>
      <c r="L20" s="6">
        <v>18</v>
      </c>
      <c r="M20" s="9">
        <v>150</v>
      </c>
      <c r="N20" s="9">
        <v>150</v>
      </c>
      <c r="O20" s="9">
        <v>150</v>
      </c>
      <c r="P20" s="9">
        <v>150</v>
      </c>
      <c r="R20" s="61"/>
      <c r="T20" s="61"/>
      <c r="U20" s="9" t="str">
        <f ca="1"/>
        <v>Mario Circuit 3</v>
      </c>
      <c r="W20" s="61"/>
      <c r="Y20" s="61"/>
      <c r="Z20" s="9" t="str">
        <f ca="1"/>
        <v>MC4</v>
      </c>
      <c r="AB20" s="61"/>
      <c r="AD20" s="9" t="str">
        <f ca="1"/>
        <v>DP1</v>
      </c>
      <c r="AE20" s="9" t="str">
        <f ca="1"/>
        <v>MC1</v>
      </c>
      <c r="AF20" s="9" t="str">
        <f ca="1"/>
        <v>GV3</v>
      </c>
      <c r="AG20" s="9" t="str">
        <f ca="1"/>
        <v>BC2</v>
      </c>
      <c r="AH20" s="9" t="str">
        <f ca="1"/>
        <v>VL2</v>
      </c>
      <c r="AI20" s="9" t="str">
        <f ca="1"/>
        <v>BC2</v>
      </c>
      <c r="AJ20" s="9" t="str">
        <f ca="1"/>
        <v>VL2</v>
      </c>
      <c r="AK20" s="9" t="str">
        <f ca="1"/>
        <v>KB2</v>
      </c>
      <c r="AL20" s="9" t="str">
        <f ca="1"/>
        <v>MC1</v>
      </c>
      <c r="AM20" s="9" t="str">
        <f ca="1"/>
        <v>MC2</v>
      </c>
      <c r="AN20" s="9" t="str">
        <f ca="1"/>
        <v>KB1</v>
      </c>
      <c r="AO20" s="9" t="str">
        <f ca="1"/>
        <v>MC2</v>
      </c>
      <c r="AP20" s="9" t="str">
        <f ca="1"/>
        <v>MC4</v>
      </c>
      <c r="AQ20" s="9" t="str">
        <f ca="1"/>
        <v>MC1</v>
      </c>
      <c r="AS20" s="61"/>
      <c r="AU20" s="61"/>
      <c r="AV20" s="9" t="str">
        <f ca="1"/>
        <v>Special</v>
      </c>
      <c r="AX20" s="61"/>
      <c r="BO20" s="61"/>
      <c r="BQ20" s="4" t="s">
        <v>178</v>
      </c>
    </row>
    <row r="21" spans="1:69">
      <c r="A21" s="61"/>
      <c r="C21" s="9" t="s">
        <v>213</v>
      </c>
      <c r="D21" s="9" t="s">
        <v>214</v>
      </c>
      <c r="H21" s="9" t="str">
        <f ca="1"/>
        <v>Donut Plains 2</v>
      </c>
      <c r="J21" s="61"/>
      <c r="L21" s="6">
        <v>19</v>
      </c>
      <c r="M21" s="9">
        <v>140</v>
      </c>
      <c r="N21" s="9">
        <v>150</v>
      </c>
      <c r="O21" s="9">
        <v>150</v>
      </c>
      <c r="P21" s="9">
        <v>150</v>
      </c>
      <c r="R21" s="61"/>
      <c r="T21" s="62"/>
      <c r="U21" s="9" t="str">
        <f ca="1"/>
        <v>Donut Plains 1</v>
      </c>
      <c r="W21" s="61"/>
      <c r="Y21" s="62"/>
      <c r="Z21" s="9" t="str">
        <f ca="1"/>
        <v>DP2</v>
      </c>
      <c r="AB21" s="61"/>
      <c r="AD21" s="9" t="str">
        <f ca="1"/>
        <v>CI1</v>
      </c>
      <c r="AE21" s="9" t="str">
        <f ca="1"/>
        <v>GV1</v>
      </c>
      <c r="AF21" s="9" t="str">
        <f ca="1"/>
        <v>BC3</v>
      </c>
      <c r="AG21" s="9" t="str">
        <f ca="1"/>
        <v>MC4</v>
      </c>
      <c r="AH21" s="9" t="str">
        <f ca="1"/>
        <v>DP1</v>
      </c>
      <c r="AI21" s="9" t="str">
        <f ca="1"/>
        <v>MC2</v>
      </c>
      <c r="AJ21" s="9" t="str">
        <f ca="1"/>
        <v>DP1</v>
      </c>
      <c r="AK21" s="9" t="str">
        <f ca="1"/>
        <v>MC2</v>
      </c>
      <c r="AL21" s="9" t="str">
        <f ca="1"/>
        <v>VL2</v>
      </c>
      <c r="AM21" s="9" t="str">
        <f ca="1"/>
        <v>MC1</v>
      </c>
      <c r="AN21" s="9" t="str">
        <f ca="1"/>
        <v>MC3</v>
      </c>
      <c r="AO21" s="9" t="str">
        <f ca="1"/>
        <v>VL2</v>
      </c>
      <c r="AP21" s="9" t="str">
        <f ca="1"/>
        <v>VL2</v>
      </c>
      <c r="AQ21" s="9" t="str">
        <f ca="1"/>
        <v>BC1</v>
      </c>
      <c r="AS21" s="61"/>
      <c r="AU21" s="62"/>
      <c r="AV21" s="9" t="str">
        <f ca="1"/>
        <v>Star</v>
      </c>
      <c r="AX21" s="61"/>
      <c r="BO21" s="61"/>
      <c r="BQ21" s="4" t="s">
        <v>162</v>
      </c>
    </row>
    <row r="22" spans="1:69" ht="12.75" customHeight="1">
      <c r="A22" s="61"/>
      <c r="J22" s="61"/>
      <c r="L22" s="6">
        <v>20</v>
      </c>
      <c r="M22" s="9">
        <v>130</v>
      </c>
      <c r="N22" s="9">
        <v>150</v>
      </c>
      <c r="O22" s="9">
        <v>150</v>
      </c>
      <c r="P22" s="9">
        <v>150</v>
      </c>
      <c r="R22" s="61"/>
      <c r="T22" s="60" t="s">
        <v>215</v>
      </c>
      <c r="U22" s="9" t="str">
        <f ca="1"/>
        <v>Vanilla Lake 2</v>
      </c>
      <c r="W22" s="61"/>
      <c r="Y22" s="60" t="s">
        <v>216</v>
      </c>
      <c r="Z22" s="9" t="str">
        <f ca="1"/>
        <v>BC1</v>
      </c>
      <c r="AB22" s="61"/>
      <c r="AS22" s="61"/>
      <c r="AX22" s="61"/>
      <c r="BO22" s="61"/>
      <c r="BQ22" s="4" t="s">
        <v>170</v>
      </c>
    </row>
    <row r="23" spans="1:69">
      <c r="A23" s="61"/>
      <c r="H23" s="9" t="str" cm="1">
        <f t="array" aca="1" ref="H23:H26" ca="1">_xlfn.SORTBY(Cups[Cups],_xlfn.RANDARRAY(ROWS(Cups[Cups])))</f>
        <v>Mushroom</v>
      </c>
      <c r="J23" s="61"/>
      <c r="L23" s="6">
        <v>21</v>
      </c>
      <c r="M23" s="9">
        <v>120</v>
      </c>
      <c r="N23" s="9">
        <v>100</v>
      </c>
      <c r="O23" s="9">
        <v>100</v>
      </c>
      <c r="P23" s="9">
        <v>100</v>
      </c>
      <c r="R23" s="61"/>
      <c r="T23" s="61"/>
      <c r="U23" s="9" t="str">
        <f ca="1"/>
        <v>Ghost Valley 2</v>
      </c>
      <c r="W23" s="61"/>
      <c r="Y23" s="61"/>
      <c r="Z23" s="9" t="str">
        <f ca="1"/>
        <v>BC3</v>
      </c>
      <c r="AB23" s="61"/>
      <c r="AD23" s="6" t="s">
        <v>194</v>
      </c>
      <c r="AE23" s="6" t="s">
        <v>194</v>
      </c>
      <c r="AF23" s="6" t="s">
        <v>194</v>
      </c>
      <c r="AG23" s="6" t="s">
        <v>194</v>
      </c>
      <c r="AH23" s="6" t="s">
        <v>194</v>
      </c>
      <c r="AI23" s="6" t="s">
        <v>194</v>
      </c>
      <c r="AJ23" s="6" t="s">
        <v>194</v>
      </c>
      <c r="AK23" s="6" t="s">
        <v>194</v>
      </c>
      <c r="AL23" s="6" t="s">
        <v>194</v>
      </c>
      <c r="AM23" s="6" t="s">
        <v>194</v>
      </c>
      <c r="AN23" s="6" t="s">
        <v>194</v>
      </c>
      <c r="AO23" s="6" t="s">
        <v>194</v>
      </c>
      <c r="AP23" s="6" t="s">
        <v>194</v>
      </c>
      <c r="AQ23" s="6" t="s">
        <v>194</v>
      </c>
      <c r="AS23" s="61"/>
      <c r="AX23" s="61"/>
      <c r="BO23" s="61"/>
      <c r="BQ23" s="4" t="s">
        <v>174</v>
      </c>
    </row>
    <row r="24" spans="1:69">
      <c r="A24" s="61"/>
      <c r="H24" s="9" t="str">
        <f ca="1"/>
        <v>Flower</v>
      </c>
      <c r="J24" s="61"/>
      <c r="L24" s="6">
        <v>22</v>
      </c>
      <c r="M24" s="9">
        <v>110</v>
      </c>
      <c r="N24" s="9">
        <v>100</v>
      </c>
      <c r="O24" s="9">
        <v>100</v>
      </c>
      <c r="P24" s="9">
        <v>100</v>
      </c>
      <c r="R24" s="61"/>
      <c r="T24" s="61"/>
      <c r="U24" s="9" t="str">
        <f ca="1"/>
        <v>Rainbow Road</v>
      </c>
      <c r="W24" s="61"/>
      <c r="Y24" s="61"/>
      <c r="Z24" s="9" t="str">
        <f ca="1"/>
        <v>CI1</v>
      </c>
      <c r="AB24" s="61"/>
      <c r="AD24" s="9">
        <v>3</v>
      </c>
      <c r="AE24" s="9">
        <v>4</v>
      </c>
      <c r="AF24" s="9">
        <v>5</v>
      </c>
      <c r="AG24" s="9">
        <v>5</v>
      </c>
      <c r="AH24" s="9">
        <v>5</v>
      </c>
      <c r="AI24" s="9">
        <v>5</v>
      </c>
      <c r="AJ24" s="9">
        <v>7</v>
      </c>
      <c r="AK24" s="9">
        <v>7</v>
      </c>
      <c r="AL24" s="9">
        <v>7</v>
      </c>
      <c r="AM24" s="9">
        <v>9</v>
      </c>
      <c r="AN24" s="9">
        <v>9</v>
      </c>
      <c r="AO24" s="9">
        <v>9</v>
      </c>
      <c r="AP24" s="9">
        <v>9</v>
      </c>
      <c r="AQ24" s="9">
        <v>9</v>
      </c>
      <c r="AS24" s="61"/>
      <c r="AX24" s="61"/>
      <c r="BO24" s="61"/>
      <c r="BQ24" s="4" t="s">
        <v>178</v>
      </c>
    </row>
    <row r="25" spans="1:69">
      <c r="A25" s="61"/>
      <c r="H25" s="9" t="str">
        <f ca="1"/>
        <v>Special</v>
      </c>
      <c r="J25" s="61"/>
      <c r="L25" s="6">
        <v>23</v>
      </c>
      <c r="M25" s="9">
        <v>100</v>
      </c>
      <c r="N25" s="9">
        <v>100</v>
      </c>
      <c r="O25" s="9">
        <v>100</v>
      </c>
      <c r="P25" s="9">
        <v>100</v>
      </c>
      <c r="R25" s="61"/>
      <c r="T25" s="61"/>
      <c r="U25" s="9" t="str">
        <f ca="1"/>
        <v>Koopa Beach 2</v>
      </c>
      <c r="W25" s="61"/>
      <c r="Y25" s="61"/>
      <c r="Z25" s="9" t="str">
        <f ca="1"/>
        <v>DP2</v>
      </c>
      <c r="AB25" s="61"/>
      <c r="AS25" s="61"/>
      <c r="AX25" s="61"/>
      <c r="BO25" s="61"/>
      <c r="BQ25" s="4" t="s">
        <v>162</v>
      </c>
    </row>
    <row r="26" spans="1:69">
      <c r="A26" s="61"/>
      <c r="H26" s="9" t="str">
        <f ca="1"/>
        <v>Star</v>
      </c>
      <c r="J26" s="61"/>
      <c r="L26" s="6">
        <v>24</v>
      </c>
      <c r="M26" s="9">
        <v>90</v>
      </c>
      <c r="N26" s="9">
        <v>100</v>
      </c>
      <c r="O26" s="9">
        <v>100</v>
      </c>
      <c r="P26" s="9">
        <v>100</v>
      </c>
      <c r="R26" s="61"/>
      <c r="T26" s="61"/>
      <c r="U26" s="9" t="str">
        <f ca="1"/>
        <v>Mario Circuit 2</v>
      </c>
      <c r="W26" s="61"/>
      <c r="Y26" s="61"/>
      <c r="Z26" s="9" t="str">
        <f ca="1"/>
        <v>MC1</v>
      </c>
      <c r="AB26" s="61"/>
      <c r="AS26" s="61"/>
      <c r="AX26" s="61"/>
      <c r="BO26" s="61"/>
      <c r="BQ26" s="4" t="s">
        <v>170</v>
      </c>
    </row>
    <row r="27" spans="1:69">
      <c r="A27" s="61"/>
      <c r="J27" s="61"/>
      <c r="R27" s="61"/>
      <c r="T27" s="61"/>
      <c r="U27" s="9" t="str">
        <f ca="1"/>
        <v>Bowser Castle 2</v>
      </c>
      <c r="W27" s="61"/>
      <c r="Y27" s="61"/>
      <c r="Z27" s="9" t="str">
        <f ca="1"/>
        <v>RR</v>
      </c>
      <c r="AB27" s="61"/>
      <c r="AS27" s="61"/>
      <c r="AX27" s="61"/>
      <c r="BO27" s="61"/>
      <c r="BQ27" s="4" t="s">
        <v>174</v>
      </c>
    </row>
    <row r="28" spans="1:69">
      <c r="A28" s="61"/>
      <c r="J28" s="61"/>
      <c r="R28" s="61"/>
      <c r="T28" s="61"/>
      <c r="U28" s="9" t="str">
        <f ca="1"/>
        <v>Donut Plains 1</v>
      </c>
      <c r="W28" s="61"/>
      <c r="Y28" s="61"/>
      <c r="Z28" s="9" t="str">
        <f ca="1"/>
        <v>MC2</v>
      </c>
      <c r="AB28" s="61"/>
      <c r="AS28" s="61"/>
      <c r="AX28" s="61"/>
      <c r="BO28" s="61"/>
      <c r="BQ28" s="4" t="s">
        <v>178</v>
      </c>
    </row>
    <row r="29" spans="1:69">
      <c r="A29" s="61"/>
      <c r="J29" s="61"/>
      <c r="R29" s="61"/>
      <c r="T29" s="61"/>
      <c r="U29" s="9" t="str">
        <f ca="1"/>
        <v>Bowser Castle 1</v>
      </c>
      <c r="W29" s="61"/>
      <c r="Y29" s="61"/>
      <c r="Z29" s="9" t="str">
        <f ca="1"/>
        <v>MC4</v>
      </c>
      <c r="AB29" s="61"/>
      <c r="AS29" s="61"/>
      <c r="AX29" s="61"/>
      <c r="BO29" s="61"/>
      <c r="BQ29" s="4" t="s">
        <v>162</v>
      </c>
    </row>
    <row r="30" spans="1:69">
      <c r="A30" s="61"/>
      <c r="J30" s="61"/>
      <c r="R30" s="61"/>
      <c r="T30" s="61"/>
      <c r="U30" s="9" t="str">
        <f ca="1"/>
        <v>Ghost Valley 3</v>
      </c>
      <c r="W30" s="61"/>
      <c r="Y30" s="61"/>
      <c r="Z30" s="9" t="str">
        <f ca="1"/>
        <v>MC3</v>
      </c>
      <c r="AB30" s="61"/>
      <c r="AS30" s="61"/>
      <c r="AX30" s="61"/>
      <c r="BO30" s="61"/>
      <c r="BQ30" s="4" t="s">
        <v>170</v>
      </c>
    </row>
    <row r="31" spans="1:69">
      <c r="A31" s="61"/>
      <c r="J31" s="61"/>
      <c r="R31" s="61"/>
      <c r="T31" s="61"/>
      <c r="U31" s="9" t="str">
        <f ca="1"/>
        <v>Ghost Valley 1</v>
      </c>
      <c r="W31" s="61"/>
      <c r="Y31" s="61"/>
      <c r="Z31" s="9" t="str">
        <f ca="1"/>
        <v>VL1</v>
      </c>
      <c r="AB31" s="61"/>
      <c r="AS31" s="61"/>
      <c r="AX31" s="61"/>
      <c r="BO31" s="61"/>
      <c r="BQ31" s="4" t="s">
        <v>174</v>
      </c>
    </row>
    <row r="32" spans="1:69">
      <c r="A32" s="61"/>
      <c r="J32" s="61"/>
      <c r="R32" s="61"/>
      <c r="T32" s="61"/>
      <c r="U32" s="9" t="str">
        <f ca="1"/>
        <v>Mario Circuit 3</v>
      </c>
      <c r="W32" s="61"/>
      <c r="Y32" s="61"/>
      <c r="Z32" s="9" t="str">
        <f ca="1"/>
        <v>CI2</v>
      </c>
      <c r="AB32" s="61"/>
      <c r="AS32" s="61"/>
      <c r="AX32" s="61"/>
      <c r="BO32" s="61"/>
      <c r="BQ32" s="4" t="s">
        <v>178</v>
      </c>
    </row>
    <row r="33" spans="1:69">
      <c r="A33" s="61"/>
      <c r="J33" s="61"/>
      <c r="R33" s="61"/>
      <c r="T33" s="61"/>
      <c r="U33" s="9" t="str">
        <f ca="1"/>
        <v>Choco Island 2</v>
      </c>
      <c r="W33" s="61"/>
      <c r="Y33" s="61"/>
      <c r="Z33" s="9" t="str">
        <f ca="1"/>
        <v>KB1</v>
      </c>
      <c r="AB33" s="61"/>
      <c r="AS33" s="61"/>
      <c r="AX33" s="61"/>
      <c r="BO33" s="61"/>
      <c r="BQ33" s="4" t="s">
        <v>162</v>
      </c>
    </row>
    <row r="34" spans="1:69">
      <c r="A34" s="61"/>
      <c r="J34" s="61"/>
      <c r="R34" s="61"/>
      <c r="T34" s="61"/>
      <c r="U34" s="9" t="str">
        <f ca="1"/>
        <v>Vanilla Lake 1</v>
      </c>
      <c r="W34" s="61"/>
      <c r="Y34" s="61"/>
      <c r="Z34" s="9" t="str">
        <f ca="1"/>
        <v>GV1</v>
      </c>
      <c r="AB34" s="61"/>
      <c r="AS34" s="61"/>
      <c r="AX34" s="61"/>
      <c r="BO34" s="61"/>
      <c r="BQ34" s="4" t="s">
        <v>170</v>
      </c>
    </row>
    <row r="35" spans="1:69">
      <c r="A35" s="61"/>
      <c r="J35" s="61"/>
      <c r="R35" s="61"/>
      <c r="T35" s="61"/>
      <c r="U35" s="9" t="str">
        <f ca="1"/>
        <v>Choco Island 1</v>
      </c>
      <c r="W35" s="61"/>
      <c r="Y35" s="61"/>
      <c r="Z35" s="9" t="str">
        <f ca="1"/>
        <v>GV3</v>
      </c>
      <c r="AB35" s="61"/>
      <c r="AS35" s="61"/>
      <c r="AX35" s="61"/>
      <c r="BO35" s="61"/>
      <c r="BQ35" s="4" t="s">
        <v>174</v>
      </c>
    </row>
    <row r="36" spans="1:69">
      <c r="A36" s="61"/>
      <c r="J36" s="61"/>
      <c r="R36" s="61"/>
      <c r="T36" s="61"/>
      <c r="U36" s="9" t="str">
        <f ca="1"/>
        <v>Mario Circuit 1</v>
      </c>
      <c r="W36" s="61"/>
      <c r="Y36" s="61"/>
      <c r="Z36" s="9" t="str">
        <f ca="1"/>
        <v>DP1</v>
      </c>
      <c r="AB36" s="61"/>
      <c r="AS36" s="61"/>
      <c r="AX36" s="61"/>
      <c r="BO36" s="61"/>
      <c r="BQ36" s="4" t="s">
        <v>178</v>
      </c>
    </row>
    <row r="37" spans="1:69">
      <c r="A37" s="61"/>
      <c r="J37" s="61"/>
      <c r="R37" s="61"/>
      <c r="T37" s="61"/>
      <c r="U37" s="9" t="str">
        <f ca="1"/>
        <v>Bowser Castle 3</v>
      </c>
      <c r="W37" s="61"/>
      <c r="Y37" s="61"/>
      <c r="Z37" s="9" t="str">
        <f ca="1"/>
        <v>KB2</v>
      </c>
      <c r="AB37" s="61"/>
      <c r="AS37" s="61"/>
      <c r="AX37" s="61"/>
      <c r="BO37" s="61"/>
    </row>
    <row r="38" spans="1:69">
      <c r="A38" s="61"/>
      <c r="J38" s="61"/>
      <c r="R38" s="61"/>
      <c r="T38" s="61"/>
      <c r="U38" s="9" t="str">
        <f ca="1"/>
        <v>Koopa Beach 1</v>
      </c>
      <c r="W38" s="61"/>
      <c r="Y38" s="61"/>
      <c r="Z38" s="9" t="str">
        <f ca="1"/>
        <v>BC2</v>
      </c>
      <c r="AB38" s="61"/>
      <c r="AS38" s="61"/>
      <c r="AX38" s="61"/>
      <c r="BO38" s="61"/>
    </row>
    <row r="39" spans="1:69">
      <c r="A39" s="61"/>
      <c r="J39" s="61"/>
      <c r="R39" s="61"/>
      <c r="T39" s="61"/>
      <c r="U39" s="9" t="str">
        <f ca="1"/>
        <v>Donut Plains 3</v>
      </c>
      <c r="W39" s="61"/>
      <c r="Y39" s="61"/>
      <c r="Z39" s="9" t="str">
        <f ca="1"/>
        <v>DP3</v>
      </c>
      <c r="AB39" s="61"/>
      <c r="AS39" s="61"/>
      <c r="AX39" s="61"/>
      <c r="BO39" s="61"/>
    </row>
    <row r="40" spans="1:69">
      <c r="A40" s="61"/>
      <c r="J40" s="61"/>
      <c r="R40" s="61"/>
      <c r="T40" s="61"/>
      <c r="U40" s="9" t="str">
        <f ca="1"/>
        <v>Mario Circuit 4</v>
      </c>
      <c r="W40" s="61"/>
      <c r="Y40" s="61"/>
      <c r="Z40" s="9" t="str">
        <f ca="1"/>
        <v>GV2</v>
      </c>
      <c r="AB40" s="61"/>
      <c r="AS40" s="61"/>
      <c r="AX40" s="61"/>
      <c r="BO40" s="61"/>
    </row>
    <row r="41" spans="1:69">
      <c r="A41" s="62"/>
      <c r="J41" s="62"/>
      <c r="R41" s="62"/>
      <c r="T41" s="62"/>
      <c r="U41" s="9" t="str">
        <f ca="1"/>
        <v>Donut Plains 2</v>
      </c>
      <c r="W41" s="62"/>
      <c r="Y41" s="62"/>
      <c r="Z41" s="9" t="str">
        <f ca="1"/>
        <v>VL2</v>
      </c>
      <c r="AB41" s="62"/>
      <c r="AS41" s="62"/>
      <c r="AX41" s="62"/>
      <c r="BO41" s="62"/>
    </row>
    <row r="42" spans="1:69" ht="12.75" customHeight="1">
      <c r="Y42" s="60" t="s">
        <v>217</v>
      </c>
      <c r="Z42" s="9" t="str">
        <f ca="1"/>
        <v>DP3</v>
      </c>
    </row>
    <row r="43" spans="1:69">
      <c r="Y43" s="61"/>
      <c r="Z43" s="9" t="str">
        <f ca="1"/>
        <v>GV1</v>
      </c>
    </row>
    <row r="44" spans="1:69">
      <c r="Y44" s="61"/>
      <c r="Z44" s="9" t="str">
        <f ca="1"/>
        <v>VL1</v>
      </c>
    </row>
    <row r="45" spans="1:69">
      <c r="Y45" s="61"/>
      <c r="Z45" s="9" t="str">
        <f ca="1"/>
        <v>RR</v>
      </c>
    </row>
    <row r="46" spans="1:69">
      <c r="Y46" s="61"/>
      <c r="Z46" s="9" t="str">
        <f ca="1"/>
        <v>GV2</v>
      </c>
    </row>
    <row r="47" spans="1:69">
      <c r="Y47" s="61"/>
      <c r="Z47" s="9" t="str">
        <f ca="1"/>
        <v>KB1</v>
      </c>
    </row>
    <row r="48" spans="1:69">
      <c r="Y48" s="61"/>
      <c r="Z48" s="9" t="str">
        <f ca="1"/>
        <v>MC4</v>
      </c>
    </row>
    <row r="49" spans="25:26">
      <c r="Y49" s="61"/>
      <c r="Z49" s="9" t="str">
        <f ca="1"/>
        <v>GV3</v>
      </c>
    </row>
    <row r="50" spans="25:26">
      <c r="Y50" s="61"/>
      <c r="Z50" s="9" t="str">
        <f ca="1"/>
        <v>CI2</v>
      </c>
    </row>
    <row r="51" spans="25:26">
      <c r="Y51" s="61"/>
      <c r="Z51" s="9" t="str">
        <f ca="1"/>
        <v>CI1</v>
      </c>
    </row>
    <row r="52" spans="25:26">
      <c r="Y52" s="61"/>
      <c r="Z52" s="9" t="str">
        <f ca="1"/>
        <v>BC3</v>
      </c>
    </row>
    <row r="53" spans="25:26">
      <c r="Y53" s="61"/>
      <c r="Z53" s="9" t="str">
        <f ca="1"/>
        <v>MC3</v>
      </c>
    </row>
    <row r="54" spans="25:26">
      <c r="Y54" s="61"/>
      <c r="Z54" s="9" t="str">
        <f ca="1"/>
        <v>DP1</v>
      </c>
    </row>
    <row r="55" spans="25:26">
      <c r="Y55" s="61"/>
      <c r="Z55" s="9" t="str">
        <f ca="1"/>
        <v>VL2</v>
      </c>
    </row>
    <row r="56" spans="25:26">
      <c r="Y56" s="61"/>
      <c r="Z56" s="9" t="str">
        <f ca="1"/>
        <v>BC1</v>
      </c>
    </row>
    <row r="57" spans="25:26">
      <c r="Y57" s="61"/>
      <c r="Z57" s="9" t="str">
        <f ca="1"/>
        <v>DP2</v>
      </c>
    </row>
    <row r="58" spans="25:26">
      <c r="Y58" s="61"/>
      <c r="Z58" s="9" t="str">
        <f ca="1"/>
        <v>MC2</v>
      </c>
    </row>
    <row r="59" spans="25:26">
      <c r="Y59" s="61"/>
      <c r="Z59" s="9" t="str">
        <f ca="1"/>
        <v>BC2</v>
      </c>
    </row>
    <row r="60" spans="25:26">
      <c r="Y60" s="61"/>
      <c r="Z60" s="9" t="str">
        <f ca="1"/>
        <v>MC1</v>
      </c>
    </row>
    <row r="61" spans="25:26">
      <c r="Y61" s="62"/>
      <c r="Z61" s="9" t="str">
        <f ca="1"/>
        <v>KB2</v>
      </c>
    </row>
    <row r="62" spans="25:26" ht="12.75" customHeight="1">
      <c r="Y62" s="60" t="s">
        <v>218</v>
      </c>
      <c r="Z62" s="9" t="str">
        <f ca="1"/>
        <v>CI1</v>
      </c>
    </row>
    <row r="63" spans="25:26">
      <c r="Y63" s="61"/>
      <c r="Z63" s="9" t="str">
        <f ca="1"/>
        <v>MC3</v>
      </c>
    </row>
    <row r="64" spans="25:26">
      <c r="Y64" s="61"/>
      <c r="Z64" s="9" t="str">
        <f ca="1"/>
        <v>RR</v>
      </c>
    </row>
    <row r="65" spans="25:26">
      <c r="Y65" s="61"/>
      <c r="Z65" s="9" t="str">
        <f ca="1"/>
        <v>DP3</v>
      </c>
    </row>
    <row r="66" spans="25:26">
      <c r="Y66" s="61"/>
      <c r="Z66" s="9" t="str">
        <f ca="1"/>
        <v>BC3</v>
      </c>
    </row>
    <row r="67" spans="25:26">
      <c r="Y67" s="61"/>
      <c r="Z67" s="9" t="str">
        <f ca="1"/>
        <v>GV3</v>
      </c>
    </row>
    <row r="68" spans="25:26">
      <c r="Y68" s="61"/>
      <c r="Z68" s="9" t="str">
        <f ca="1"/>
        <v>VL1</v>
      </c>
    </row>
    <row r="69" spans="25:26">
      <c r="Y69" s="61"/>
      <c r="Z69" s="9" t="str">
        <f ca="1"/>
        <v>MC1</v>
      </c>
    </row>
    <row r="70" spans="25:26">
      <c r="Y70" s="61"/>
      <c r="Z70" s="9" t="str">
        <f ca="1"/>
        <v>BC2</v>
      </c>
    </row>
    <row r="71" spans="25:26">
      <c r="Y71" s="61"/>
      <c r="Z71" s="9" t="str">
        <f ca="1"/>
        <v>KB2</v>
      </c>
    </row>
    <row r="72" spans="25:26">
      <c r="Y72" s="61"/>
      <c r="Z72" s="9" t="str">
        <f ca="1"/>
        <v>GV2</v>
      </c>
    </row>
    <row r="73" spans="25:26">
      <c r="Y73" s="61"/>
      <c r="Z73" s="9" t="str">
        <f ca="1"/>
        <v>CI2</v>
      </c>
    </row>
    <row r="74" spans="25:26">
      <c r="Y74" s="61"/>
      <c r="Z74" s="9" t="str">
        <f ca="1"/>
        <v>KB1</v>
      </c>
    </row>
    <row r="75" spans="25:26">
      <c r="Y75" s="61"/>
      <c r="Z75" s="9" t="str">
        <f ca="1"/>
        <v>VL2</v>
      </c>
    </row>
    <row r="76" spans="25:26">
      <c r="Y76" s="61"/>
      <c r="Z76" s="9" t="str">
        <f ca="1"/>
        <v>MC2</v>
      </c>
    </row>
    <row r="77" spans="25:26">
      <c r="Y77" s="61"/>
      <c r="Z77" s="9" t="str">
        <f ca="1"/>
        <v>MC4</v>
      </c>
    </row>
    <row r="78" spans="25:26">
      <c r="Y78" s="61"/>
      <c r="Z78" s="9" t="str">
        <f ca="1"/>
        <v>BC1</v>
      </c>
    </row>
    <row r="79" spans="25:26">
      <c r="Y79" s="61"/>
      <c r="Z79" s="9" t="str">
        <f ca="1"/>
        <v>DP2</v>
      </c>
    </row>
    <row r="80" spans="25:26">
      <c r="Y80" s="61"/>
      <c r="Z80" s="9" t="str">
        <f ca="1"/>
        <v>DP1</v>
      </c>
    </row>
    <row r="81" spans="25:26">
      <c r="Y81" s="62"/>
      <c r="Z81" s="9" t="str">
        <f ca="1"/>
        <v>GV1</v>
      </c>
    </row>
  </sheetData>
  <mergeCells count="16">
    <mergeCell ref="BO1:BO41"/>
    <mergeCell ref="Y42:Y61"/>
    <mergeCell ref="Y62:Y81"/>
    <mergeCell ref="A1:A41"/>
    <mergeCell ref="AX1:AX41"/>
    <mergeCell ref="J1:J41"/>
    <mergeCell ref="R1:R41"/>
    <mergeCell ref="W1:W41"/>
    <mergeCell ref="L1:P1"/>
    <mergeCell ref="AB1:AB41"/>
    <mergeCell ref="AS1:AS41"/>
    <mergeCell ref="T2:T21"/>
    <mergeCell ref="T22:T41"/>
    <mergeCell ref="Y2:Y21"/>
    <mergeCell ref="Y22:Y41"/>
    <mergeCell ref="AU2:AU21"/>
  </mergeCells>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91691-3A9A-4B42-9A45-BA6C87066A81}">
  <sheetPr codeName="Sheet2">
    <tabColor rgb="FFFFFF00"/>
  </sheetPr>
  <dimension ref="A1:CR48"/>
  <sheetViews>
    <sheetView zoomScaleNormal="100" workbookViewId="0">
      <selection activeCell="CH1" sqref="CH1"/>
    </sheetView>
  </sheetViews>
  <sheetFormatPr defaultColWidth="9.140625" defaultRowHeight="12.75"/>
  <cols>
    <col min="1" max="1" width="3.28515625" style="1" bestFit="1" customWidth="1"/>
    <col min="2" max="2" width="11.42578125" style="1" bestFit="1" customWidth="1"/>
    <col min="3" max="3" width="8.28515625" style="1" bestFit="1" customWidth="1"/>
    <col min="4" max="4" width="5.7109375" style="1" customWidth="1"/>
    <col min="5" max="5" width="3.28515625" style="1" bestFit="1" customWidth="1"/>
    <col min="6" max="6" width="11.42578125" style="1" bestFit="1" customWidth="1"/>
    <col min="7" max="26" width="6.7109375" style="10" bestFit="1" customWidth="1"/>
    <col min="27" max="46" width="8" style="7" hidden="1" customWidth="1"/>
    <col min="47" max="47" width="5" style="1" hidden="1" customWidth="1"/>
    <col min="48" max="49" width="4.7109375" style="1" hidden="1" customWidth="1"/>
    <col min="50" max="50" width="4.5703125" style="1" hidden="1" customWidth="1"/>
    <col min="51" max="51" width="5" style="1" hidden="1" customWidth="1"/>
    <col min="52" max="52" width="4.140625" style="1" hidden="1" customWidth="1"/>
    <col min="53" max="54" width="4.7109375" style="1" hidden="1" customWidth="1"/>
    <col min="55" max="55" width="4.5703125" style="1" hidden="1" customWidth="1"/>
    <col min="56" max="56" width="5" style="1" hidden="1" customWidth="1"/>
    <col min="57" max="57" width="4.5703125" style="1" hidden="1" customWidth="1"/>
    <col min="58" max="58" width="4.140625" style="1" hidden="1" customWidth="1"/>
    <col min="59" max="59" width="4.28515625" style="1" hidden="1" customWidth="1"/>
    <col min="60" max="60" width="4.5703125" style="1" hidden="1" customWidth="1"/>
    <col min="61" max="61" width="5" style="1" hidden="1" customWidth="1"/>
    <col min="62" max="62" width="4.7109375" style="1" hidden="1" customWidth="1"/>
    <col min="63" max="63" width="4.5703125" style="1" hidden="1" customWidth="1"/>
    <col min="64" max="64" width="4.7109375" style="1" hidden="1" customWidth="1"/>
    <col min="65" max="65" width="4.28515625" style="1" hidden="1" customWidth="1"/>
    <col min="66" max="66" width="3.5703125" style="1" hidden="1" customWidth="1"/>
    <col min="67" max="67" width="5" style="1" hidden="1" customWidth="1"/>
    <col min="68" max="69" width="4.7109375" style="1" hidden="1" customWidth="1"/>
    <col min="70" max="70" width="4.5703125" style="1" hidden="1" customWidth="1"/>
    <col min="71" max="71" width="5" style="1" hidden="1" customWidth="1"/>
    <col min="72" max="72" width="4.140625" style="1" hidden="1" customWidth="1"/>
    <col min="73" max="74" width="4.7109375" style="1" hidden="1" customWidth="1"/>
    <col min="75" max="75" width="4.5703125" style="1" hidden="1" customWidth="1"/>
    <col min="76" max="76" width="5" style="1" hidden="1" customWidth="1"/>
    <col min="77" max="77" width="4.5703125" style="1" hidden="1" customWidth="1"/>
    <col min="78" max="78" width="4.140625" style="1" hidden="1" customWidth="1"/>
    <col min="79" max="79" width="4.28515625" style="1" hidden="1" customWidth="1"/>
    <col min="80" max="80" width="4.5703125" style="1" hidden="1" customWidth="1"/>
    <col min="81" max="81" width="5" style="1" hidden="1" customWidth="1"/>
    <col min="82" max="82" width="4.7109375" style="1" hidden="1" customWidth="1"/>
    <col min="83" max="83" width="4.5703125" style="1" hidden="1" customWidth="1"/>
    <col min="84" max="84" width="4.7109375" style="1" hidden="1" customWidth="1"/>
    <col min="85" max="85" width="4.28515625" style="1" hidden="1" customWidth="1"/>
    <col min="86" max="86" width="3.5703125" style="1" hidden="1" customWidth="1"/>
    <col min="87" max="87" width="6" style="11" bestFit="1" customWidth="1"/>
    <col min="88" max="88" width="9.140625" style="12" bestFit="1" customWidth="1"/>
    <col min="89" max="89" width="6.7109375" style="1" hidden="1" customWidth="1"/>
    <col min="90" max="90" width="5.7109375" style="1" customWidth="1"/>
    <col min="91" max="91" width="3.28515625" style="1" bestFit="1" customWidth="1"/>
    <col min="92" max="92" width="11.42578125" style="1" bestFit="1" customWidth="1"/>
    <col min="93" max="93" width="5.28515625" style="16" customWidth="1"/>
    <col min="94" max="94" width="6.28515625" style="1" bestFit="1" customWidth="1"/>
    <col min="95" max="95" width="10.7109375" style="12" bestFit="1" customWidth="1"/>
    <col min="96" max="96" width="6.7109375" style="11" bestFit="1" customWidth="1"/>
    <col min="97" max="16384" width="9.140625" style="1"/>
  </cols>
  <sheetData>
    <row r="1" spans="1:96">
      <c r="A1" s="43" t="s">
        <v>0</v>
      </c>
      <c r="B1" s="43" t="s">
        <v>1</v>
      </c>
      <c r="C1" s="43" t="s">
        <v>219</v>
      </c>
      <c r="E1" s="43" t="s">
        <v>0</v>
      </c>
      <c r="F1" s="43" t="s">
        <v>1</v>
      </c>
      <c r="G1" s="43" t="s">
        <v>164</v>
      </c>
      <c r="H1" s="43" t="s">
        <v>172</v>
      </c>
      <c r="I1" s="43" t="s">
        <v>176</v>
      </c>
      <c r="J1" s="43" t="s">
        <v>180</v>
      </c>
      <c r="K1" s="43" t="s">
        <v>183</v>
      </c>
      <c r="L1" s="43" t="s">
        <v>185</v>
      </c>
      <c r="M1" s="43" t="s">
        <v>187</v>
      </c>
      <c r="N1" s="43" t="s">
        <v>189</v>
      </c>
      <c r="O1" s="43" t="s">
        <v>191</v>
      </c>
      <c r="P1" s="43" t="s">
        <v>193</v>
      </c>
      <c r="Q1" s="43" t="s">
        <v>196</v>
      </c>
      <c r="R1" s="43" t="s">
        <v>198</v>
      </c>
      <c r="S1" s="43" t="s">
        <v>200</v>
      </c>
      <c r="T1" s="43" t="s">
        <v>202</v>
      </c>
      <c r="U1" s="43" t="s">
        <v>204</v>
      </c>
      <c r="V1" s="43" t="s">
        <v>206</v>
      </c>
      <c r="W1" s="43" t="s">
        <v>208</v>
      </c>
      <c r="X1" s="43" t="s">
        <v>210</v>
      </c>
      <c r="Y1" s="43" t="s">
        <v>212</v>
      </c>
      <c r="Z1" s="43" t="s">
        <v>214</v>
      </c>
      <c r="AA1" s="43" t="s">
        <v>164</v>
      </c>
      <c r="AB1" s="43" t="s">
        <v>172</v>
      </c>
      <c r="AC1" s="43" t="s">
        <v>176</v>
      </c>
      <c r="AD1" s="43" t="s">
        <v>180</v>
      </c>
      <c r="AE1" s="43" t="s">
        <v>183</v>
      </c>
      <c r="AF1" s="43" t="s">
        <v>185</v>
      </c>
      <c r="AG1" s="43" t="s">
        <v>187</v>
      </c>
      <c r="AH1" s="43" t="s">
        <v>189</v>
      </c>
      <c r="AI1" s="43" t="s">
        <v>191</v>
      </c>
      <c r="AJ1" s="43" t="s">
        <v>193</v>
      </c>
      <c r="AK1" s="43" t="s">
        <v>196</v>
      </c>
      <c r="AL1" s="43" t="s">
        <v>198</v>
      </c>
      <c r="AM1" s="43" t="s">
        <v>200</v>
      </c>
      <c r="AN1" s="43" t="s">
        <v>202</v>
      </c>
      <c r="AO1" s="43" t="s">
        <v>204</v>
      </c>
      <c r="AP1" s="43" t="s">
        <v>206</v>
      </c>
      <c r="AQ1" s="43" t="s">
        <v>208</v>
      </c>
      <c r="AR1" s="43" t="s">
        <v>210</v>
      </c>
      <c r="AS1" s="43" t="s">
        <v>212</v>
      </c>
      <c r="AT1" s="43" t="s">
        <v>214</v>
      </c>
      <c r="AU1" s="43" t="s">
        <v>164</v>
      </c>
      <c r="AV1" s="43" t="s">
        <v>172</v>
      </c>
      <c r="AW1" s="43" t="s">
        <v>176</v>
      </c>
      <c r="AX1" s="43" t="s">
        <v>180</v>
      </c>
      <c r="AY1" s="43" t="s">
        <v>183</v>
      </c>
      <c r="AZ1" s="43" t="s">
        <v>185</v>
      </c>
      <c r="BA1" s="43" t="s">
        <v>187</v>
      </c>
      <c r="BB1" s="43" t="s">
        <v>189</v>
      </c>
      <c r="BC1" s="43" t="s">
        <v>191</v>
      </c>
      <c r="BD1" s="43" t="s">
        <v>193</v>
      </c>
      <c r="BE1" s="43" t="s">
        <v>196</v>
      </c>
      <c r="BF1" s="43" t="s">
        <v>198</v>
      </c>
      <c r="BG1" s="43" t="s">
        <v>200</v>
      </c>
      <c r="BH1" s="43" t="s">
        <v>202</v>
      </c>
      <c r="BI1" s="43" t="s">
        <v>204</v>
      </c>
      <c r="BJ1" s="43" t="s">
        <v>206</v>
      </c>
      <c r="BK1" s="43" t="s">
        <v>208</v>
      </c>
      <c r="BL1" s="43" t="s">
        <v>210</v>
      </c>
      <c r="BM1" s="43" t="s">
        <v>212</v>
      </c>
      <c r="BN1" s="43" t="s">
        <v>214</v>
      </c>
      <c r="BO1" s="43" t="s">
        <v>164</v>
      </c>
      <c r="BP1" s="43" t="s">
        <v>172</v>
      </c>
      <c r="BQ1" s="43" t="s">
        <v>176</v>
      </c>
      <c r="BR1" s="43" t="s">
        <v>180</v>
      </c>
      <c r="BS1" s="43" t="s">
        <v>183</v>
      </c>
      <c r="BT1" s="43" t="s">
        <v>185</v>
      </c>
      <c r="BU1" s="43" t="s">
        <v>187</v>
      </c>
      <c r="BV1" s="43" t="s">
        <v>189</v>
      </c>
      <c r="BW1" s="43" t="s">
        <v>191</v>
      </c>
      <c r="BX1" s="43" t="s">
        <v>193</v>
      </c>
      <c r="BY1" s="43" t="s">
        <v>196</v>
      </c>
      <c r="BZ1" s="43" t="s">
        <v>198</v>
      </c>
      <c r="CA1" s="43" t="s">
        <v>200</v>
      </c>
      <c r="CB1" s="43" t="s">
        <v>202</v>
      </c>
      <c r="CC1" s="43" t="s">
        <v>204</v>
      </c>
      <c r="CD1" s="43" t="s">
        <v>206</v>
      </c>
      <c r="CE1" s="43" t="s">
        <v>208</v>
      </c>
      <c r="CF1" s="43" t="s">
        <v>210</v>
      </c>
      <c r="CG1" s="43" t="s">
        <v>212</v>
      </c>
      <c r="CH1" s="43" t="s">
        <v>214</v>
      </c>
      <c r="CI1" s="43" t="s">
        <v>220</v>
      </c>
      <c r="CJ1" s="43" t="s">
        <v>221</v>
      </c>
      <c r="CK1" s="42" t="s">
        <v>222</v>
      </c>
      <c r="CM1" s="43" t="s">
        <v>0</v>
      </c>
      <c r="CN1" s="43" t="s">
        <v>1</v>
      </c>
      <c r="CO1" s="49"/>
      <c r="CP1" s="43" t="s">
        <v>222</v>
      </c>
      <c r="CQ1" s="56" t="s">
        <v>223</v>
      </c>
      <c r="CR1" s="43" t="s">
        <v>224</v>
      </c>
    </row>
    <row r="2" spans="1:96">
      <c r="A2" s="44" cm="1">
        <f t="array" ref="A2:A48">_xlfn.SEQUENCE(ROWS(_xlfn.ANCHORARRAY(B2)))</f>
        <v>1</v>
      </c>
      <c r="B2" s="44" t="str" cm="1">
        <f t="array" ref="B2:B48">_xlfn._xlws.FILTER(Registration[Nickname],Registration[TT]="Yes")</f>
        <v>Ale</v>
      </c>
      <c r="C2" s="44" cm="1">
        <f t="array" ref="C2:C48">_xlfn.XLOOKUP(_xlfn.ANCHORARRAY(B2),Registration[Nickname],Registration[TT Order])</f>
        <v>38</v>
      </c>
      <c r="E2" s="44" cm="1">
        <f t="array" ref="E2:E48">_xlfn.SEQUENCE(ROWS(_xlfn.ANCHORARRAY(F2)))</f>
        <v>1</v>
      </c>
      <c r="F2" s="44" t="str" cm="1">
        <f t="array" ref="F2:F48">_xlfn._xlws.SORT(_xlfn.ANCHORARRAY(B2))</f>
        <v>Ale</v>
      </c>
      <c r="G2" s="45">
        <v>11034</v>
      </c>
      <c r="H2" s="45">
        <v>13948</v>
      </c>
      <c r="I2" s="45">
        <v>12636</v>
      </c>
      <c r="J2" s="45">
        <v>20011</v>
      </c>
      <c r="K2" s="45">
        <v>13492</v>
      </c>
      <c r="L2" s="45">
        <v>11522</v>
      </c>
      <c r="M2" s="45">
        <v>13070</v>
      </c>
      <c r="N2" s="45">
        <v>20656</v>
      </c>
      <c r="O2" s="45">
        <v>21671</v>
      </c>
      <c r="P2" s="45">
        <v>20206</v>
      </c>
      <c r="Q2" s="45">
        <v>12696</v>
      </c>
      <c r="R2" s="45">
        <v>13983</v>
      </c>
      <c r="S2" s="45">
        <v>12435</v>
      </c>
      <c r="T2" s="45">
        <v>20944</v>
      </c>
      <c r="U2" s="45">
        <v>22373</v>
      </c>
      <c r="V2" s="45">
        <v>20781</v>
      </c>
      <c r="W2" s="45">
        <v>12702</v>
      </c>
      <c r="X2" s="45">
        <v>15615</v>
      </c>
      <c r="Y2" s="45">
        <v>12783</v>
      </c>
      <c r="Z2" s="45">
        <v>21965</v>
      </c>
      <c r="AA2" s="46" cm="1">
        <f t="array" aca="1" ref="AA2:AA48" ca="1">(INT(OFFSET(_xlfn.ANCHORARRAY(F2),0,1)/10000)*6000+_xlfn.NUMBERVALUE(RIGHT(OFFSET(_xlfn.ANCHORARRAY(F2),0,1),4)))/8640000</f>
        <v>8.1412037037037032E-4</v>
      </c>
      <c r="AB2" s="46" cm="1">
        <f t="array" aca="1" ref="AB2:AB48" ca="1">(INT(OFFSET(_xlfn.ANCHORARRAY(AA2),0,-19)/10000)*6000+_xlfn.NUMBERVALUE(RIGHT(OFFSET(_xlfn.ANCHORARRAY(AA2),0,-19),4)))/8640000</f>
        <v>1.1513888888888889E-3</v>
      </c>
      <c r="AC2" s="46" cm="1">
        <f t="array" aca="1" ref="AC2:AC48" ca="1">(INT(OFFSET(_xlfn.ANCHORARRAY(AB2),0,-19)/10000)*6000+_xlfn.NUMBERVALUE(RIGHT(OFFSET(_xlfn.ANCHORARRAY(AB2),0,-19),4)))/8640000</f>
        <v>9.9953703703703706E-4</v>
      </c>
      <c r="AD2" s="46" cm="1">
        <f t="array" aca="1" ref="AD2:AD48" ca="1">(INT(OFFSET(_xlfn.ANCHORARRAY(AC2),0,-19)/10000)*6000+_xlfn.NUMBERVALUE(RIGHT(OFFSET(_xlfn.ANCHORARRAY(AC2),0,-19),4)))/8640000</f>
        <v>1.390162037037037E-3</v>
      </c>
      <c r="AE2" s="46" cm="1">
        <f t="array" aca="1" ref="AE2:AE48" ca="1">(INT(OFFSET(_xlfn.ANCHORARRAY(AD2),0,-19)/10000)*6000+_xlfn.NUMBERVALUE(RIGHT(OFFSET(_xlfn.ANCHORARRAY(AD2),0,-19),4)))/8640000</f>
        <v>1.0986111111111112E-3</v>
      </c>
      <c r="AF2" s="46" cm="1">
        <f t="array" aca="1" ref="AF2:AF48" ca="1">(INT(OFFSET(_xlfn.ANCHORARRAY(AE2),0,-19)/10000)*6000+_xlfn.NUMBERVALUE(RIGHT(OFFSET(_xlfn.ANCHORARRAY(AE2),0,-19),4)))/8640000</f>
        <v>8.706018518518519E-4</v>
      </c>
      <c r="AG2" s="46" cm="1">
        <f t="array" aca="1" ref="AG2:AG48" ca="1">(INT(OFFSET(_xlfn.ANCHORARRAY(AF2),0,-19)/10000)*6000+_xlfn.NUMBERVALUE(RIGHT(OFFSET(_xlfn.ANCHORARRAY(AF2),0,-19),4)))/8640000</f>
        <v>1.0497685185185185E-3</v>
      </c>
      <c r="AH2" s="46" cm="1">
        <f t="array" aca="1" ref="AH2:AH48" ca="1">(INT(OFFSET(_xlfn.ANCHORARRAY(AG2),0,-19)/10000)*6000+_xlfn.NUMBERVALUE(RIGHT(OFFSET(_xlfn.ANCHORARRAY(AG2),0,-19),4)))/8640000</f>
        <v>1.4648148148148148E-3</v>
      </c>
      <c r="AI2" s="46" cm="1">
        <f t="array" aca="1" ref="AI2:AI48" ca="1">(INT(OFFSET(_xlfn.ANCHORARRAY(AH2),0,-19)/10000)*6000+_xlfn.NUMBERVALUE(RIGHT(OFFSET(_xlfn.ANCHORARRAY(AH2),0,-19),4)))/8640000</f>
        <v>1.5822916666666667E-3</v>
      </c>
      <c r="AJ2" s="46" cm="1">
        <f t="array" aca="1" ref="AJ2:AJ48" ca="1">(INT(OFFSET(_xlfn.ANCHORARRAY(AI2),0,-19)/10000)*6000+_xlfn.NUMBERVALUE(RIGHT(OFFSET(_xlfn.ANCHORARRAY(AI2),0,-19),4)))/8640000</f>
        <v>1.4127314814814814E-3</v>
      </c>
      <c r="AK2" s="46" cm="1">
        <f t="array" aca="1" ref="AK2:AK48" ca="1">(INT(OFFSET(_xlfn.ANCHORARRAY(AJ2),0,-19)/10000)*6000+_xlfn.NUMBERVALUE(RIGHT(OFFSET(_xlfn.ANCHORARRAY(AJ2),0,-19),4)))/8640000</f>
        <v>1.0064814814814815E-3</v>
      </c>
      <c r="AL2" s="46" cm="1">
        <f t="array" aca="1" ref="AL2:AL48" ca="1">(INT(OFFSET(_xlfn.ANCHORARRAY(AK2),0,-19)/10000)*6000+_xlfn.NUMBERVALUE(RIGHT(OFFSET(_xlfn.ANCHORARRAY(AK2),0,-19),4)))/8640000</f>
        <v>1.1554398148148149E-3</v>
      </c>
      <c r="AM2" s="46" cm="1">
        <f t="array" aca="1" ref="AM2:AM48" ca="1">(INT(OFFSET(_xlfn.ANCHORARRAY(AL2),0,-19)/10000)*6000+_xlfn.NUMBERVALUE(RIGHT(OFFSET(_xlfn.ANCHORARRAY(AL2),0,-19),4)))/8640000</f>
        <v>9.762731481481481E-4</v>
      </c>
      <c r="AN2" s="46" cm="1">
        <f t="array" aca="1" ref="AN2:AN48" ca="1">(INT(OFFSET(_xlfn.ANCHORARRAY(AM2),0,-19)/10000)*6000+_xlfn.NUMBERVALUE(RIGHT(OFFSET(_xlfn.ANCHORARRAY(AM2),0,-19),4)))/8640000</f>
        <v>1.4981481481481482E-3</v>
      </c>
      <c r="AO2" s="46" cm="1">
        <f t="array" aca="1" ref="AO2:AO48" ca="1">(INT(OFFSET(_xlfn.ANCHORARRAY(AN2),0,-19)/10000)*6000+_xlfn.NUMBERVALUE(RIGHT(OFFSET(_xlfn.ANCHORARRAY(AN2),0,-19),4)))/8640000</f>
        <v>1.6635416666666667E-3</v>
      </c>
      <c r="AP2" s="46" cm="1">
        <f t="array" aca="1" ref="AP2:AP48" ca="1">(INT(OFFSET(_xlfn.ANCHORARRAY(AO2),0,-19)/10000)*6000+_xlfn.NUMBERVALUE(RIGHT(OFFSET(_xlfn.ANCHORARRAY(AO2),0,-19),4)))/8640000</f>
        <v>1.4792824074074075E-3</v>
      </c>
      <c r="AQ2" s="46" cm="1">
        <f t="array" aca="1" ref="AQ2:AQ48" ca="1">(INT(OFFSET(_xlfn.ANCHORARRAY(AP2),0,-19)/10000)*6000+_xlfn.NUMBERVALUE(RIGHT(OFFSET(_xlfn.ANCHORARRAY(AP2),0,-19),4)))/8640000</f>
        <v>1.0071759259259259E-3</v>
      </c>
      <c r="AR2" s="46" cm="1">
        <f t="array" aca="1" ref="AR2:AR48" ca="1">(INT(OFFSET(_xlfn.ANCHORARRAY(AQ2),0,-19)/10000)*6000+_xlfn.NUMBERVALUE(RIGHT(OFFSET(_xlfn.ANCHORARRAY(AQ2),0,-19),4)))/8640000</f>
        <v>1.3443287037037037E-3</v>
      </c>
      <c r="AS2" s="46" cm="1">
        <f t="array" aca="1" ref="AS2:AS48" ca="1">(INT(OFFSET(_xlfn.ANCHORARRAY(AR2),0,-19)/10000)*6000+_xlfn.NUMBERVALUE(RIGHT(OFFSET(_xlfn.ANCHORARRAY(AR2),0,-19),4)))/8640000</f>
        <v>1.016550925925926E-3</v>
      </c>
      <c r="AT2" s="46" cm="1">
        <f t="array" aca="1" ref="AT2:AT48" ca="1">(INT(OFFSET(_xlfn.ANCHORARRAY(AS2),0,-19)/10000)*6000+_xlfn.NUMBERVALUE(RIGHT(OFFSET(_xlfn.ANCHORARRAY(AS2),0,-19),4)))/8640000</f>
        <v>1.6163194444444445E-3</v>
      </c>
      <c r="AU2" s="44" cm="1">
        <f t="array" aca="1" ref="AU2:AU48" ca="1">RANK(_xlfn.ANCHORARRAY(AA2),_xlfn.ANCHORARRAY(AA2),1)</f>
        <v>35</v>
      </c>
      <c r="AV2" s="44" cm="1">
        <f t="array" aca="1" ref="AV2:AV48" ca="1">RANK(_xlfn.ANCHORARRAY(AB2),_xlfn.ANCHORARRAY(AB2),1)</f>
        <v>39</v>
      </c>
      <c r="AW2" s="44" cm="1">
        <f t="array" aca="1" ref="AW2:AW48" ca="1">RANK(_xlfn.ANCHORARRAY(AC2),_xlfn.ANCHORARRAY(AC2),1)</f>
        <v>41</v>
      </c>
      <c r="AX2" s="44" cm="1">
        <f t="array" aca="1" ref="AX2:AX48" ca="1">RANK(_xlfn.ANCHORARRAY(AD2),_xlfn.ANCHORARRAY(AD2),1)</f>
        <v>41</v>
      </c>
      <c r="AY2" s="44" cm="1">
        <f t="array" aca="1" ref="AY2:AY48" ca="1">RANK(_xlfn.ANCHORARRAY(AE2),_xlfn.ANCHORARRAY(AE2),1)</f>
        <v>36</v>
      </c>
      <c r="AZ2" s="44" cm="1">
        <f t="array" aca="1" ref="AZ2:AZ48" ca="1">RANK(_xlfn.ANCHORARRAY(AF2),_xlfn.ANCHORARRAY(AF2),1)</f>
        <v>35</v>
      </c>
      <c r="BA2" s="44" cm="1">
        <f t="array" aca="1" ref="BA2:BA48" ca="1">RANK(_xlfn.ANCHORARRAY(AG2),_xlfn.ANCHORARRAY(AG2),1)</f>
        <v>43</v>
      </c>
      <c r="BB2" s="44" cm="1">
        <f t="array" aca="1" ref="BB2:BB48" ca="1">RANK(_xlfn.ANCHORARRAY(AH2),_xlfn.ANCHORARRAY(AH2),1)</f>
        <v>42</v>
      </c>
      <c r="BC2" s="44" cm="1">
        <f t="array" aca="1" ref="BC2:BC48" ca="1">RANK(_xlfn.ANCHORARRAY(AI2),_xlfn.ANCHORARRAY(AI2),1)</f>
        <v>36</v>
      </c>
      <c r="BD2" s="44" cm="1">
        <f t="array" aca="1" ref="BD2:BD48" ca="1">RANK(_xlfn.ANCHORARRAY(AJ2),_xlfn.ANCHORARRAY(AJ2),1)</f>
        <v>39</v>
      </c>
      <c r="BE2" s="44" cm="1">
        <f t="array" aca="1" ref="BE2:BE48" ca="1">RANK(_xlfn.ANCHORARRAY(AK2),_xlfn.ANCHORARRAY(AK2),1)</f>
        <v>47</v>
      </c>
      <c r="BF2" s="44" cm="1">
        <f t="array" aca="1" ref="BF2:BF48" ca="1">RANK(_xlfn.ANCHORARRAY(AL2),_xlfn.ANCHORARRAY(AL2),1)</f>
        <v>43</v>
      </c>
      <c r="BG2" s="44" cm="1">
        <f t="array" aca="1" ref="BG2:BG48" ca="1">RANK(_xlfn.ANCHORARRAY(AM2),_xlfn.ANCHORARRAY(AM2),1)</f>
        <v>42</v>
      </c>
      <c r="BH2" s="44" cm="1">
        <f t="array" aca="1" ref="BH2:BH48" ca="1">RANK(_xlfn.ANCHORARRAY(AN2),_xlfn.ANCHORARRAY(AN2),1)</f>
        <v>38</v>
      </c>
      <c r="BI2" s="44" cm="1">
        <f t="array" aca="1" ref="BI2:BI48" ca="1">RANK(_xlfn.ANCHORARRAY(AO2),_xlfn.ANCHORARRAY(AO2),1)</f>
        <v>43</v>
      </c>
      <c r="BJ2" s="44" cm="1">
        <f t="array" aca="1" ref="BJ2:BJ48" ca="1">RANK(_xlfn.ANCHORARRAY(AP2),_xlfn.ANCHORARRAY(AP2),1)</f>
        <v>43</v>
      </c>
      <c r="BK2" s="44" cm="1">
        <f t="array" aca="1" ref="BK2:BK48" ca="1">RANK(_xlfn.ANCHORARRAY(AQ2),_xlfn.ANCHORARRAY(AQ2),1)</f>
        <v>43</v>
      </c>
      <c r="BL2" s="44" cm="1">
        <f t="array" aca="1" ref="BL2:BL48" ca="1">RANK(_xlfn.ANCHORARRAY(AR2),_xlfn.ANCHORARRAY(AR2),1)</f>
        <v>38</v>
      </c>
      <c r="BM2" s="44" cm="1">
        <f t="array" aca="1" ref="BM2:BM48" ca="1">RANK(_xlfn.ANCHORARRAY(AS2),_xlfn.ANCHORARRAY(AS2),1)</f>
        <v>37</v>
      </c>
      <c r="BN2" s="44" cm="1">
        <f t="array" aca="1" ref="BN2:BN48" ca="1">RANK(_xlfn.ANCHORARRAY(AT2),_xlfn.ANCHORARRAY(AT2),1)</f>
        <v>38</v>
      </c>
      <c r="BO2" s="44" cm="1">
        <f t="array" aca="1" ref="BO2:BO48" ca="1">COUNTA(_xlfn.ANCHORARRAY($F2))-_xlfn.ANCHORARRAY(AU2)</f>
        <v>12</v>
      </c>
      <c r="BP2" s="44" cm="1">
        <f t="array" aca="1" ref="BP2:BP48" ca="1">COUNTA(_xlfn.ANCHORARRAY($F2))-_xlfn.ANCHORARRAY(AV2)</f>
        <v>8</v>
      </c>
      <c r="BQ2" s="44" cm="1">
        <f t="array" aca="1" ref="BQ2:BQ48" ca="1">COUNTA(_xlfn.ANCHORARRAY($F2))-_xlfn.ANCHORARRAY(AW2)</f>
        <v>6</v>
      </c>
      <c r="BR2" s="44" cm="1">
        <f t="array" aca="1" ref="BR2:BR48" ca="1">COUNTA(_xlfn.ANCHORARRAY($F2))-_xlfn.ANCHORARRAY(AX2)</f>
        <v>6</v>
      </c>
      <c r="BS2" s="44" cm="1">
        <f t="array" aca="1" ref="BS2:BS48" ca="1">COUNTA(_xlfn.ANCHORARRAY($F2))-_xlfn.ANCHORARRAY(AY2)</f>
        <v>11</v>
      </c>
      <c r="BT2" s="44" cm="1">
        <f t="array" aca="1" ref="BT2:BT48" ca="1">COUNTA(_xlfn.ANCHORARRAY($F2))-_xlfn.ANCHORARRAY(AZ2)</f>
        <v>12</v>
      </c>
      <c r="BU2" s="44" cm="1">
        <f t="array" aca="1" ref="BU2:BU48" ca="1">COUNTA(_xlfn.ANCHORARRAY($F2))-_xlfn.ANCHORARRAY(BA2)</f>
        <v>4</v>
      </c>
      <c r="BV2" s="44" cm="1">
        <f t="array" aca="1" ref="BV2:BV48" ca="1">COUNTA(_xlfn.ANCHORARRAY($F2))-_xlfn.ANCHORARRAY(BB2)</f>
        <v>5</v>
      </c>
      <c r="BW2" s="44" cm="1">
        <f t="array" aca="1" ref="BW2:BW48" ca="1">COUNTA(_xlfn.ANCHORARRAY($F2))-_xlfn.ANCHORARRAY(BC2)</f>
        <v>11</v>
      </c>
      <c r="BX2" s="44" cm="1">
        <f t="array" aca="1" ref="BX2:BX48" ca="1">COUNTA(_xlfn.ANCHORARRAY($F2))-_xlfn.ANCHORARRAY(BD2)</f>
        <v>8</v>
      </c>
      <c r="BY2" s="44" cm="1">
        <f t="array" aca="1" ref="BY2:BY48" ca="1">COUNTA(_xlfn.ANCHORARRAY($F2))-_xlfn.ANCHORARRAY(BE2)</f>
        <v>0</v>
      </c>
      <c r="BZ2" s="44" cm="1">
        <f t="array" aca="1" ref="BZ2:BZ48" ca="1">COUNTA(_xlfn.ANCHORARRAY($F2))-_xlfn.ANCHORARRAY(BF2)</f>
        <v>4</v>
      </c>
      <c r="CA2" s="44" cm="1">
        <f t="array" aca="1" ref="CA2:CA48" ca="1">COUNTA(_xlfn.ANCHORARRAY($F2))-_xlfn.ANCHORARRAY(BG2)</f>
        <v>5</v>
      </c>
      <c r="CB2" s="44" cm="1">
        <f t="array" aca="1" ref="CB2:CB48" ca="1">COUNTA(_xlfn.ANCHORARRAY($F2))-_xlfn.ANCHORARRAY(BH2)</f>
        <v>9</v>
      </c>
      <c r="CC2" s="44" cm="1">
        <f t="array" aca="1" ref="CC2:CC48" ca="1">COUNTA(_xlfn.ANCHORARRAY($F2))-_xlfn.ANCHORARRAY(BI2)</f>
        <v>4</v>
      </c>
      <c r="CD2" s="44" cm="1">
        <f t="array" aca="1" ref="CD2:CD48" ca="1">COUNTA(_xlfn.ANCHORARRAY($F2))-_xlfn.ANCHORARRAY(BJ2)</f>
        <v>4</v>
      </c>
      <c r="CE2" s="44" cm="1">
        <f t="array" aca="1" ref="CE2:CE48" ca="1">COUNTA(_xlfn.ANCHORARRAY($F2))-_xlfn.ANCHORARRAY(BK2)</f>
        <v>4</v>
      </c>
      <c r="CF2" s="44" cm="1">
        <f t="array" aca="1" ref="CF2:CF48" ca="1">COUNTA(_xlfn.ANCHORARRAY($F2))-_xlfn.ANCHORARRAY(BL2)</f>
        <v>9</v>
      </c>
      <c r="CG2" s="44" cm="1">
        <f t="array" aca="1" ref="CG2:CG48" ca="1">COUNTA(_xlfn.ANCHORARRAY($F2))-_xlfn.ANCHORARRAY(BM2)</f>
        <v>10</v>
      </c>
      <c r="CH2" s="44" cm="1">
        <f t="array" aca="1" ref="CH2:CH48" ca="1">COUNTA(_xlfn.ANCHORARRAY($F2))-_xlfn.ANCHORARRAY(BN2)</f>
        <v>9</v>
      </c>
      <c r="CI2" s="47" cm="1">
        <f t="array" aca="1" ref="CI2:CI48" ca="1">((_xlfn.ANCHORARRAY(BO2)+_xlfn.ANCHORARRAY(BP2)+_xlfn.ANCHORARRAY(BQ2)+_xlfn.ANCHORARRAY(BR2)+_xlfn.ANCHORARRAY(BS2)+_xlfn.ANCHORARRAY(BT2)+_xlfn.ANCHORARRAY(BU2)+_xlfn.ANCHORARRAY(BV2)+_xlfn.ANCHORARRAY(BW2)+_xlfn.ANCHORARRAY(BX2)+_xlfn.ANCHORARRAY(BY2)+_xlfn.ANCHORARRAY(BZ2)+_xlfn.ANCHORARRAY(CA2)+_xlfn.ANCHORARRAY(CB2)+_xlfn.ANCHORARRAY(CC2)+_xlfn.ANCHORARRAY(CD2)+_xlfn.ANCHORARRAY(CE2)+_xlfn.ANCHORARRAY(CF2)+_xlfn.ANCHORARRAY(CG2)+_xlfn.ANCHORARRAY(CH2))/20)/(COUNTA(_xlfn.ANCHORARRAY(F2))-1)*1000</f>
        <v>153.2608695652174</v>
      </c>
      <c r="CJ2" s="48" cm="1">
        <f t="array" aca="1" ref="CJ2:CJ48" ca="1">_xlfn.ANCHORARRAY(AA2)+_xlfn.ANCHORARRAY(AB2)+_xlfn.ANCHORARRAY(AC2)+_xlfn.ANCHORARRAY(AD2)+_xlfn.ANCHORARRAY(AE2)+_xlfn.ANCHORARRAY(AF2)+_xlfn.ANCHORARRAY(AG2)+_xlfn.ANCHORARRAY(AH2)+_xlfn.ANCHORARRAY(AI2)+_xlfn.ANCHORARRAY(AJ2)+_xlfn.ANCHORARRAY(AK2)+_xlfn.ANCHORARRAY(AL2)+_xlfn.ANCHORARRAY(AM2)+_xlfn.ANCHORARRAY(AN2)+_xlfn.ANCHORARRAY(AO2)+_xlfn.ANCHORARRAY(AP2)+_xlfn.ANCHORARRAY(AQ2)+_xlfn.ANCHORARRAY(AR2)+_xlfn.ANCHORARRAY(AS2)+_xlfn.ANCHORARRAY(AT2)</f>
        <v>2.4597569444444446E-2</v>
      </c>
      <c r="CK2" s="42">
        <f ca="1">COUNTIF(AU2:BN2,1)</f>
        <v>0</v>
      </c>
      <c r="CM2" s="44" cm="1">
        <f t="array" ref="CM2:CM48">_xlfn.SEQUENCE(ROWS(_xlfn.ANCHORARRAY(F2)))</f>
        <v>1</v>
      </c>
      <c r="CN2" s="44" t="str" cm="1">
        <f t="array" aca="1" ref="CN2:CN48" ca="1">_xlfn.SORTBY(_xlfn.ANCHORARRAY(F2),_xlfn.ANCHORARRAY(CI2),-1,_xlfn.ANCHORARRAY(CJ2),1)</f>
        <v>KVD</v>
      </c>
      <c r="CO2" s="50" t="e" cm="1" vm="12">
        <f t="array" aca="1" ref="CO2:CO48" ca="1">_xlfn.XLOOKUP(_xlfn.ANCHORARRAY(CN2),Registration[Nickname],_FV(Registration[Country],"image"))</f>
        <v>#VALUE!</v>
      </c>
      <c r="CP2" s="44" cm="1">
        <f t="array" aca="1" ref="CP2:CP48" ca="1">_xlfn.XLOOKUP(_xlfn.ANCHORARRAY(CN2),_xlfn.ANCHORARRAY(F2),OFFSET(_xlfn.ANCHORARRAY(CN2),0,-3))</f>
        <v>9</v>
      </c>
      <c r="CQ2" s="48" t="e" cm="1">
        <f t="array" aca="1" ref="CQ2:CQ48" ca="1">SUBSTITUTE(SUBSTITUTE(TEXT(_xlfn.XLOOKUP(_xlfn.ANCHORARRAY(CN2),_xlfn.ANCHORARRAY(F2),_xlfn.ANCHORARRAY(CJ2)),"mm:ss,00"),":","'"),",","""")</f>
        <v>#VALUE!</v>
      </c>
      <c r="CR2" s="47" cm="1">
        <f t="array" aca="1" ref="CR2:CR48" ca="1">_xlfn.XLOOKUP(_xlfn.ANCHORARRAY(CN2),_xlfn.ANCHORARRAY(F2),_xlfn.ANCHORARRAY(CI2))</f>
        <v>960.86956521739137</v>
      </c>
    </row>
    <row r="3" spans="1:96">
      <c r="A3" s="44">
        <v>2</v>
      </c>
      <c r="B3" s="44" t="str">
        <v>Ashley</v>
      </c>
      <c r="C3" s="44">
        <v>28</v>
      </c>
      <c r="E3" s="44">
        <v>2</v>
      </c>
      <c r="F3" s="44" t="str">
        <v>Antistar</v>
      </c>
      <c r="G3" s="45">
        <v>5979</v>
      </c>
      <c r="H3" s="45">
        <v>11247</v>
      </c>
      <c r="I3" s="45">
        <v>10764</v>
      </c>
      <c r="J3" s="45">
        <v>13281</v>
      </c>
      <c r="K3" s="45">
        <v>11655</v>
      </c>
      <c r="L3" s="45">
        <v>5607</v>
      </c>
      <c r="M3" s="45">
        <v>10644</v>
      </c>
      <c r="N3" s="45">
        <v>12702</v>
      </c>
      <c r="O3" s="45">
        <v>14773</v>
      </c>
      <c r="P3" s="45">
        <v>12998</v>
      </c>
      <c r="Q3" s="45">
        <v>5400</v>
      </c>
      <c r="R3" s="45">
        <v>10638</v>
      </c>
      <c r="S3" s="45">
        <v>5971</v>
      </c>
      <c r="T3" s="45">
        <v>14258</v>
      </c>
      <c r="U3" s="45">
        <v>13526</v>
      </c>
      <c r="V3" s="45">
        <v>12051</v>
      </c>
      <c r="W3" s="45">
        <v>10493</v>
      </c>
      <c r="X3" s="45">
        <v>11625</v>
      </c>
      <c r="Y3" s="45">
        <v>10638</v>
      </c>
      <c r="Z3" s="45">
        <v>12841</v>
      </c>
      <c r="AA3" s="46">
        <f ca="1"/>
        <v>6.9201388888888893E-4</v>
      </c>
      <c r="AB3" s="46">
        <f ca="1"/>
        <v>8.3877314814814817E-4</v>
      </c>
      <c r="AC3" s="46">
        <f ca="1"/>
        <v>7.828703703703704E-4</v>
      </c>
      <c r="AD3" s="46">
        <f ca="1"/>
        <v>1.0741898148148147E-3</v>
      </c>
      <c r="AE3" s="46">
        <f ca="1"/>
        <v>8.8599537037037032E-4</v>
      </c>
      <c r="AF3" s="46">
        <f ca="1"/>
        <v>6.4895833333333331E-4</v>
      </c>
      <c r="AG3" s="46">
        <f ca="1"/>
        <v>7.6898148148148149E-4</v>
      </c>
      <c r="AH3" s="46">
        <f ca="1"/>
        <v>1.0071759259259259E-3</v>
      </c>
      <c r="AI3" s="46">
        <f ca="1"/>
        <v>1.2468749999999999E-3</v>
      </c>
      <c r="AJ3" s="46">
        <f ca="1"/>
        <v>1.0414351851851852E-3</v>
      </c>
      <c r="AK3" s="46">
        <f ca="1"/>
        <v>6.2500000000000001E-4</v>
      </c>
      <c r="AL3" s="46">
        <f ca="1"/>
        <v>7.6828703703703705E-4</v>
      </c>
      <c r="AM3" s="46">
        <f ca="1"/>
        <v>6.9108796296296301E-4</v>
      </c>
      <c r="AN3" s="46">
        <f ca="1"/>
        <v>1.1872685185185185E-3</v>
      </c>
      <c r="AO3" s="46">
        <f ca="1"/>
        <v>1.1025462962962963E-3</v>
      </c>
      <c r="AP3" s="46">
        <f ca="1"/>
        <v>9.318287037037037E-4</v>
      </c>
      <c r="AQ3" s="46">
        <f ca="1"/>
        <v>7.5150462962962964E-4</v>
      </c>
      <c r="AR3" s="46">
        <f ca="1"/>
        <v>8.8252314814814812E-4</v>
      </c>
      <c r="AS3" s="46">
        <f ca="1"/>
        <v>7.6828703703703705E-4</v>
      </c>
      <c r="AT3" s="46">
        <f ca="1"/>
        <v>1.0232638888888889E-3</v>
      </c>
      <c r="AU3" s="44">
        <f ca="1"/>
        <v>3</v>
      </c>
      <c r="AV3" s="44">
        <f ca="1"/>
        <v>1</v>
      </c>
      <c r="AW3" s="44">
        <f ca="1"/>
        <v>2</v>
      </c>
      <c r="AX3" s="44">
        <f ca="1"/>
        <v>9</v>
      </c>
      <c r="AY3" s="44">
        <f ca="1"/>
        <v>2</v>
      </c>
      <c r="AZ3" s="44">
        <f ca="1"/>
        <v>2</v>
      </c>
      <c r="BA3" s="44">
        <f ca="1"/>
        <v>21</v>
      </c>
      <c r="BB3" s="44">
        <f ca="1"/>
        <v>2</v>
      </c>
      <c r="BC3" s="44">
        <f ca="1"/>
        <v>6</v>
      </c>
      <c r="BD3" s="44">
        <f ca="1"/>
        <v>2</v>
      </c>
      <c r="BE3" s="44">
        <f ca="1"/>
        <v>2</v>
      </c>
      <c r="BF3" s="44">
        <f ca="1"/>
        <v>2</v>
      </c>
      <c r="BG3" s="44">
        <f ca="1"/>
        <v>9</v>
      </c>
      <c r="BH3" s="44">
        <f ca="1"/>
        <v>7</v>
      </c>
      <c r="BI3" s="44">
        <f ca="1"/>
        <v>1</v>
      </c>
      <c r="BJ3" s="44">
        <f ca="1"/>
        <v>4</v>
      </c>
      <c r="BK3" s="44">
        <f ca="1"/>
        <v>12</v>
      </c>
      <c r="BL3" s="44">
        <f ca="1"/>
        <v>1</v>
      </c>
      <c r="BM3" s="44">
        <f ca="1"/>
        <v>15</v>
      </c>
      <c r="BN3" s="44">
        <f ca="1"/>
        <v>1</v>
      </c>
      <c r="BO3" s="44">
        <f ca="1"/>
        <v>44</v>
      </c>
      <c r="BP3" s="44">
        <f ca="1"/>
        <v>46</v>
      </c>
      <c r="BQ3" s="44">
        <f ca="1"/>
        <v>45</v>
      </c>
      <c r="BR3" s="44">
        <f ca="1"/>
        <v>38</v>
      </c>
      <c r="BS3" s="44">
        <f ca="1"/>
        <v>45</v>
      </c>
      <c r="BT3" s="44">
        <f ca="1"/>
        <v>45</v>
      </c>
      <c r="BU3" s="44">
        <f ca="1"/>
        <v>26</v>
      </c>
      <c r="BV3" s="44">
        <f ca="1"/>
        <v>45</v>
      </c>
      <c r="BW3" s="44">
        <f ca="1"/>
        <v>41</v>
      </c>
      <c r="BX3" s="44">
        <f ca="1"/>
        <v>45</v>
      </c>
      <c r="BY3" s="44">
        <f ca="1"/>
        <v>45</v>
      </c>
      <c r="BZ3" s="44">
        <f ca="1"/>
        <v>45</v>
      </c>
      <c r="CA3" s="44">
        <f ca="1"/>
        <v>38</v>
      </c>
      <c r="CB3" s="44">
        <f ca="1"/>
        <v>40</v>
      </c>
      <c r="CC3" s="44">
        <f ca="1"/>
        <v>46</v>
      </c>
      <c r="CD3" s="44">
        <f ca="1"/>
        <v>43</v>
      </c>
      <c r="CE3" s="44">
        <f ca="1"/>
        <v>35</v>
      </c>
      <c r="CF3" s="44">
        <f ca="1"/>
        <v>46</v>
      </c>
      <c r="CG3" s="44">
        <f ca="1"/>
        <v>32</v>
      </c>
      <c r="CH3" s="44">
        <f ca="1"/>
        <v>46</v>
      </c>
      <c r="CI3" s="47">
        <f ca="1"/>
        <v>908.695652173913</v>
      </c>
      <c r="CJ3" s="48">
        <f ca="1"/>
        <v>1.7718865740740743E-2</v>
      </c>
      <c r="CK3" s="42">
        <f t="shared" ref="CK3:CK48" ca="1" si="0">COUNTIF(AU3:BN3,1)</f>
        <v>4</v>
      </c>
      <c r="CM3" s="44">
        <v>2</v>
      </c>
      <c r="CN3" s="44" t="str">
        <f ca="1"/>
        <v>Sami</v>
      </c>
      <c r="CO3" s="50" t="e" vm="13">
        <f ca="1"/>
        <v>#VALUE!</v>
      </c>
      <c r="CP3" s="44">
        <f ca="1"/>
        <v>3</v>
      </c>
      <c r="CQ3" s="48" t="e">
        <f ca="1"/>
        <v>#VALUE!</v>
      </c>
      <c r="CR3" s="47">
        <f ca="1"/>
        <v>936.95652173913049</v>
      </c>
    </row>
    <row r="4" spans="1:96">
      <c r="A4" s="44">
        <v>3</v>
      </c>
      <c r="B4" s="44" t="str">
        <v>Bluh</v>
      </c>
      <c r="C4" s="44">
        <v>44</v>
      </c>
      <c r="E4" s="44">
        <v>3</v>
      </c>
      <c r="F4" s="44" t="str">
        <v>Ashley</v>
      </c>
      <c r="G4" s="45">
        <v>10447</v>
      </c>
      <c r="H4" s="45">
        <v>12119</v>
      </c>
      <c r="I4" s="45">
        <v>11146</v>
      </c>
      <c r="J4" s="45">
        <v>20158</v>
      </c>
      <c r="K4" s="45">
        <v>12588</v>
      </c>
      <c r="L4" s="45">
        <v>10972</v>
      </c>
      <c r="M4" s="45">
        <v>11697</v>
      </c>
      <c r="N4" s="45">
        <v>13428</v>
      </c>
      <c r="O4" s="45">
        <v>22797</v>
      </c>
      <c r="P4" s="45">
        <v>15259</v>
      </c>
      <c r="Q4" s="45">
        <v>10616</v>
      </c>
      <c r="R4" s="45">
        <v>12769</v>
      </c>
      <c r="S4" s="45">
        <v>12069</v>
      </c>
      <c r="T4" s="45">
        <v>22499</v>
      </c>
      <c r="U4" s="45">
        <v>20580</v>
      </c>
      <c r="V4" s="45">
        <v>15171</v>
      </c>
      <c r="W4" s="45">
        <v>11223</v>
      </c>
      <c r="X4" s="45">
        <v>14218</v>
      </c>
      <c r="Y4" s="45">
        <v>12019</v>
      </c>
      <c r="Z4" s="45">
        <v>14871</v>
      </c>
      <c r="AA4" s="46">
        <f ca="1"/>
        <v>7.4618055555555559E-4</v>
      </c>
      <c r="AB4" s="46">
        <f ca="1"/>
        <v>9.3969907407407403E-4</v>
      </c>
      <c r="AC4" s="46">
        <f ca="1"/>
        <v>8.2708333333333332E-4</v>
      </c>
      <c r="AD4" s="46">
        <f ca="1"/>
        <v>1.4071759259259259E-3</v>
      </c>
      <c r="AE4" s="46">
        <f ca="1"/>
        <v>9.9398148148148154E-4</v>
      </c>
      <c r="AF4" s="46">
        <f ca="1"/>
        <v>8.0694444444444444E-4</v>
      </c>
      <c r="AG4" s="46">
        <f ca="1"/>
        <v>8.9085648148148151E-4</v>
      </c>
      <c r="AH4" s="46">
        <f ca="1"/>
        <v>1.0912037037037036E-3</v>
      </c>
      <c r="AI4" s="46">
        <f ca="1"/>
        <v>1.7126157407407407E-3</v>
      </c>
      <c r="AJ4" s="46">
        <f ca="1"/>
        <v>1.303125E-3</v>
      </c>
      <c r="AK4" s="46">
        <f ca="1"/>
        <v>7.6574074074074077E-4</v>
      </c>
      <c r="AL4" s="46">
        <f ca="1"/>
        <v>1.0149305555555556E-3</v>
      </c>
      <c r="AM4" s="46">
        <f ca="1"/>
        <v>9.3391203703703702E-4</v>
      </c>
      <c r="AN4" s="46">
        <f ca="1"/>
        <v>1.6781249999999999E-3</v>
      </c>
      <c r="AO4" s="46">
        <f ca="1"/>
        <v>1.4560185185185186E-3</v>
      </c>
      <c r="AP4" s="46">
        <f ca="1"/>
        <v>1.2929398148148149E-3</v>
      </c>
      <c r="AQ4" s="46">
        <f ca="1"/>
        <v>8.3599537037037041E-4</v>
      </c>
      <c r="AR4" s="46">
        <f ca="1"/>
        <v>1.1826388888888889E-3</v>
      </c>
      <c r="AS4" s="46">
        <f ca="1"/>
        <v>9.2812500000000002E-4</v>
      </c>
      <c r="AT4" s="46">
        <f ca="1"/>
        <v>1.2582175925925927E-3</v>
      </c>
      <c r="AU4" s="44">
        <f ca="1"/>
        <v>24</v>
      </c>
      <c r="AV4" s="44">
        <f ca="1"/>
        <v>19</v>
      </c>
      <c r="AW4" s="44">
        <f ca="1"/>
        <v>27</v>
      </c>
      <c r="AX4" s="44">
        <f ca="1"/>
        <v>42</v>
      </c>
      <c r="AY4" s="44">
        <f ca="1"/>
        <v>26</v>
      </c>
      <c r="AZ4" s="44">
        <f ca="1"/>
        <v>30</v>
      </c>
      <c r="BA4" s="44">
        <f ca="1"/>
        <v>34</v>
      </c>
      <c r="BB4" s="44">
        <f ca="1"/>
        <v>19</v>
      </c>
      <c r="BC4" s="44">
        <f ca="1"/>
        <v>40</v>
      </c>
      <c r="BD4" s="44">
        <f ca="1"/>
        <v>33</v>
      </c>
      <c r="BE4" s="44">
        <f ca="1"/>
        <v>22</v>
      </c>
      <c r="BF4" s="44">
        <f ca="1"/>
        <v>35</v>
      </c>
      <c r="BG4" s="44">
        <f ca="1"/>
        <v>40</v>
      </c>
      <c r="BH4" s="44">
        <f ca="1"/>
        <v>41</v>
      </c>
      <c r="BI4" s="44">
        <f ca="1"/>
        <v>32</v>
      </c>
      <c r="BJ4" s="44">
        <f ca="1"/>
        <v>35</v>
      </c>
      <c r="BK4" s="44">
        <f ca="1"/>
        <v>24</v>
      </c>
      <c r="BL4" s="44">
        <f ca="1"/>
        <v>27</v>
      </c>
      <c r="BM4" s="44">
        <f ca="1"/>
        <v>31</v>
      </c>
      <c r="BN4" s="44">
        <f ca="1"/>
        <v>31</v>
      </c>
      <c r="BO4" s="44">
        <f ca="1"/>
        <v>23</v>
      </c>
      <c r="BP4" s="44">
        <f ca="1"/>
        <v>28</v>
      </c>
      <c r="BQ4" s="44">
        <f ca="1"/>
        <v>20</v>
      </c>
      <c r="BR4" s="44">
        <f ca="1"/>
        <v>5</v>
      </c>
      <c r="BS4" s="44">
        <f ca="1"/>
        <v>21</v>
      </c>
      <c r="BT4" s="44">
        <f ca="1"/>
        <v>17</v>
      </c>
      <c r="BU4" s="44">
        <f ca="1"/>
        <v>13</v>
      </c>
      <c r="BV4" s="44">
        <f ca="1"/>
        <v>28</v>
      </c>
      <c r="BW4" s="44">
        <f ca="1"/>
        <v>7</v>
      </c>
      <c r="BX4" s="44">
        <f ca="1"/>
        <v>14</v>
      </c>
      <c r="BY4" s="44">
        <f ca="1"/>
        <v>25</v>
      </c>
      <c r="BZ4" s="44">
        <f ca="1"/>
        <v>12</v>
      </c>
      <c r="CA4" s="44">
        <f ca="1"/>
        <v>7</v>
      </c>
      <c r="CB4" s="44">
        <f ca="1"/>
        <v>6</v>
      </c>
      <c r="CC4" s="44">
        <f ca="1"/>
        <v>15</v>
      </c>
      <c r="CD4" s="44">
        <f ca="1"/>
        <v>12</v>
      </c>
      <c r="CE4" s="44">
        <f ca="1"/>
        <v>23</v>
      </c>
      <c r="CF4" s="44">
        <f ca="1"/>
        <v>20</v>
      </c>
      <c r="CG4" s="44">
        <f ca="1"/>
        <v>16</v>
      </c>
      <c r="CH4" s="44">
        <f ca="1"/>
        <v>16</v>
      </c>
      <c r="CI4" s="47">
        <f ca="1"/>
        <v>356.52173913043475</v>
      </c>
      <c r="CJ4" s="48">
        <f ca="1"/>
        <v>2.2065509259259257E-2</v>
      </c>
      <c r="CK4" s="42">
        <f t="shared" ca="1" si="0"/>
        <v>0</v>
      </c>
      <c r="CM4" s="44">
        <v>3</v>
      </c>
      <c r="CN4" s="44" t="str">
        <f ca="1"/>
        <v>Lafungo</v>
      </c>
      <c r="CO4" s="50" t="e" vm="14">
        <f ca="1"/>
        <v>#VALUE!</v>
      </c>
      <c r="CP4" s="44">
        <f ca="1"/>
        <v>1</v>
      </c>
      <c r="CQ4" s="48" t="e">
        <f ca="1"/>
        <v>#VALUE!</v>
      </c>
      <c r="CR4" s="47">
        <f ca="1"/>
        <v>928.26086956521749</v>
      </c>
    </row>
    <row r="5" spans="1:96">
      <c r="A5" s="44">
        <v>4</v>
      </c>
      <c r="B5" s="44" t="str">
        <v>Chachamaxx</v>
      </c>
      <c r="C5" s="44">
        <v>42</v>
      </c>
      <c r="E5" s="44">
        <v>4</v>
      </c>
      <c r="F5" s="44" t="str">
        <v>Banana</v>
      </c>
      <c r="G5" s="45">
        <v>10771</v>
      </c>
      <c r="H5" s="45">
        <v>12135</v>
      </c>
      <c r="I5" s="45">
        <v>11558</v>
      </c>
      <c r="J5" s="45">
        <v>14314</v>
      </c>
      <c r="K5" s="45">
        <v>12714</v>
      </c>
      <c r="L5" s="45">
        <v>10863</v>
      </c>
      <c r="M5" s="45">
        <v>10563</v>
      </c>
      <c r="N5" s="45">
        <v>13826</v>
      </c>
      <c r="O5" s="45">
        <v>20069</v>
      </c>
      <c r="P5" s="45">
        <v>14182</v>
      </c>
      <c r="Q5" s="45">
        <v>11782</v>
      </c>
      <c r="R5" s="45">
        <v>11896</v>
      </c>
      <c r="S5" s="45">
        <v>10553</v>
      </c>
      <c r="T5" s="45">
        <v>15448</v>
      </c>
      <c r="U5" s="45">
        <v>20326</v>
      </c>
      <c r="V5" s="45">
        <v>13955</v>
      </c>
      <c r="W5" s="45">
        <v>11181</v>
      </c>
      <c r="X5" s="45">
        <v>14554</v>
      </c>
      <c r="Y5" s="45">
        <v>11295</v>
      </c>
      <c r="Z5" s="45">
        <v>13434</v>
      </c>
      <c r="AA5" s="46">
        <f ca="1"/>
        <v>7.8368055555555558E-4</v>
      </c>
      <c r="AB5" s="46">
        <f ca="1"/>
        <v>9.4155092592592598E-4</v>
      </c>
      <c r="AC5" s="46">
        <f ca="1"/>
        <v>8.7476851851851854E-4</v>
      </c>
      <c r="AD5" s="46">
        <f ca="1"/>
        <v>1.1937499999999999E-3</v>
      </c>
      <c r="AE5" s="46">
        <f ca="1"/>
        <v>1.0085648148148148E-3</v>
      </c>
      <c r="AF5" s="46">
        <f ca="1"/>
        <v>7.9432870370370367E-4</v>
      </c>
      <c r="AG5" s="46">
        <f ca="1"/>
        <v>7.5960648148148144E-4</v>
      </c>
      <c r="AH5" s="46">
        <f ca="1"/>
        <v>1.1372685185185186E-3</v>
      </c>
      <c r="AI5" s="46">
        <f ca="1"/>
        <v>1.3968749999999999E-3</v>
      </c>
      <c r="AJ5" s="46">
        <f ca="1"/>
        <v>1.1784722222222222E-3</v>
      </c>
      <c r="AK5" s="46">
        <f ca="1"/>
        <v>9.0069444444444442E-4</v>
      </c>
      <c r="AL5" s="46">
        <f ca="1"/>
        <v>9.1388888888888889E-4</v>
      </c>
      <c r="AM5" s="46">
        <f ca="1"/>
        <v>7.5844907407407404E-4</v>
      </c>
      <c r="AN5" s="46">
        <f ca="1"/>
        <v>1.325E-3</v>
      </c>
      <c r="AO5" s="46">
        <f ca="1"/>
        <v>1.4266203703703704E-3</v>
      </c>
      <c r="AP5" s="46">
        <f ca="1"/>
        <v>1.1521990740740741E-3</v>
      </c>
      <c r="AQ5" s="46">
        <f ca="1"/>
        <v>8.3113425925925922E-4</v>
      </c>
      <c r="AR5" s="46">
        <f ca="1"/>
        <v>1.2215277777777778E-3</v>
      </c>
      <c r="AS5" s="46">
        <f ca="1"/>
        <v>8.4432870370370369E-4</v>
      </c>
      <c r="AT5" s="46">
        <f ca="1"/>
        <v>1.091898148148148E-3</v>
      </c>
      <c r="AU5" s="44">
        <f ca="1"/>
        <v>31</v>
      </c>
      <c r="AV5" s="44">
        <f ca="1"/>
        <v>22</v>
      </c>
      <c r="AW5" s="44">
        <f ca="1"/>
        <v>35</v>
      </c>
      <c r="AX5" s="44">
        <f ca="1"/>
        <v>27</v>
      </c>
      <c r="AY5" s="44">
        <f ca="1"/>
        <v>29</v>
      </c>
      <c r="AZ5" s="44">
        <f ca="1"/>
        <v>28</v>
      </c>
      <c r="BA5" s="44">
        <f ca="1"/>
        <v>18</v>
      </c>
      <c r="BB5" s="44">
        <f ca="1"/>
        <v>28</v>
      </c>
      <c r="BC5" s="44">
        <f ca="1"/>
        <v>28</v>
      </c>
      <c r="BD5" s="44">
        <f ca="1"/>
        <v>26</v>
      </c>
      <c r="BE5" s="44">
        <f ca="1"/>
        <v>38</v>
      </c>
      <c r="BF5" s="44">
        <f ca="1"/>
        <v>23</v>
      </c>
      <c r="BG5" s="44">
        <f ca="1"/>
        <v>21</v>
      </c>
      <c r="BH5" s="44">
        <f ca="1"/>
        <v>25</v>
      </c>
      <c r="BI5" s="44">
        <f ca="1"/>
        <v>31</v>
      </c>
      <c r="BJ5" s="44">
        <f ca="1"/>
        <v>29</v>
      </c>
      <c r="BK5" s="44">
        <f ca="1"/>
        <v>21</v>
      </c>
      <c r="BL5" s="44">
        <f ca="1"/>
        <v>31</v>
      </c>
      <c r="BM5" s="44">
        <f ca="1"/>
        <v>24</v>
      </c>
      <c r="BN5" s="44">
        <f ca="1"/>
        <v>15</v>
      </c>
      <c r="BO5" s="44">
        <f ca="1"/>
        <v>16</v>
      </c>
      <c r="BP5" s="44">
        <f ca="1"/>
        <v>25</v>
      </c>
      <c r="BQ5" s="44">
        <f ca="1"/>
        <v>12</v>
      </c>
      <c r="BR5" s="44">
        <f ca="1"/>
        <v>20</v>
      </c>
      <c r="BS5" s="44">
        <f ca="1"/>
        <v>18</v>
      </c>
      <c r="BT5" s="44">
        <f ca="1"/>
        <v>19</v>
      </c>
      <c r="BU5" s="44">
        <f ca="1"/>
        <v>29</v>
      </c>
      <c r="BV5" s="44">
        <f ca="1"/>
        <v>19</v>
      </c>
      <c r="BW5" s="44">
        <f ca="1"/>
        <v>19</v>
      </c>
      <c r="BX5" s="44">
        <f ca="1"/>
        <v>21</v>
      </c>
      <c r="BY5" s="44">
        <f ca="1"/>
        <v>9</v>
      </c>
      <c r="BZ5" s="44">
        <f ca="1"/>
        <v>24</v>
      </c>
      <c r="CA5" s="44">
        <f ca="1"/>
        <v>26</v>
      </c>
      <c r="CB5" s="44">
        <f ca="1"/>
        <v>22</v>
      </c>
      <c r="CC5" s="44">
        <f ca="1"/>
        <v>16</v>
      </c>
      <c r="CD5" s="44">
        <f ca="1"/>
        <v>18</v>
      </c>
      <c r="CE5" s="44">
        <f ca="1"/>
        <v>26</v>
      </c>
      <c r="CF5" s="44">
        <f ca="1"/>
        <v>16</v>
      </c>
      <c r="CG5" s="44">
        <f ca="1"/>
        <v>23</v>
      </c>
      <c r="CH5" s="44">
        <f ca="1"/>
        <v>32</v>
      </c>
      <c r="CI5" s="47">
        <f ca="1"/>
        <v>445.65217391304344</v>
      </c>
      <c r="CJ5" s="48">
        <f ca="1"/>
        <v>2.053460648148148E-2</v>
      </c>
      <c r="CK5" s="42">
        <f t="shared" ca="1" si="0"/>
        <v>0</v>
      </c>
      <c r="CM5" s="44">
        <v>4</v>
      </c>
      <c r="CN5" s="44" t="str">
        <f ca="1"/>
        <v>Antistar</v>
      </c>
      <c r="CO5" s="50" t="e" vm="15">
        <f ca="1"/>
        <v>#VALUE!</v>
      </c>
      <c r="CP5" s="44">
        <f ca="1"/>
        <v>4</v>
      </c>
      <c r="CQ5" s="48" t="e">
        <f ca="1"/>
        <v>#VALUE!</v>
      </c>
      <c r="CR5" s="47">
        <f ca="1"/>
        <v>908.695652173913</v>
      </c>
    </row>
    <row r="6" spans="1:96">
      <c r="A6" s="44">
        <v>5</v>
      </c>
      <c r="B6" s="44" t="str">
        <v>Zarkov</v>
      </c>
      <c r="C6" s="44">
        <v>17</v>
      </c>
      <c r="E6" s="44">
        <v>5</v>
      </c>
      <c r="F6" s="44" t="str">
        <v>BigMountain</v>
      </c>
      <c r="G6" s="45">
        <v>12105</v>
      </c>
      <c r="H6" s="45">
        <v>14879</v>
      </c>
      <c r="I6" s="45">
        <v>13048</v>
      </c>
      <c r="J6" s="45">
        <v>21110</v>
      </c>
      <c r="K6" s="45">
        <v>14481</v>
      </c>
      <c r="L6" s="45">
        <v>12172</v>
      </c>
      <c r="M6" s="45">
        <v>12821</v>
      </c>
      <c r="N6" s="45">
        <v>20538</v>
      </c>
      <c r="O6" s="45">
        <v>25016</v>
      </c>
      <c r="P6" s="45">
        <v>20684</v>
      </c>
      <c r="Q6" s="45">
        <v>11402</v>
      </c>
      <c r="R6" s="45">
        <v>13741</v>
      </c>
      <c r="S6" s="45">
        <v>12204</v>
      </c>
      <c r="T6" s="45">
        <v>21251</v>
      </c>
      <c r="U6" s="45">
        <v>22316</v>
      </c>
      <c r="V6" s="45">
        <v>15729</v>
      </c>
      <c r="W6" s="45">
        <v>12188</v>
      </c>
      <c r="X6" s="45">
        <v>20574</v>
      </c>
      <c r="Y6" s="45">
        <v>13056</v>
      </c>
      <c r="Z6" s="45">
        <v>23571</v>
      </c>
      <c r="AA6" s="46">
        <f ca="1"/>
        <v>9.3807870370370367E-4</v>
      </c>
      <c r="AB6" s="46">
        <f ca="1"/>
        <v>1.2591435185185186E-3</v>
      </c>
      <c r="AC6" s="46">
        <f ca="1"/>
        <v>1.0472222222222222E-3</v>
      </c>
      <c r="AD6" s="46">
        <f ca="1"/>
        <v>1.517361111111111E-3</v>
      </c>
      <c r="AE6" s="46">
        <f ca="1"/>
        <v>1.2130787037037036E-3</v>
      </c>
      <c r="AF6" s="46">
        <f ca="1"/>
        <v>9.4583333333333336E-4</v>
      </c>
      <c r="AG6" s="46">
        <f ca="1"/>
        <v>1.0209490740740741E-3</v>
      </c>
      <c r="AH6" s="46">
        <f ca="1"/>
        <v>1.4511574074074073E-3</v>
      </c>
      <c r="AI6" s="46">
        <f ca="1"/>
        <v>1.9694444444444442E-3</v>
      </c>
      <c r="AJ6" s="46">
        <f ca="1"/>
        <v>1.4680555555555556E-3</v>
      </c>
      <c r="AK6" s="46">
        <f ca="1"/>
        <v>8.5671296296296298E-4</v>
      </c>
      <c r="AL6" s="46">
        <f ca="1"/>
        <v>1.1274305555555556E-3</v>
      </c>
      <c r="AM6" s="46">
        <f ca="1"/>
        <v>9.4953703703703704E-4</v>
      </c>
      <c r="AN6" s="46">
        <f ca="1"/>
        <v>1.5336805555555555E-3</v>
      </c>
      <c r="AO6" s="46">
        <f ca="1"/>
        <v>1.6569444444444444E-3</v>
      </c>
      <c r="AP6" s="46">
        <f ca="1"/>
        <v>1.3575231481481481E-3</v>
      </c>
      <c r="AQ6" s="46">
        <f ca="1"/>
        <v>9.476851851851852E-4</v>
      </c>
      <c r="AR6" s="46">
        <f ca="1"/>
        <v>1.4553240740740742E-3</v>
      </c>
      <c r="AS6" s="46">
        <f ca="1"/>
        <v>1.0481481481481481E-3</v>
      </c>
      <c r="AT6" s="46">
        <f ca="1"/>
        <v>1.8021990740740741E-3</v>
      </c>
      <c r="AU6" s="44">
        <f ca="1"/>
        <v>43</v>
      </c>
      <c r="AV6" s="44">
        <f ca="1"/>
        <v>44</v>
      </c>
      <c r="AW6" s="44">
        <f ca="1"/>
        <v>44</v>
      </c>
      <c r="AX6" s="44">
        <f ca="1"/>
        <v>45</v>
      </c>
      <c r="AY6" s="44">
        <f ca="1"/>
        <v>42</v>
      </c>
      <c r="AZ6" s="44">
        <f ca="1"/>
        <v>44</v>
      </c>
      <c r="BA6" s="44">
        <f ca="1"/>
        <v>42</v>
      </c>
      <c r="BB6" s="44">
        <f ca="1"/>
        <v>41</v>
      </c>
      <c r="BC6" s="44">
        <f ca="1"/>
        <v>44</v>
      </c>
      <c r="BD6" s="44">
        <f ca="1"/>
        <v>41</v>
      </c>
      <c r="BE6" s="44">
        <f ca="1"/>
        <v>35</v>
      </c>
      <c r="BF6" s="44">
        <f ca="1"/>
        <v>39</v>
      </c>
      <c r="BG6" s="44">
        <f ca="1"/>
        <v>41</v>
      </c>
      <c r="BH6" s="44">
        <f ca="1"/>
        <v>40</v>
      </c>
      <c r="BI6" s="44">
        <f ca="1"/>
        <v>42</v>
      </c>
      <c r="BJ6" s="44">
        <f ca="1"/>
        <v>39</v>
      </c>
      <c r="BK6" s="44">
        <f ca="1"/>
        <v>36</v>
      </c>
      <c r="BL6" s="44">
        <f ca="1"/>
        <v>42</v>
      </c>
      <c r="BM6" s="44">
        <f ca="1"/>
        <v>38</v>
      </c>
      <c r="BN6" s="44">
        <f ca="1"/>
        <v>42</v>
      </c>
      <c r="BO6" s="44">
        <f ca="1"/>
        <v>4</v>
      </c>
      <c r="BP6" s="44">
        <f ca="1"/>
        <v>3</v>
      </c>
      <c r="BQ6" s="44">
        <f ca="1"/>
        <v>3</v>
      </c>
      <c r="BR6" s="44">
        <f ca="1"/>
        <v>2</v>
      </c>
      <c r="BS6" s="44">
        <f ca="1"/>
        <v>5</v>
      </c>
      <c r="BT6" s="44">
        <f ca="1"/>
        <v>3</v>
      </c>
      <c r="BU6" s="44">
        <f ca="1"/>
        <v>5</v>
      </c>
      <c r="BV6" s="44">
        <f ca="1"/>
        <v>6</v>
      </c>
      <c r="BW6" s="44">
        <f ca="1"/>
        <v>3</v>
      </c>
      <c r="BX6" s="44">
        <f ca="1"/>
        <v>6</v>
      </c>
      <c r="BY6" s="44">
        <f ca="1"/>
        <v>12</v>
      </c>
      <c r="BZ6" s="44">
        <f ca="1"/>
        <v>8</v>
      </c>
      <c r="CA6" s="44">
        <f ca="1"/>
        <v>6</v>
      </c>
      <c r="CB6" s="44">
        <f ca="1"/>
        <v>7</v>
      </c>
      <c r="CC6" s="44">
        <f ca="1"/>
        <v>5</v>
      </c>
      <c r="CD6" s="44">
        <f ca="1"/>
        <v>8</v>
      </c>
      <c r="CE6" s="44">
        <f ca="1"/>
        <v>11</v>
      </c>
      <c r="CF6" s="44">
        <f ca="1"/>
        <v>5</v>
      </c>
      <c r="CG6" s="44">
        <f ca="1"/>
        <v>9</v>
      </c>
      <c r="CH6" s="44">
        <f ca="1"/>
        <v>5</v>
      </c>
      <c r="CI6" s="47">
        <f ca="1"/>
        <v>126.08695652173913</v>
      </c>
      <c r="CJ6" s="48">
        <f ca="1"/>
        <v>2.5565509259259264E-2</v>
      </c>
      <c r="CK6" s="42">
        <f t="shared" ca="1" si="0"/>
        <v>0</v>
      </c>
      <c r="CM6" s="44">
        <v>5</v>
      </c>
      <c r="CN6" s="44" t="str">
        <f ca="1"/>
        <v>Takashi</v>
      </c>
      <c r="CO6" s="50" t="e" vm="16">
        <f ca="1"/>
        <v>#VALUE!</v>
      </c>
      <c r="CP6" s="44">
        <f ca="1"/>
        <v>2</v>
      </c>
      <c r="CQ6" s="48" t="e">
        <f ca="1"/>
        <v>#VALUE!</v>
      </c>
      <c r="CR6" s="47">
        <f ca="1"/>
        <v>844.56521739130437</v>
      </c>
    </row>
    <row r="7" spans="1:96">
      <c r="A7" s="44">
        <v>6</v>
      </c>
      <c r="B7" s="44" t="str">
        <v>Kasmo</v>
      </c>
      <c r="C7" s="44">
        <v>21</v>
      </c>
      <c r="E7" s="44">
        <v>6</v>
      </c>
      <c r="F7" s="44" t="str">
        <v>Bluh</v>
      </c>
      <c r="G7" s="45">
        <v>10720</v>
      </c>
      <c r="H7" s="45">
        <v>12756</v>
      </c>
      <c r="I7" s="45">
        <v>11046</v>
      </c>
      <c r="J7" s="45">
        <v>15016</v>
      </c>
      <c r="K7" s="45">
        <v>13257</v>
      </c>
      <c r="L7" s="45">
        <v>11685</v>
      </c>
      <c r="M7" s="45">
        <v>11030</v>
      </c>
      <c r="N7" s="45">
        <v>15961</v>
      </c>
      <c r="O7" s="45">
        <v>21635</v>
      </c>
      <c r="P7" s="45">
        <v>14905</v>
      </c>
      <c r="Q7" s="45">
        <v>12391</v>
      </c>
      <c r="R7" s="45">
        <v>13782</v>
      </c>
      <c r="S7" s="45">
        <v>11454</v>
      </c>
      <c r="T7" s="45">
        <v>20521</v>
      </c>
      <c r="U7" s="45">
        <v>20610</v>
      </c>
      <c r="V7" s="45">
        <v>15406</v>
      </c>
      <c r="W7" s="45">
        <v>12387</v>
      </c>
      <c r="X7" s="45">
        <v>14069</v>
      </c>
      <c r="Y7" s="45">
        <v>14863</v>
      </c>
      <c r="Z7" s="45">
        <v>22586</v>
      </c>
      <c r="AA7" s="46">
        <f ca="1"/>
        <v>7.7777777777777773E-4</v>
      </c>
      <c r="AB7" s="46">
        <f ca="1"/>
        <v>1.0134259259259259E-3</v>
      </c>
      <c r="AC7" s="46">
        <f ca="1"/>
        <v>8.1550925925925931E-4</v>
      </c>
      <c r="AD7" s="46">
        <f ca="1"/>
        <v>1.2750000000000001E-3</v>
      </c>
      <c r="AE7" s="46">
        <f ca="1"/>
        <v>1.071412037037037E-3</v>
      </c>
      <c r="AF7" s="46">
        <f ca="1"/>
        <v>8.8946759259259263E-4</v>
      </c>
      <c r="AG7" s="46">
        <f ca="1"/>
        <v>8.1365740740740736E-4</v>
      </c>
      <c r="AH7" s="46">
        <f ca="1"/>
        <v>1.384375E-3</v>
      </c>
      <c r="AI7" s="46">
        <f ca="1"/>
        <v>1.5781250000000001E-3</v>
      </c>
      <c r="AJ7" s="46">
        <f ca="1"/>
        <v>1.2621527777777778E-3</v>
      </c>
      <c r="AK7" s="46">
        <f ca="1"/>
        <v>9.7118055555555553E-4</v>
      </c>
      <c r="AL7" s="46">
        <f ca="1"/>
        <v>1.132175925925926E-3</v>
      </c>
      <c r="AM7" s="46">
        <f ca="1"/>
        <v>8.6273148148148147E-4</v>
      </c>
      <c r="AN7" s="46">
        <f ca="1"/>
        <v>1.4491898148148148E-3</v>
      </c>
      <c r="AO7" s="46">
        <f ca="1"/>
        <v>1.4594907407407408E-3</v>
      </c>
      <c r="AP7" s="46">
        <f ca="1"/>
        <v>1.3201388888888889E-3</v>
      </c>
      <c r="AQ7" s="46">
        <f ca="1"/>
        <v>9.7071759259259257E-4</v>
      </c>
      <c r="AR7" s="46">
        <f ca="1"/>
        <v>1.1653935185185185E-3</v>
      </c>
      <c r="AS7" s="46">
        <f ca="1"/>
        <v>1.2572916666666668E-3</v>
      </c>
      <c r="AT7" s="46">
        <f ca="1"/>
        <v>1.6881944444444444E-3</v>
      </c>
      <c r="AU7" s="44">
        <f ca="1"/>
        <v>28</v>
      </c>
      <c r="AV7" s="44">
        <f ca="1"/>
        <v>32</v>
      </c>
      <c r="AW7" s="44">
        <f ca="1"/>
        <v>24</v>
      </c>
      <c r="AX7" s="44">
        <f ca="1"/>
        <v>34</v>
      </c>
      <c r="AY7" s="44">
        <f ca="1"/>
        <v>35</v>
      </c>
      <c r="AZ7" s="44">
        <f ca="1"/>
        <v>39</v>
      </c>
      <c r="BA7" s="44">
        <f ca="1"/>
        <v>25</v>
      </c>
      <c r="BB7" s="44">
        <f ca="1"/>
        <v>39</v>
      </c>
      <c r="BC7" s="44">
        <f ca="1"/>
        <v>35</v>
      </c>
      <c r="BD7" s="44">
        <f ca="1"/>
        <v>32</v>
      </c>
      <c r="BE7" s="44">
        <f ca="1"/>
        <v>44</v>
      </c>
      <c r="BF7" s="44">
        <f ca="1"/>
        <v>40</v>
      </c>
      <c r="BG7" s="44">
        <f ca="1"/>
        <v>33</v>
      </c>
      <c r="BH7" s="44">
        <f ca="1"/>
        <v>34</v>
      </c>
      <c r="BI7" s="44">
        <f ca="1"/>
        <v>33</v>
      </c>
      <c r="BJ7" s="44">
        <f ca="1"/>
        <v>36</v>
      </c>
      <c r="BK7" s="44">
        <f ca="1"/>
        <v>42</v>
      </c>
      <c r="BL7" s="44">
        <f ca="1"/>
        <v>26</v>
      </c>
      <c r="BM7" s="44">
        <f ca="1"/>
        <v>44</v>
      </c>
      <c r="BN7" s="44">
        <f ca="1"/>
        <v>41</v>
      </c>
      <c r="BO7" s="44">
        <f ca="1"/>
        <v>19</v>
      </c>
      <c r="BP7" s="44">
        <f ca="1"/>
        <v>15</v>
      </c>
      <c r="BQ7" s="44">
        <f ca="1"/>
        <v>23</v>
      </c>
      <c r="BR7" s="44">
        <f ca="1"/>
        <v>13</v>
      </c>
      <c r="BS7" s="44">
        <f ca="1"/>
        <v>12</v>
      </c>
      <c r="BT7" s="44">
        <f ca="1"/>
        <v>8</v>
      </c>
      <c r="BU7" s="44">
        <f ca="1"/>
        <v>22</v>
      </c>
      <c r="BV7" s="44">
        <f ca="1"/>
        <v>8</v>
      </c>
      <c r="BW7" s="44">
        <f ca="1"/>
        <v>12</v>
      </c>
      <c r="BX7" s="44">
        <f ca="1"/>
        <v>15</v>
      </c>
      <c r="BY7" s="44">
        <f ca="1"/>
        <v>3</v>
      </c>
      <c r="BZ7" s="44">
        <f ca="1"/>
        <v>7</v>
      </c>
      <c r="CA7" s="44">
        <f ca="1"/>
        <v>14</v>
      </c>
      <c r="CB7" s="44">
        <f ca="1"/>
        <v>13</v>
      </c>
      <c r="CC7" s="44">
        <f ca="1"/>
        <v>14</v>
      </c>
      <c r="CD7" s="44">
        <f ca="1"/>
        <v>11</v>
      </c>
      <c r="CE7" s="44">
        <f ca="1"/>
        <v>5</v>
      </c>
      <c r="CF7" s="44">
        <f ca="1"/>
        <v>21</v>
      </c>
      <c r="CG7" s="44">
        <f ca="1"/>
        <v>3</v>
      </c>
      <c r="CH7" s="44">
        <f ca="1"/>
        <v>6</v>
      </c>
      <c r="CI7" s="47">
        <f ca="1"/>
        <v>265.21739130434781</v>
      </c>
      <c r="CJ7" s="48">
        <f ca="1"/>
        <v>2.3157407407407404E-2</v>
      </c>
      <c r="CK7" s="42">
        <f t="shared" ca="1" si="0"/>
        <v>0</v>
      </c>
      <c r="CM7" s="44">
        <v>6</v>
      </c>
      <c r="CN7" s="44" t="str">
        <f ca="1"/>
        <v>JDR</v>
      </c>
      <c r="CO7" s="50" t="e" vm="15">
        <f ca="1"/>
        <v>#VALUE!</v>
      </c>
      <c r="CP7" s="44">
        <f ca="1"/>
        <v>1</v>
      </c>
      <c r="CQ7" s="48" t="e">
        <f ca="1"/>
        <v>#VALUE!</v>
      </c>
      <c r="CR7" s="47">
        <f ca="1"/>
        <v>838.04347826086951</v>
      </c>
    </row>
    <row r="8" spans="1:96">
      <c r="A8" s="44">
        <v>7</v>
      </c>
      <c r="B8" s="44" t="str">
        <v>FF</v>
      </c>
      <c r="C8" s="44">
        <v>32</v>
      </c>
      <c r="E8" s="44">
        <v>7</v>
      </c>
      <c r="F8" s="44" t="str">
        <v>Cap</v>
      </c>
      <c r="G8" s="45">
        <v>11185</v>
      </c>
      <c r="H8" s="45">
        <v>13643</v>
      </c>
      <c r="I8" s="45">
        <v>12061</v>
      </c>
      <c r="J8" s="45">
        <v>15482</v>
      </c>
      <c r="K8" s="45">
        <v>13735</v>
      </c>
      <c r="L8" s="45">
        <v>11476</v>
      </c>
      <c r="M8" s="45">
        <v>12578</v>
      </c>
      <c r="N8" s="45">
        <v>15858</v>
      </c>
      <c r="O8" s="45">
        <v>22841</v>
      </c>
      <c r="P8" s="45">
        <v>15685</v>
      </c>
      <c r="Q8" s="45">
        <v>12172</v>
      </c>
      <c r="R8" s="45">
        <v>12722</v>
      </c>
      <c r="S8" s="45">
        <v>11637</v>
      </c>
      <c r="T8" s="45">
        <v>20662</v>
      </c>
      <c r="U8" s="45">
        <v>20857</v>
      </c>
      <c r="V8" s="45">
        <v>14992</v>
      </c>
      <c r="W8" s="45">
        <v>12308</v>
      </c>
      <c r="X8" s="45">
        <v>20933</v>
      </c>
      <c r="Y8" s="45">
        <v>21259</v>
      </c>
      <c r="Z8" s="45">
        <v>20845</v>
      </c>
      <c r="AA8" s="46">
        <f ca="1"/>
        <v>8.3159722222222218E-4</v>
      </c>
      <c r="AB8" s="46">
        <f ca="1"/>
        <v>1.116087962962963E-3</v>
      </c>
      <c r="AC8" s="46">
        <f ca="1"/>
        <v>9.329861111111111E-4</v>
      </c>
      <c r="AD8" s="46">
        <f ca="1"/>
        <v>1.3289351851851852E-3</v>
      </c>
      <c r="AE8" s="46">
        <f ca="1"/>
        <v>1.1267361111111111E-3</v>
      </c>
      <c r="AF8" s="46">
        <f ca="1"/>
        <v>8.6527777777777775E-4</v>
      </c>
      <c r="AG8" s="46">
        <f ca="1"/>
        <v>9.9282407407407414E-4</v>
      </c>
      <c r="AH8" s="46">
        <f ca="1"/>
        <v>1.3724537037037036E-3</v>
      </c>
      <c r="AI8" s="46">
        <f ca="1"/>
        <v>1.7177083333333332E-3</v>
      </c>
      <c r="AJ8" s="46">
        <f ca="1"/>
        <v>1.3524305555555555E-3</v>
      </c>
      <c r="AK8" s="46">
        <f ca="1"/>
        <v>9.4583333333333336E-4</v>
      </c>
      <c r="AL8" s="46">
        <f ca="1"/>
        <v>1.0094907407407407E-3</v>
      </c>
      <c r="AM8" s="46">
        <f ca="1"/>
        <v>8.83912037037037E-4</v>
      </c>
      <c r="AN8" s="46">
        <f ca="1"/>
        <v>1.4655092592592593E-3</v>
      </c>
      <c r="AO8" s="46">
        <f ca="1"/>
        <v>1.4880787037037037E-3</v>
      </c>
      <c r="AP8" s="46">
        <f ca="1"/>
        <v>1.2722222222222223E-3</v>
      </c>
      <c r="AQ8" s="46">
        <f ca="1"/>
        <v>9.6157407407407411E-4</v>
      </c>
      <c r="AR8" s="46">
        <f ca="1"/>
        <v>1.4968749999999999E-3</v>
      </c>
      <c r="AS8" s="46">
        <f ca="1"/>
        <v>1.5346064814814814E-3</v>
      </c>
      <c r="AT8" s="46">
        <f ca="1"/>
        <v>1.4866898148148148E-3</v>
      </c>
      <c r="AU8" s="44">
        <f ca="1"/>
        <v>36</v>
      </c>
      <c r="AV8" s="44">
        <f ca="1"/>
        <v>37</v>
      </c>
      <c r="AW8" s="44">
        <f ca="1"/>
        <v>39</v>
      </c>
      <c r="AX8" s="44">
        <f ca="1"/>
        <v>36</v>
      </c>
      <c r="AY8" s="44">
        <f ca="1"/>
        <v>38</v>
      </c>
      <c r="AZ8" s="44">
        <f ca="1"/>
        <v>34</v>
      </c>
      <c r="BA8" s="44">
        <f ca="1"/>
        <v>39</v>
      </c>
      <c r="BB8" s="44">
        <f ca="1"/>
        <v>38</v>
      </c>
      <c r="BC8" s="44">
        <f ca="1"/>
        <v>41</v>
      </c>
      <c r="BD8" s="44">
        <f ca="1"/>
        <v>37</v>
      </c>
      <c r="BE8" s="44">
        <f ca="1"/>
        <v>42</v>
      </c>
      <c r="BF8" s="44">
        <f ca="1"/>
        <v>34</v>
      </c>
      <c r="BG8" s="44">
        <f ca="1"/>
        <v>36</v>
      </c>
      <c r="BH8" s="44">
        <f ca="1"/>
        <v>36</v>
      </c>
      <c r="BI8" s="44">
        <f ca="1"/>
        <v>35</v>
      </c>
      <c r="BJ8" s="44">
        <f ca="1"/>
        <v>32</v>
      </c>
      <c r="BK8" s="44">
        <f ca="1"/>
        <v>38</v>
      </c>
      <c r="BL8" s="44">
        <f ca="1"/>
        <v>44</v>
      </c>
      <c r="BM8" s="44">
        <f ca="1"/>
        <v>47</v>
      </c>
      <c r="BN8" s="44">
        <f ca="1"/>
        <v>35</v>
      </c>
      <c r="BO8" s="44">
        <f ca="1"/>
        <v>11</v>
      </c>
      <c r="BP8" s="44">
        <f ca="1"/>
        <v>10</v>
      </c>
      <c r="BQ8" s="44">
        <f ca="1"/>
        <v>8</v>
      </c>
      <c r="BR8" s="44">
        <f ca="1"/>
        <v>11</v>
      </c>
      <c r="BS8" s="44">
        <f ca="1"/>
        <v>9</v>
      </c>
      <c r="BT8" s="44">
        <f ca="1"/>
        <v>13</v>
      </c>
      <c r="BU8" s="44">
        <f ca="1"/>
        <v>8</v>
      </c>
      <c r="BV8" s="44">
        <f ca="1"/>
        <v>9</v>
      </c>
      <c r="BW8" s="44">
        <f ca="1"/>
        <v>6</v>
      </c>
      <c r="BX8" s="44">
        <f ca="1"/>
        <v>10</v>
      </c>
      <c r="BY8" s="44">
        <f ca="1"/>
        <v>5</v>
      </c>
      <c r="BZ8" s="44">
        <f ca="1"/>
        <v>13</v>
      </c>
      <c r="CA8" s="44">
        <f ca="1"/>
        <v>11</v>
      </c>
      <c r="CB8" s="44">
        <f ca="1"/>
        <v>11</v>
      </c>
      <c r="CC8" s="44">
        <f ca="1"/>
        <v>12</v>
      </c>
      <c r="CD8" s="44">
        <f ca="1"/>
        <v>15</v>
      </c>
      <c r="CE8" s="44">
        <f ca="1"/>
        <v>9</v>
      </c>
      <c r="CF8" s="44">
        <f ca="1"/>
        <v>3</v>
      </c>
      <c r="CG8" s="44">
        <f ca="1"/>
        <v>0</v>
      </c>
      <c r="CH8" s="44">
        <f ca="1"/>
        <v>12</v>
      </c>
      <c r="CI8" s="47">
        <f ca="1"/>
        <v>202.17391304347828</v>
      </c>
      <c r="CJ8" s="48">
        <f ca="1"/>
        <v>2.4181828703703705E-2</v>
      </c>
      <c r="CK8" s="42">
        <f t="shared" ca="1" si="0"/>
        <v>0</v>
      </c>
      <c r="CM8" s="44">
        <v>7</v>
      </c>
      <c r="CN8" s="44" t="str">
        <f ca="1"/>
        <v>Jarmou</v>
      </c>
      <c r="CO8" s="50" t="e" vm="17">
        <f ca="1"/>
        <v>#VALUE!</v>
      </c>
      <c r="CP8" s="44">
        <f ca="1"/>
        <v>0</v>
      </c>
      <c r="CQ8" s="48" t="e">
        <f ca="1"/>
        <v>#VALUE!</v>
      </c>
      <c r="CR8" s="47">
        <f ca="1"/>
        <v>822.82608695652186</v>
      </c>
    </row>
    <row r="9" spans="1:96">
      <c r="A9" s="44">
        <v>8</v>
      </c>
      <c r="B9" s="44" t="str">
        <v>Danny</v>
      </c>
      <c r="C9" s="44">
        <v>45</v>
      </c>
      <c r="E9" s="44">
        <v>8</v>
      </c>
      <c r="F9" s="44" t="str">
        <v>Chachamaxx</v>
      </c>
      <c r="G9" s="45">
        <v>11331</v>
      </c>
      <c r="H9" s="45">
        <v>14258</v>
      </c>
      <c r="I9" s="45">
        <v>12029</v>
      </c>
      <c r="J9" s="45">
        <v>15744</v>
      </c>
      <c r="K9" s="45">
        <v>14196</v>
      </c>
      <c r="L9" s="45">
        <v>11739</v>
      </c>
      <c r="M9" s="45">
        <v>12700</v>
      </c>
      <c r="N9" s="45">
        <v>20491</v>
      </c>
      <c r="O9" s="45">
        <v>24013</v>
      </c>
      <c r="P9" s="45">
        <v>21012</v>
      </c>
      <c r="Q9" s="45">
        <v>12403</v>
      </c>
      <c r="R9" s="45">
        <v>13822</v>
      </c>
      <c r="S9" s="45">
        <v>11900</v>
      </c>
      <c r="T9" s="45">
        <v>20606</v>
      </c>
      <c r="U9" s="45">
        <v>21384</v>
      </c>
      <c r="V9" s="45">
        <v>15432</v>
      </c>
      <c r="W9" s="45">
        <v>12941</v>
      </c>
      <c r="X9" s="45">
        <v>20339</v>
      </c>
      <c r="Y9" s="45">
        <v>14143</v>
      </c>
      <c r="Z9" s="45">
        <v>24582</v>
      </c>
      <c r="AA9" s="46">
        <f ca="1"/>
        <v>8.4849537037037033E-4</v>
      </c>
      <c r="AB9" s="46">
        <f ca="1"/>
        <v>1.1872685185185185E-3</v>
      </c>
      <c r="AC9" s="46">
        <f ca="1"/>
        <v>9.2928240740740742E-4</v>
      </c>
      <c r="AD9" s="46">
        <f ca="1"/>
        <v>1.3592592592592593E-3</v>
      </c>
      <c r="AE9" s="46">
        <f ca="1"/>
        <v>1.1800925925925926E-3</v>
      </c>
      <c r="AF9" s="46">
        <f ca="1"/>
        <v>8.9571759259259259E-4</v>
      </c>
      <c r="AG9" s="46">
        <f ca="1"/>
        <v>1.0069444444444444E-3</v>
      </c>
      <c r="AH9" s="46">
        <f ca="1"/>
        <v>1.4457175925925926E-3</v>
      </c>
      <c r="AI9" s="46">
        <f ca="1"/>
        <v>1.8533564814814814E-3</v>
      </c>
      <c r="AJ9" s="46">
        <f ca="1"/>
        <v>1.5060185185185185E-3</v>
      </c>
      <c r="AK9" s="46">
        <f ca="1"/>
        <v>9.7256944444444441E-4</v>
      </c>
      <c r="AL9" s="46">
        <f ca="1"/>
        <v>1.1368055555555556E-3</v>
      </c>
      <c r="AM9" s="46">
        <f ca="1"/>
        <v>9.1435185185185185E-4</v>
      </c>
      <c r="AN9" s="46">
        <f ca="1"/>
        <v>1.4590277777777778E-3</v>
      </c>
      <c r="AO9" s="46">
        <f ca="1"/>
        <v>1.549074074074074E-3</v>
      </c>
      <c r="AP9" s="46">
        <f ca="1"/>
        <v>1.3231481481481482E-3</v>
      </c>
      <c r="AQ9" s="46">
        <f ca="1"/>
        <v>1.0348379629629629E-3</v>
      </c>
      <c r="AR9" s="46">
        <f ca="1"/>
        <v>1.4281249999999999E-3</v>
      </c>
      <c r="AS9" s="46">
        <f ca="1"/>
        <v>1.1739583333333333E-3</v>
      </c>
      <c r="AT9" s="46">
        <f ca="1"/>
        <v>1.9192129629629631E-3</v>
      </c>
      <c r="AU9" s="44">
        <f ca="1"/>
        <v>39</v>
      </c>
      <c r="AV9" s="44">
        <f ca="1"/>
        <v>41</v>
      </c>
      <c r="AW9" s="44">
        <f ca="1"/>
        <v>37</v>
      </c>
      <c r="AX9" s="44">
        <f ca="1"/>
        <v>40</v>
      </c>
      <c r="AY9" s="44">
        <f ca="1"/>
        <v>40</v>
      </c>
      <c r="AZ9" s="44">
        <f ca="1"/>
        <v>41</v>
      </c>
      <c r="BA9" s="44">
        <f ca="1"/>
        <v>40</v>
      </c>
      <c r="BB9" s="44">
        <f ca="1"/>
        <v>40</v>
      </c>
      <c r="BC9" s="44">
        <f ca="1"/>
        <v>43</v>
      </c>
      <c r="BD9" s="44">
        <f ca="1"/>
        <v>43</v>
      </c>
      <c r="BE9" s="44">
        <f ca="1"/>
        <v>45</v>
      </c>
      <c r="BF9" s="44">
        <f ca="1"/>
        <v>41</v>
      </c>
      <c r="BG9" s="44">
        <f ca="1"/>
        <v>39</v>
      </c>
      <c r="BH9" s="44">
        <f ca="1"/>
        <v>35</v>
      </c>
      <c r="BI9" s="44">
        <f ca="1"/>
        <v>40</v>
      </c>
      <c r="BJ9" s="44">
        <f ca="1"/>
        <v>37</v>
      </c>
      <c r="BK9" s="44">
        <f ca="1"/>
        <v>45</v>
      </c>
      <c r="BL9" s="44">
        <f ca="1"/>
        <v>41</v>
      </c>
      <c r="BM9" s="44">
        <f ca="1"/>
        <v>43</v>
      </c>
      <c r="BN9" s="44">
        <f ca="1"/>
        <v>45</v>
      </c>
      <c r="BO9" s="44">
        <f ca="1"/>
        <v>8</v>
      </c>
      <c r="BP9" s="44">
        <f ca="1"/>
        <v>6</v>
      </c>
      <c r="BQ9" s="44">
        <f ca="1"/>
        <v>10</v>
      </c>
      <c r="BR9" s="44">
        <f ca="1"/>
        <v>7</v>
      </c>
      <c r="BS9" s="44">
        <f ca="1"/>
        <v>7</v>
      </c>
      <c r="BT9" s="44">
        <f ca="1"/>
        <v>6</v>
      </c>
      <c r="BU9" s="44">
        <f ca="1"/>
        <v>7</v>
      </c>
      <c r="BV9" s="44">
        <f ca="1"/>
        <v>7</v>
      </c>
      <c r="BW9" s="44">
        <f ca="1"/>
        <v>4</v>
      </c>
      <c r="BX9" s="44">
        <f ca="1"/>
        <v>4</v>
      </c>
      <c r="BY9" s="44">
        <f ca="1"/>
        <v>2</v>
      </c>
      <c r="BZ9" s="44">
        <f ca="1"/>
        <v>6</v>
      </c>
      <c r="CA9" s="44">
        <f ca="1"/>
        <v>8</v>
      </c>
      <c r="CB9" s="44">
        <f ca="1"/>
        <v>12</v>
      </c>
      <c r="CC9" s="44">
        <f ca="1"/>
        <v>7</v>
      </c>
      <c r="CD9" s="44">
        <f ca="1"/>
        <v>10</v>
      </c>
      <c r="CE9" s="44">
        <f ca="1"/>
        <v>2</v>
      </c>
      <c r="CF9" s="44">
        <f ca="1"/>
        <v>6</v>
      </c>
      <c r="CG9" s="44">
        <f ca="1"/>
        <v>4</v>
      </c>
      <c r="CH9" s="44">
        <f ca="1"/>
        <v>2</v>
      </c>
      <c r="CI9" s="47">
        <f ca="1"/>
        <v>135.86956521739128</v>
      </c>
      <c r="CJ9" s="48">
        <f ca="1"/>
        <v>2.5123263888888889E-2</v>
      </c>
      <c r="CK9" s="42">
        <f t="shared" ca="1" si="0"/>
        <v>0</v>
      </c>
      <c r="CM9" s="44">
        <v>8</v>
      </c>
      <c r="CN9" s="44" t="str">
        <f ca="1"/>
        <v>Moll</v>
      </c>
      <c r="CO9" s="50" t="e" vm="13">
        <f ca="1"/>
        <v>#VALUE!</v>
      </c>
      <c r="CP9" s="44">
        <f ca="1"/>
        <v>0</v>
      </c>
      <c r="CQ9" s="48" t="e">
        <f ca="1"/>
        <v>#VALUE!</v>
      </c>
      <c r="CR9" s="47">
        <f ca="1"/>
        <v>810.86956521739125</v>
      </c>
    </row>
    <row r="10" spans="1:96">
      <c r="A10" s="44">
        <v>9</v>
      </c>
      <c r="B10" s="44" t="str">
        <v>Moll</v>
      </c>
      <c r="C10" s="44">
        <v>6</v>
      </c>
      <c r="E10" s="44">
        <v>9</v>
      </c>
      <c r="F10" s="44" t="str">
        <v>Champix</v>
      </c>
      <c r="G10" s="45">
        <v>10310</v>
      </c>
      <c r="H10" s="45">
        <v>11597</v>
      </c>
      <c r="I10" s="45">
        <v>11191</v>
      </c>
      <c r="J10" s="45">
        <v>13880</v>
      </c>
      <c r="K10" s="45">
        <v>12029</v>
      </c>
      <c r="L10" s="45">
        <v>10555</v>
      </c>
      <c r="M10" s="45">
        <v>11056</v>
      </c>
      <c r="N10" s="45">
        <v>13148</v>
      </c>
      <c r="O10" s="45">
        <v>14887</v>
      </c>
      <c r="P10" s="45">
        <v>13480</v>
      </c>
      <c r="Q10" s="45">
        <v>10732</v>
      </c>
      <c r="R10" s="45">
        <v>11414</v>
      </c>
      <c r="S10" s="45">
        <v>10582</v>
      </c>
      <c r="T10" s="45">
        <v>20019</v>
      </c>
      <c r="U10" s="45">
        <v>14063</v>
      </c>
      <c r="V10" s="45">
        <v>13727</v>
      </c>
      <c r="W10" s="45">
        <v>10129</v>
      </c>
      <c r="X10" s="45">
        <v>12998</v>
      </c>
      <c r="Y10" s="45">
        <v>10853</v>
      </c>
      <c r="Z10" s="45">
        <v>13826</v>
      </c>
      <c r="AA10" s="46">
        <f ca="1"/>
        <v>7.303240740740741E-4</v>
      </c>
      <c r="AB10" s="46">
        <f ca="1"/>
        <v>8.792824074074074E-4</v>
      </c>
      <c r="AC10" s="46">
        <f ca="1"/>
        <v>8.3229166666666662E-4</v>
      </c>
      <c r="AD10" s="46">
        <f ca="1"/>
        <v>1.1435185185185185E-3</v>
      </c>
      <c r="AE10" s="46">
        <f ca="1"/>
        <v>9.2928240740740742E-4</v>
      </c>
      <c r="AF10" s="46">
        <f ca="1"/>
        <v>7.5868055555555552E-4</v>
      </c>
      <c r="AG10" s="46">
        <f ca="1"/>
        <v>8.1666666666666671E-4</v>
      </c>
      <c r="AH10" s="46">
        <f ca="1"/>
        <v>1.0587962962962964E-3</v>
      </c>
      <c r="AI10" s="46">
        <f ca="1"/>
        <v>1.2600694444444445E-3</v>
      </c>
      <c r="AJ10" s="46">
        <f ca="1"/>
        <v>1.0972222222222223E-3</v>
      </c>
      <c r="AK10" s="46">
        <f ca="1"/>
        <v>7.7916666666666661E-4</v>
      </c>
      <c r="AL10" s="46">
        <f ca="1"/>
        <v>8.5810185185185186E-4</v>
      </c>
      <c r="AM10" s="46">
        <f ca="1"/>
        <v>7.6180555555555561E-4</v>
      </c>
      <c r="AN10" s="46">
        <f ca="1"/>
        <v>1.3910879629629629E-3</v>
      </c>
      <c r="AO10" s="46">
        <f ca="1"/>
        <v>1.1646990740740741E-3</v>
      </c>
      <c r="AP10" s="46">
        <f ca="1"/>
        <v>1.1258101851851852E-3</v>
      </c>
      <c r="AQ10" s="46">
        <f ca="1"/>
        <v>7.0937500000000004E-4</v>
      </c>
      <c r="AR10" s="46">
        <f ca="1"/>
        <v>1.0414351851851852E-3</v>
      </c>
      <c r="AS10" s="46">
        <f ca="1"/>
        <v>7.9317129629629627E-4</v>
      </c>
      <c r="AT10" s="46">
        <f ca="1"/>
        <v>1.1372685185185186E-3</v>
      </c>
      <c r="AU10" s="44">
        <f ca="1"/>
        <v>16</v>
      </c>
      <c r="AV10" s="44">
        <f ca="1"/>
        <v>11</v>
      </c>
      <c r="AW10" s="44">
        <f ca="1"/>
        <v>30</v>
      </c>
      <c r="AX10" s="44">
        <f ca="1"/>
        <v>22</v>
      </c>
      <c r="AY10" s="44">
        <f ca="1"/>
        <v>13</v>
      </c>
      <c r="AZ10" s="44">
        <f ca="1"/>
        <v>21</v>
      </c>
      <c r="BA10" s="44">
        <f ca="1"/>
        <v>27</v>
      </c>
      <c r="BB10" s="44">
        <f ca="1"/>
        <v>12</v>
      </c>
      <c r="BC10" s="44">
        <f ca="1"/>
        <v>10</v>
      </c>
      <c r="BD10" s="44">
        <f ca="1"/>
        <v>10</v>
      </c>
      <c r="BE10" s="44">
        <f ca="1"/>
        <v>24</v>
      </c>
      <c r="BF10" s="44">
        <f ca="1"/>
        <v>14</v>
      </c>
      <c r="BG10" s="44">
        <f ca="1"/>
        <v>22</v>
      </c>
      <c r="BH10" s="44">
        <f ca="1"/>
        <v>29</v>
      </c>
      <c r="BI10" s="44">
        <f ca="1"/>
        <v>11</v>
      </c>
      <c r="BJ10" s="44">
        <f ca="1"/>
        <v>24</v>
      </c>
      <c r="BK10" s="44">
        <f ca="1"/>
        <v>7</v>
      </c>
      <c r="BL10" s="44">
        <f ca="1"/>
        <v>15</v>
      </c>
      <c r="BM10" s="44">
        <f ca="1"/>
        <v>20</v>
      </c>
      <c r="BN10" s="44">
        <f ca="1"/>
        <v>26</v>
      </c>
      <c r="BO10" s="44">
        <f ca="1"/>
        <v>31</v>
      </c>
      <c r="BP10" s="44">
        <f ca="1"/>
        <v>36</v>
      </c>
      <c r="BQ10" s="44">
        <f ca="1"/>
        <v>17</v>
      </c>
      <c r="BR10" s="44">
        <f ca="1"/>
        <v>25</v>
      </c>
      <c r="BS10" s="44">
        <f ca="1"/>
        <v>34</v>
      </c>
      <c r="BT10" s="44">
        <f ca="1"/>
        <v>26</v>
      </c>
      <c r="BU10" s="44">
        <f ca="1"/>
        <v>20</v>
      </c>
      <c r="BV10" s="44">
        <f ca="1"/>
        <v>35</v>
      </c>
      <c r="BW10" s="44">
        <f ca="1"/>
        <v>37</v>
      </c>
      <c r="BX10" s="44">
        <f ca="1"/>
        <v>37</v>
      </c>
      <c r="BY10" s="44">
        <f ca="1"/>
        <v>23</v>
      </c>
      <c r="BZ10" s="44">
        <f ca="1"/>
        <v>33</v>
      </c>
      <c r="CA10" s="44">
        <f ca="1"/>
        <v>25</v>
      </c>
      <c r="CB10" s="44">
        <f ca="1"/>
        <v>18</v>
      </c>
      <c r="CC10" s="44">
        <f ca="1"/>
        <v>36</v>
      </c>
      <c r="CD10" s="44">
        <f ca="1"/>
        <v>23</v>
      </c>
      <c r="CE10" s="44">
        <f ca="1"/>
        <v>40</v>
      </c>
      <c r="CF10" s="44">
        <f ca="1"/>
        <v>32</v>
      </c>
      <c r="CG10" s="44">
        <f ca="1"/>
        <v>27</v>
      </c>
      <c r="CH10" s="44">
        <f ca="1"/>
        <v>21</v>
      </c>
      <c r="CI10" s="47">
        <f ca="1"/>
        <v>626.08695652173913</v>
      </c>
      <c r="CJ10" s="48">
        <f ca="1"/>
        <v>1.9268055555555556E-2</v>
      </c>
      <c r="CK10" s="42">
        <f t="shared" ca="1" si="0"/>
        <v>0</v>
      </c>
      <c r="CM10" s="44">
        <v>9</v>
      </c>
      <c r="CN10" s="44" t="str">
        <f ca="1"/>
        <v>Leyla</v>
      </c>
      <c r="CO10" s="50" t="e" vm="13">
        <f ca="1"/>
        <v>#VALUE!</v>
      </c>
      <c r="CP10" s="44">
        <f ca="1"/>
        <v>0</v>
      </c>
      <c r="CQ10" s="48" t="e">
        <f ca="1"/>
        <v>#VALUE!</v>
      </c>
      <c r="CR10" s="47">
        <f ca="1"/>
        <v>810.86956521739125</v>
      </c>
    </row>
    <row r="11" spans="1:96">
      <c r="A11" s="44">
        <v>10</v>
      </c>
      <c r="B11" s="44" t="str">
        <v>tif</v>
      </c>
      <c r="C11" s="44">
        <v>19</v>
      </c>
      <c r="E11" s="44">
        <v>10</v>
      </c>
      <c r="F11" s="44" t="str">
        <v>Danny</v>
      </c>
      <c r="G11" s="45">
        <v>12274</v>
      </c>
      <c r="H11" s="45">
        <v>14560</v>
      </c>
      <c r="I11" s="45">
        <v>12734</v>
      </c>
      <c r="J11" s="45">
        <v>21076</v>
      </c>
      <c r="K11" s="45">
        <v>14825</v>
      </c>
      <c r="L11" s="45">
        <v>11679</v>
      </c>
      <c r="M11" s="45">
        <v>12801</v>
      </c>
      <c r="N11" s="45">
        <v>21006</v>
      </c>
      <c r="O11" s="45">
        <v>23557</v>
      </c>
      <c r="P11" s="45">
        <v>21378</v>
      </c>
      <c r="Q11" s="45">
        <v>12172</v>
      </c>
      <c r="R11" s="45">
        <v>14168</v>
      </c>
      <c r="S11" s="45">
        <v>13201</v>
      </c>
      <c r="T11" s="45">
        <v>22550</v>
      </c>
      <c r="U11" s="45">
        <v>23597</v>
      </c>
      <c r="V11" s="45">
        <v>15979</v>
      </c>
      <c r="W11" s="45">
        <v>12361</v>
      </c>
      <c r="X11" s="45">
        <v>15814</v>
      </c>
      <c r="Y11" s="45">
        <v>12598</v>
      </c>
      <c r="Z11" s="45">
        <v>21559</v>
      </c>
      <c r="AA11" s="46">
        <f ca="1"/>
        <v>9.5763888888888884E-4</v>
      </c>
      <c r="AB11" s="46">
        <f ca="1"/>
        <v>1.2222222222222222E-3</v>
      </c>
      <c r="AC11" s="46">
        <f ca="1"/>
        <v>1.0108796296296296E-3</v>
      </c>
      <c r="AD11" s="46">
        <f ca="1"/>
        <v>1.5134259259259259E-3</v>
      </c>
      <c r="AE11" s="46">
        <f ca="1"/>
        <v>1.2528935185185184E-3</v>
      </c>
      <c r="AF11" s="46">
        <f ca="1"/>
        <v>8.8877314814814819E-4</v>
      </c>
      <c r="AG11" s="46">
        <f ca="1"/>
        <v>1.0186342592592593E-3</v>
      </c>
      <c r="AH11" s="46">
        <f ca="1"/>
        <v>1.5053240740740741E-3</v>
      </c>
      <c r="AI11" s="46">
        <f ca="1"/>
        <v>1.8005787037037038E-3</v>
      </c>
      <c r="AJ11" s="46">
        <f ca="1"/>
        <v>1.5483796296296296E-3</v>
      </c>
      <c r="AK11" s="46">
        <f ca="1"/>
        <v>9.4583333333333336E-4</v>
      </c>
      <c r="AL11" s="46">
        <f ca="1"/>
        <v>1.1768518518518519E-3</v>
      </c>
      <c r="AM11" s="46">
        <f ca="1"/>
        <v>1.0649305555555555E-3</v>
      </c>
      <c r="AN11" s="46">
        <f ca="1"/>
        <v>1.6840277777777778E-3</v>
      </c>
      <c r="AO11" s="46">
        <f ca="1"/>
        <v>1.8052083333333334E-3</v>
      </c>
      <c r="AP11" s="46">
        <f ca="1"/>
        <v>1.3864583333333333E-3</v>
      </c>
      <c r="AQ11" s="46">
        <f ca="1"/>
        <v>9.6770833333333333E-4</v>
      </c>
      <c r="AR11" s="46">
        <f ca="1"/>
        <v>1.3673611111111111E-3</v>
      </c>
      <c r="AS11" s="46">
        <f ca="1"/>
        <v>9.9513888888888894E-4</v>
      </c>
      <c r="AT11" s="46">
        <f ca="1"/>
        <v>1.5693287037037036E-3</v>
      </c>
      <c r="AU11" s="44">
        <f ca="1"/>
        <v>44</v>
      </c>
      <c r="AV11" s="44">
        <f ca="1"/>
        <v>43</v>
      </c>
      <c r="AW11" s="44">
        <f ca="1"/>
        <v>42</v>
      </c>
      <c r="AX11" s="44">
        <f ca="1"/>
        <v>44</v>
      </c>
      <c r="AY11" s="44">
        <f ca="1"/>
        <v>44</v>
      </c>
      <c r="AZ11" s="44">
        <f ca="1"/>
        <v>38</v>
      </c>
      <c r="BA11" s="44">
        <f ca="1"/>
        <v>41</v>
      </c>
      <c r="BB11" s="44">
        <f ca="1"/>
        <v>44</v>
      </c>
      <c r="BC11" s="44">
        <f ca="1"/>
        <v>42</v>
      </c>
      <c r="BD11" s="44">
        <f ca="1"/>
        <v>45</v>
      </c>
      <c r="BE11" s="44">
        <f ca="1"/>
        <v>42</v>
      </c>
      <c r="BF11" s="44">
        <f ca="1"/>
        <v>44</v>
      </c>
      <c r="BG11" s="44">
        <f ca="1"/>
        <v>44</v>
      </c>
      <c r="BH11" s="44">
        <f ca="1"/>
        <v>42</v>
      </c>
      <c r="BI11" s="44">
        <f ca="1"/>
        <v>45</v>
      </c>
      <c r="BJ11" s="44">
        <f ca="1"/>
        <v>41</v>
      </c>
      <c r="BK11" s="44">
        <f ca="1"/>
        <v>41</v>
      </c>
      <c r="BL11" s="44">
        <f ca="1"/>
        <v>39</v>
      </c>
      <c r="BM11" s="44">
        <f ca="1"/>
        <v>36</v>
      </c>
      <c r="BN11" s="44">
        <f ca="1"/>
        <v>37</v>
      </c>
      <c r="BO11" s="44">
        <f ca="1"/>
        <v>3</v>
      </c>
      <c r="BP11" s="44">
        <f ca="1"/>
        <v>4</v>
      </c>
      <c r="BQ11" s="44">
        <f ca="1"/>
        <v>5</v>
      </c>
      <c r="BR11" s="44">
        <f ca="1"/>
        <v>3</v>
      </c>
      <c r="BS11" s="44">
        <f ca="1"/>
        <v>3</v>
      </c>
      <c r="BT11" s="44">
        <f ca="1"/>
        <v>9</v>
      </c>
      <c r="BU11" s="44">
        <f ca="1"/>
        <v>6</v>
      </c>
      <c r="BV11" s="44">
        <f ca="1"/>
        <v>3</v>
      </c>
      <c r="BW11" s="44">
        <f ca="1"/>
        <v>5</v>
      </c>
      <c r="BX11" s="44">
        <f ca="1"/>
        <v>2</v>
      </c>
      <c r="BY11" s="44">
        <f ca="1"/>
        <v>5</v>
      </c>
      <c r="BZ11" s="44">
        <f ca="1"/>
        <v>3</v>
      </c>
      <c r="CA11" s="44">
        <f ca="1"/>
        <v>3</v>
      </c>
      <c r="CB11" s="44">
        <f ca="1"/>
        <v>5</v>
      </c>
      <c r="CC11" s="44">
        <f ca="1"/>
        <v>2</v>
      </c>
      <c r="CD11" s="44">
        <f ca="1"/>
        <v>6</v>
      </c>
      <c r="CE11" s="44">
        <f ca="1"/>
        <v>6</v>
      </c>
      <c r="CF11" s="44">
        <f ca="1"/>
        <v>8</v>
      </c>
      <c r="CG11" s="44">
        <f ca="1"/>
        <v>11</v>
      </c>
      <c r="CH11" s="44">
        <f ca="1"/>
        <v>10</v>
      </c>
      <c r="CI11" s="47">
        <f ca="1"/>
        <v>110.8695652173913</v>
      </c>
      <c r="CJ11" s="48">
        <f ca="1"/>
        <v>2.5681597222222224E-2</v>
      </c>
      <c r="CK11" s="42">
        <f t="shared" ca="1" si="0"/>
        <v>0</v>
      </c>
      <c r="CM11" s="44">
        <v>10</v>
      </c>
      <c r="CN11" s="44" t="str">
        <f ca="1"/>
        <v>Mike</v>
      </c>
      <c r="CO11" s="50" t="e" vm="12">
        <f ca="1"/>
        <v>#VALUE!</v>
      </c>
      <c r="CP11" s="44">
        <f ca="1"/>
        <v>0</v>
      </c>
      <c r="CQ11" s="48" t="e">
        <f ca="1"/>
        <v>#VALUE!</v>
      </c>
      <c r="CR11" s="47">
        <f ca="1"/>
        <v>794.56521739130426</v>
      </c>
    </row>
    <row r="12" spans="1:96">
      <c r="A12" s="44">
        <v>11</v>
      </c>
      <c r="B12" s="44" t="str">
        <v>Drew</v>
      </c>
      <c r="C12" s="44">
        <v>26</v>
      </c>
      <c r="E12" s="44">
        <v>11</v>
      </c>
      <c r="F12" s="44" t="str">
        <v>Drew</v>
      </c>
      <c r="G12" s="45">
        <v>10451</v>
      </c>
      <c r="H12" s="45">
        <v>12127</v>
      </c>
      <c r="I12" s="45">
        <v>10990</v>
      </c>
      <c r="J12" s="45">
        <v>13687</v>
      </c>
      <c r="K12" s="45">
        <v>12783</v>
      </c>
      <c r="L12" s="45">
        <v>10375</v>
      </c>
      <c r="M12" s="45">
        <v>10738</v>
      </c>
      <c r="N12" s="45">
        <v>13440</v>
      </c>
      <c r="O12" s="45">
        <v>15844</v>
      </c>
      <c r="P12" s="45">
        <v>13948</v>
      </c>
      <c r="Q12" s="45">
        <v>10292</v>
      </c>
      <c r="R12" s="45">
        <v>11733</v>
      </c>
      <c r="S12" s="45">
        <v>10415</v>
      </c>
      <c r="T12" s="45">
        <v>15221</v>
      </c>
      <c r="U12" s="45">
        <v>14763</v>
      </c>
      <c r="V12" s="45">
        <v>12970</v>
      </c>
      <c r="W12" s="45">
        <v>11219</v>
      </c>
      <c r="X12" s="45">
        <v>13406</v>
      </c>
      <c r="Y12" s="45">
        <v>11428</v>
      </c>
      <c r="Z12" s="45">
        <v>13197</v>
      </c>
      <c r="AA12" s="46">
        <f ca="1"/>
        <v>7.4664351851851855E-4</v>
      </c>
      <c r="AB12" s="46">
        <f ca="1"/>
        <v>9.4062499999999995E-4</v>
      </c>
      <c r="AC12" s="46">
        <f ca="1"/>
        <v>8.0902777777777776E-4</v>
      </c>
      <c r="AD12" s="46">
        <f ca="1"/>
        <v>1.1211805555555556E-3</v>
      </c>
      <c r="AE12" s="46">
        <f ca="1"/>
        <v>1.016550925925926E-3</v>
      </c>
      <c r="AF12" s="46">
        <f ca="1"/>
        <v>7.378472222222222E-4</v>
      </c>
      <c r="AG12" s="46">
        <f ca="1"/>
        <v>7.7986111111111116E-4</v>
      </c>
      <c r="AH12" s="46">
        <f ca="1"/>
        <v>1.0925925925925925E-3</v>
      </c>
      <c r="AI12" s="46">
        <f ca="1"/>
        <v>1.3708333333333333E-3</v>
      </c>
      <c r="AJ12" s="46">
        <f ca="1"/>
        <v>1.1513888888888889E-3</v>
      </c>
      <c r="AK12" s="46">
        <f ca="1"/>
        <v>7.2824074074074078E-4</v>
      </c>
      <c r="AL12" s="46">
        <f ca="1"/>
        <v>8.9502314814814815E-4</v>
      </c>
      <c r="AM12" s="46">
        <f ca="1"/>
        <v>7.424768518518518E-4</v>
      </c>
      <c r="AN12" s="46">
        <f ca="1"/>
        <v>1.2987268518518519E-3</v>
      </c>
      <c r="AO12" s="46">
        <f ca="1"/>
        <v>1.2457175925925925E-3</v>
      </c>
      <c r="AP12" s="46">
        <f ca="1"/>
        <v>1.0381944444444445E-3</v>
      </c>
      <c r="AQ12" s="46">
        <f ca="1"/>
        <v>8.3553240740740745E-4</v>
      </c>
      <c r="AR12" s="46">
        <f ca="1"/>
        <v>1.0886574074074073E-3</v>
      </c>
      <c r="AS12" s="46">
        <f ca="1"/>
        <v>8.5972222222222222E-4</v>
      </c>
      <c r="AT12" s="46">
        <f ca="1"/>
        <v>1.0644675925925925E-3</v>
      </c>
      <c r="AU12" s="44">
        <f ca="1"/>
        <v>25</v>
      </c>
      <c r="AV12" s="44">
        <f ca="1"/>
        <v>21</v>
      </c>
      <c r="AW12" s="44">
        <f ca="1"/>
        <v>21</v>
      </c>
      <c r="AX12" s="44">
        <f ca="1"/>
        <v>20</v>
      </c>
      <c r="AY12" s="44">
        <f ca="1"/>
        <v>31</v>
      </c>
      <c r="AZ12" s="44">
        <f ca="1"/>
        <v>14</v>
      </c>
      <c r="BA12" s="44">
        <f ca="1"/>
        <v>24</v>
      </c>
      <c r="BB12" s="44">
        <f ca="1"/>
        <v>20</v>
      </c>
      <c r="BC12" s="44">
        <f ca="1"/>
        <v>23</v>
      </c>
      <c r="BD12" s="44">
        <f ca="1"/>
        <v>22</v>
      </c>
      <c r="BE12" s="44">
        <f ca="1"/>
        <v>16</v>
      </c>
      <c r="BF12" s="44">
        <f ca="1"/>
        <v>17</v>
      </c>
      <c r="BG12" s="44">
        <f ca="1"/>
        <v>19</v>
      </c>
      <c r="BH12" s="44">
        <f ca="1"/>
        <v>22</v>
      </c>
      <c r="BI12" s="44">
        <f ca="1"/>
        <v>17</v>
      </c>
      <c r="BJ12" s="44">
        <f ca="1"/>
        <v>15</v>
      </c>
      <c r="BK12" s="44">
        <f ca="1"/>
        <v>23</v>
      </c>
      <c r="BL12" s="44">
        <f ca="1"/>
        <v>21</v>
      </c>
      <c r="BM12" s="44">
        <f ca="1"/>
        <v>25</v>
      </c>
      <c r="BN12" s="44">
        <f ca="1"/>
        <v>9</v>
      </c>
      <c r="BO12" s="44">
        <f ca="1"/>
        <v>22</v>
      </c>
      <c r="BP12" s="44">
        <f ca="1"/>
        <v>26</v>
      </c>
      <c r="BQ12" s="44">
        <f ca="1"/>
        <v>26</v>
      </c>
      <c r="BR12" s="44">
        <f ca="1"/>
        <v>27</v>
      </c>
      <c r="BS12" s="44">
        <f ca="1"/>
        <v>16</v>
      </c>
      <c r="BT12" s="44">
        <f ca="1"/>
        <v>33</v>
      </c>
      <c r="BU12" s="44">
        <f ca="1"/>
        <v>23</v>
      </c>
      <c r="BV12" s="44">
        <f ca="1"/>
        <v>27</v>
      </c>
      <c r="BW12" s="44">
        <f ca="1"/>
        <v>24</v>
      </c>
      <c r="BX12" s="44">
        <f ca="1"/>
        <v>25</v>
      </c>
      <c r="BY12" s="44">
        <f ca="1"/>
        <v>31</v>
      </c>
      <c r="BZ12" s="44">
        <f ca="1"/>
        <v>30</v>
      </c>
      <c r="CA12" s="44">
        <f ca="1"/>
        <v>28</v>
      </c>
      <c r="CB12" s="44">
        <f ca="1"/>
        <v>25</v>
      </c>
      <c r="CC12" s="44">
        <f ca="1"/>
        <v>30</v>
      </c>
      <c r="CD12" s="44">
        <f ca="1"/>
        <v>32</v>
      </c>
      <c r="CE12" s="44">
        <f ca="1"/>
        <v>24</v>
      </c>
      <c r="CF12" s="44">
        <f ca="1"/>
        <v>26</v>
      </c>
      <c r="CG12" s="44">
        <f ca="1"/>
        <v>22</v>
      </c>
      <c r="CH12" s="44">
        <f ca="1"/>
        <v>38</v>
      </c>
      <c r="CI12" s="47">
        <f ca="1"/>
        <v>581.52173913043487</v>
      </c>
      <c r="CJ12" s="48">
        <f ca="1"/>
        <v>1.9563310185185187E-2</v>
      </c>
      <c r="CK12" s="42">
        <f t="shared" ca="1" si="0"/>
        <v>0</v>
      </c>
      <c r="CM12" s="44">
        <v>11</v>
      </c>
      <c r="CN12" s="44" t="str">
        <f ca="1"/>
        <v>Onwa</v>
      </c>
      <c r="CO12" s="50" t="e" vm="16">
        <f ca="1"/>
        <v>#VALUE!</v>
      </c>
      <c r="CP12" s="44">
        <f ca="1"/>
        <v>0</v>
      </c>
      <c r="CQ12" s="48" t="e">
        <f ca="1"/>
        <v>#VALUE!</v>
      </c>
      <c r="CR12" s="47">
        <f ca="1"/>
        <v>794.56521739130426</v>
      </c>
    </row>
    <row r="13" spans="1:96">
      <c r="A13" s="44">
        <v>12</v>
      </c>
      <c r="B13" s="44" t="str">
        <v>Edwin</v>
      </c>
      <c r="C13" s="44">
        <v>23</v>
      </c>
      <c r="E13" s="44">
        <v>12</v>
      </c>
      <c r="F13" s="44" t="str">
        <v>Edwin</v>
      </c>
      <c r="G13" s="45">
        <v>10766</v>
      </c>
      <c r="H13" s="45">
        <v>12226</v>
      </c>
      <c r="I13" s="45">
        <v>10917</v>
      </c>
      <c r="J13" s="45">
        <v>14666</v>
      </c>
      <c r="K13" s="45">
        <v>12493</v>
      </c>
      <c r="L13" s="45">
        <v>10563</v>
      </c>
      <c r="M13" s="45">
        <v>11840</v>
      </c>
      <c r="N13" s="45">
        <v>13573</v>
      </c>
      <c r="O13" s="45">
        <v>15571</v>
      </c>
      <c r="P13" s="45">
        <v>14614</v>
      </c>
      <c r="Q13" s="45">
        <v>10664</v>
      </c>
      <c r="R13" s="45">
        <v>11762</v>
      </c>
      <c r="S13" s="45">
        <v>10610</v>
      </c>
      <c r="T13" s="45">
        <v>15713</v>
      </c>
      <c r="U13" s="45">
        <v>15669</v>
      </c>
      <c r="V13" s="45">
        <v>12895</v>
      </c>
      <c r="W13" s="45">
        <v>11406</v>
      </c>
      <c r="X13" s="45">
        <v>13191</v>
      </c>
      <c r="Y13" s="45">
        <v>11484</v>
      </c>
      <c r="Z13" s="45">
        <v>13257</v>
      </c>
      <c r="AA13" s="46">
        <f ca="1"/>
        <v>7.8310185185185188E-4</v>
      </c>
      <c r="AB13" s="46">
        <f ca="1"/>
        <v>9.5208333333333332E-4</v>
      </c>
      <c r="AC13" s="46">
        <f ca="1"/>
        <v>8.0057870370370374E-4</v>
      </c>
      <c r="AD13" s="46">
        <f ca="1"/>
        <v>1.2344907407407406E-3</v>
      </c>
      <c r="AE13" s="46">
        <f ca="1"/>
        <v>9.8298611111111113E-4</v>
      </c>
      <c r="AF13" s="46">
        <f ca="1"/>
        <v>7.5960648148148144E-4</v>
      </c>
      <c r="AG13" s="46">
        <f ca="1"/>
        <v>9.0740740740740745E-4</v>
      </c>
      <c r="AH13" s="46">
        <f ca="1"/>
        <v>1.107986111111111E-3</v>
      </c>
      <c r="AI13" s="46">
        <f ca="1"/>
        <v>1.3392361111111111E-3</v>
      </c>
      <c r="AJ13" s="46">
        <f ca="1"/>
        <v>1.2284722222222222E-3</v>
      </c>
      <c r="AK13" s="46">
        <f ca="1"/>
        <v>7.7129629629629629E-4</v>
      </c>
      <c r="AL13" s="46">
        <f ca="1"/>
        <v>8.9837962962962961E-4</v>
      </c>
      <c r="AM13" s="46">
        <f ca="1"/>
        <v>7.6504629629629633E-4</v>
      </c>
      <c r="AN13" s="46">
        <f ca="1"/>
        <v>1.3556712962962962E-3</v>
      </c>
      <c r="AO13" s="46">
        <f ca="1"/>
        <v>1.3505787037037037E-3</v>
      </c>
      <c r="AP13" s="46">
        <f ca="1"/>
        <v>1.0295138888888888E-3</v>
      </c>
      <c r="AQ13" s="46">
        <f ca="1"/>
        <v>8.5717592592592594E-4</v>
      </c>
      <c r="AR13" s="46">
        <f ca="1"/>
        <v>1.0637731481481481E-3</v>
      </c>
      <c r="AS13" s="46">
        <f ca="1"/>
        <v>8.6620370370370367E-4</v>
      </c>
      <c r="AT13" s="46">
        <f ca="1"/>
        <v>1.071412037037037E-3</v>
      </c>
      <c r="AU13" s="44">
        <f ca="1"/>
        <v>29</v>
      </c>
      <c r="AV13" s="44">
        <f ca="1"/>
        <v>26</v>
      </c>
      <c r="AW13" s="44">
        <f ca="1"/>
        <v>16</v>
      </c>
      <c r="AX13" s="44">
        <f ca="1"/>
        <v>32</v>
      </c>
      <c r="AY13" s="44">
        <f ca="1"/>
        <v>23</v>
      </c>
      <c r="AZ13" s="44">
        <f ca="1"/>
        <v>22</v>
      </c>
      <c r="BA13" s="44">
        <f ca="1"/>
        <v>35</v>
      </c>
      <c r="BB13" s="44">
        <f ca="1"/>
        <v>26</v>
      </c>
      <c r="BC13" s="44">
        <f ca="1"/>
        <v>17</v>
      </c>
      <c r="BD13" s="44">
        <f ca="1"/>
        <v>29</v>
      </c>
      <c r="BE13" s="44">
        <f ca="1"/>
        <v>23</v>
      </c>
      <c r="BF13" s="44">
        <f ca="1"/>
        <v>18</v>
      </c>
      <c r="BG13" s="44">
        <f ca="1"/>
        <v>24</v>
      </c>
      <c r="BH13" s="44">
        <f ca="1"/>
        <v>27</v>
      </c>
      <c r="BI13" s="44">
        <f ca="1"/>
        <v>28</v>
      </c>
      <c r="BJ13" s="44">
        <f ca="1"/>
        <v>14</v>
      </c>
      <c r="BK13" s="44">
        <f ca="1"/>
        <v>27</v>
      </c>
      <c r="BL13" s="44">
        <f ca="1"/>
        <v>19</v>
      </c>
      <c r="BM13" s="44">
        <f ca="1"/>
        <v>26</v>
      </c>
      <c r="BN13" s="44">
        <f ca="1"/>
        <v>11</v>
      </c>
      <c r="BO13" s="44">
        <f ca="1"/>
        <v>18</v>
      </c>
      <c r="BP13" s="44">
        <f ca="1"/>
        <v>21</v>
      </c>
      <c r="BQ13" s="44">
        <f ca="1"/>
        <v>31</v>
      </c>
      <c r="BR13" s="44">
        <f ca="1"/>
        <v>15</v>
      </c>
      <c r="BS13" s="44">
        <f ca="1"/>
        <v>24</v>
      </c>
      <c r="BT13" s="44">
        <f ca="1"/>
        <v>25</v>
      </c>
      <c r="BU13" s="44">
        <f ca="1"/>
        <v>12</v>
      </c>
      <c r="BV13" s="44">
        <f ca="1"/>
        <v>21</v>
      </c>
      <c r="BW13" s="44">
        <f ca="1"/>
        <v>30</v>
      </c>
      <c r="BX13" s="44">
        <f ca="1"/>
        <v>18</v>
      </c>
      <c r="BY13" s="44">
        <f ca="1"/>
        <v>24</v>
      </c>
      <c r="BZ13" s="44">
        <f ca="1"/>
        <v>29</v>
      </c>
      <c r="CA13" s="44">
        <f ca="1"/>
        <v>23</v>
      </c>
      <c r="CB13" s="44">
        <f ca="1"/>
        <v>20</v>
      </c>
      <c r="CC13" s="44">
        <f ca="1"/>
        <v>19</v>
      </c>
      <c r="CD13" s="44">
        <f ca="1"/>
        <v>33</v>
      </c>
      <c r="CE13" s="44">
        <f ca="1"/>
        <v>20</v>
      </c>
      <c r="CF13" s="44">
        <f ca="1"/>
        <v>28</v>
      </c>
      <c r="CG13" s="44">
        <f ca="1"/>
        <v>21</v>
      </c>
      <c r="CH13" s="44">
        <f ca="1"/>
        <v>36</v>
      </c>
      <c r="CI13" s="47">
        <f ca="1"/>
        <v>508.695652173913</v>
      </c>
      <c r="CJ13" s="48">
        <f ca="1"/>
        <v>2.0124999999999994E-2</v>
      </c>
      <c r="CK13" s="42">
        <f t="shared" ca="1" si="0"/>
        <v>0</v>
      </c>
      <c r="CM13" s="44">
        <v>12</v>
      </c>
      <c r="CN13" s="44" t="str">
        <f ca="1"/>
        <v>Geo</v>
      </c>
      <c r="CO13" s="50" t="e" vm="15">
        <f ca="1"/>
        <v>#VALUE!</v>
      </c>
      <c r="CP13" s="44">
        <f ca="1"/>
        <v>0</v>
      </c>
      <c r="CQ13" s="48" t="e">
        <f ca="1"/>
        <v>#VALUE!</v>
      </c>
      <c r="CR13" s="47">
        <f ca="1"/>
        <v>776.08695652173924</v>
      </c>
    </row>
    <row r="14" spans="1:96">
      <c r="A14" s="44">
        <v>13</v>
      </c>
      <c r="B14" s="44" t="str">
        <v>Zip</v>
      </c>
      <c r="C14" s="44">
        <v>31</v>
      </c>
      <c r="E14" s="44">
        <v>13</v>
      </c>
      <c r="F14" s="44" t="str">
        <v>FF</v>
      </c>
      <c r="G14" s="45">
        <v>10913</v>
      </c>
      <c r="H14" s="45">
        <v>12841</v>
      </c>
      <c r="I14" s="45">
        <v>11376</v>
      </c>
      <c r="J14" s="45">
        <v>14644</v>
      </c>
      <c r="K14" s="45">
        <v>12895</v>
      </c>
      <c r="L14" s="45">
        <v>10791</v>
      </c>
      <c r="M14" s="45">
        <v>11152</v>
      </c>
      <c r="N14" s="45">
        <v>14501</v>
      </c>
      <c r="O14" s="45">
        <v>20192</v>
      </c>
      <c r="P14" s="45">
        <v>14767</v>
      </c>
      <c r="Q14" s="45">
        <v>11558</v>
      </c>
      <c r="R14" s="45">
        <v>12117</v>
      </c>
      <c r="S14" s="45">
        <v>10712</v>
      </c>
      <c r="T14" s="45">
        <v>14702</v>
      </c>
      <c r="U14" s="45">
        <v>15874</v>
      </c>
      <c r="V14" s="45">
        <v>14260</v>
      </c>
      <c r="W14" s="45">
        <v>11522</v>
      </c>
      <c r="X14" s="45">
        <v>14537</v>
      </c>
      <c r="Y14" s="45">
        <v>12564</v>
      </c>
      <c r="Z14" s="45">
        <v>13778</v>
      </c>
      <c r="AA14" s="46">
        <f ca="1"/>
        <v>8.0011574074074078E-4</v>
      </c>
      <c r="AB14" s="46">
        <f ca="1"/>
        <v>1.0232638888888889E-3</v>
      </c>
      <c r="AC14" s="46">
        <f ca="1"/>
        <v>8.5370370370370374E-4</v>
      </c>
      <c r="AD14" s="46">
        <f ca="1"/>
        <v>1.2319444444444444E-3</v>
      </c>
      <c r="AE14" s="46">
        <f ca="1"/>
        <v>1.0295138888888888E-3</v>
      </c>
      <c r="AF14" s="46">
        <f ca="1"/>
        <v>7.8599537037037039E-4</v>
      </c>
      <c r="AG14" s="46">
        <f ca="1"/>
        <v>8.2777777777777776E-4</v>
      </c>
      <c r="AH14" s="46">
        <f ca="1"/>
        <v>1.2153935185185184E-3</v>
      </c>
      <c r="AI14" s="46">
        <f ca="1"/>
        <v>1.411111111111111E-3</v>
      </c>
      <c r="AJ14" s="46">
        <f ca="1"/>
        <v>1.2461805555555555E-3</v>
      </c>
      <c r="AK14" s="46">
        <f ca="1"/>
        <v>8.7476851851851854E-4</v>
      </c>
      <c r="AL14" s="46">
        <f ca="1"/>
        <v>9.3946759259259255E-4</v>
      </c>
      <c r="AM14" s="46">
        <f ca="1"/>
        <v>7.7685185185185181E-4</v>
      </c>
      <c r="AN14" s="46">
        <f ca="1"/>
        <v>1.2386574074074075E-3</v>
      </c>
      <c r="AO14" s="46">
        <f ca="1"/>
        <v>1.3743055555555555E-3</v>
      </c>
      <c r="AP14" s="46">
        <f ca="1"/>
        <v>1.1875E-3</v>
      </c>
      <c r="AQ14" s="46">
        <f ca="1"/>
        <v>8.706018518518519E-4</v>
      </c>
      <c r="AR14" s="46">
        <f ca="1"/>
        <v>1.2195601851851853E-3</v>
      </c>
      <c r="AS14" s="46">
        <f ca="1"/>
        <v>9.9120370370370378E-4</v>
      </c>
      <c r="AT14" s="46">
        <f ca="1"/>
        <v>1.1317129629629631E-3</v>
      </c>
      <c r="AU14" s="44">
        <f ca="1"/>
        <v>33</v>
      </c>
      <c r="AV14" s="44">
        <f ca="1"/>
        <v>33</v>
      </c>
      <c r="AW14" s="44">
        <f ca="1"/>
        <v>32</v>
      </c>
      <c r="AX14" s="44">
        <f ca="1"/>
        <v>31</v>
      </c>
      <c r="AY14" s="44">
        <f ca="1"/>
        <v>33</v>
      </c>
      <c r="AZ14" s="44">
        <f ca="1"/>
        <v>27</v>
      </c>
      <c r="BA14" s="44">
        <f ca="1"/>
        <v>28</v>
      </c>
      <c r="BB14" s="44">
        <f ca="1"/>
        <v>32</v>
      </c>
      <c r="BC14" s="44">
        <f ca="1"/>
        <v>29</v>
      </c>
      <c r="BD14" s="44">
        <f ca="1"/>
        <v>31</v>
      </c>
      <c r="BE14" s="44">
        <f ca="1"/>
        <v>36</v>
      </c>
      <c r="BF14" s="44">
        <f ca="1"/>
        <v>26</v>
      </c>
      <c r="BG14" s="44">
        <f ca="1"/>
        <v>27</v>
      </c>
      <c r="BH14" s="44">
        <f ca="1"/>
        <v>13</v>
      </c>
      <c r="BI14" s="44">
        <f ca="1"/>
        <v>30</v>
      </c>
      <c r="BJ14" s="44">
        <f ca="1"/>
        <v>30</v>
      </c>
      <c r="BK14" s="44">
        <f ca="1"/>
        <v>30</v>
      </c>
      <c r="BL14" s="44">
        <f ca="1"/>
        <v>29</v>
      </c>
      <c r="BM14" s="44">
        <f ca="1"/>
        <v>35</v>
      </c>
      <c r="BN14" s="44">
        <f ca="1"/>
        <v>24</v>
      </c>
      <c r="BO14" s="44">
        <f ca="1"/>
        <v>14</v>
      </c>
      <c r="BP14" s="44">
        <f ca="1"/>
        <v>14</v>
      </c>
      <c r="BQ14" s="44">
        <f ca="1"/>
        <v>15</v>
      </c>
      <c r="BR14" s="44">
        <f ca="1"/>
        <v>16</v>
      </c>
      <c r="BS14" s="44">
        <f ca="1"/>
        <v>14</v>
      </c>
      <c r="BT14" s="44">
        <f ca="1"/>
        <v>20</v>
      </c>
      <c r="BU14" s="44">
        <f ca="1"/>
        <v>19</v>
      </c>
      <c r="BV14" s="44">
        <f ca="1"/>
        <v>15</v>
      </c>
      <c r="BW14" s="44">
        <f ca="1"/>
        <v>18</v>
      </c>
      <c r="BX14" s="44">
        <f ca="1"/>
        <v>16</v>
      </c>
      <c r="BY14" s="44">
        <f ca="1"/>
        <v>11</v>
      </c>
      <c r="BZ14" s="44">
        <f ca="1"/>
        <v>21</v>
      </c>
      <c r="CA14" s="44">
        <f ca="1"/>
        <v>20</v>
      </c>
      <c r="CB14" s="44">
        <f ca="1"/>
        <v>34</v>
      </c>
      <c r="CC14" s="44">
        <f ca="1"/>
        <v>17</v>
      </c>
      <c r="CD14" s="44">
        <f ca="1"/>
        <v>17</v>
      </c>
      <c r="CE14" s="44">
        <f ca="1"/>
        <v>17</v>
      </c>
      <c r="CF14" s="44">
        <f ca="1"/>
        <v>18</v>
      </c>
      <c r="CG14" s="44">
        <f ca="1"/>
        <v>12</v>
      </c>
      <c r="CH14" s="44">
        <f ca="1"/>
        <v>23</v>
      </c>
      <c r="CI14" s="47">
        <f ca="1"/>
        <v>381.52173913043481</v>
      </c>
      <c r="CJ14" s="48">
        <f ca="1"/>
        <v>2.1029629629629627E-2</v>
      </c>
      <c r="CK14" s="42">
        <f t="shared" ca="1" si="0"/>
        <v>0</v>
      </c>
      <c r="CM14" s="44">
        <v>13</v>
      </c>
      <c r="CN14" s="44" t="str">
        <f ca="1"/>
        <v>Flo</v>
      </c>
      <c r="CO14" s="50" t="e" vm="15">
        <f ca="1"/>
        <v>#VALUE!</v>
      </c>
      <c r="CP14" s="44">
        <f ca="1"/>
        <v>0</v>
      </c>
      <c r="CQ14" s="48" t="e">
        <f ca="1"/>
        <v>#VALUE!</v>
      </c>
      <c r="CR14" s="47">
        <f ca="1"/>
        <v>678.26086956521738</v>
      </c>
    </row>
    <row r="15" spans="1:96">
      <c r="A15" s="44">
        <v>14</v>
      </c>
      <c r="B15" s="44" t="str">
        <v>Lenain</v>
      </c>
      <c r="C15" s="44">
        <v>24</v>
      </c>
      <c r="E15" s="44">
        <v>14</v>
      </c>
      <c r="F15" s="44" t="str">
        <v>Flo</v>
      </c>
      <c r="G15" s="45">
        <v>10509</v>
      </c>
      <c r="H15" s="45">
        <v>11800</v>
      </c>
      <c r="I15" s="45">
        <v>10867</v>
      </c>
      <c r="J15" s="45">
        <v>13971</v>
      </c>
      <c r="K15" s="45">
        <v>11989</v>
      </c>
      <c r="L15" s="45">
        <v>10592</v>
      </c>
      <c r="M15" s="45">
        <v>10507</v>
      </c>
      <c r="N15" s="45">
        <v>13544</v>
      </c>
      <c r="O15" s="45">
        <v>15494</v>
      </c>
      <c r="P15" s="45">
        <v>13798</v>
      </c>
      <c r="Q15" s="45">
        <v>10097</v>
      </c>
      <c r="R15" s="45">
        <v>11390</v>
      </c>
      <c r="S15" s="45">
        <v>10151</v>
      </c>
      <c r="T15" s="45">
        <v>14459</v>
      </c>
      <c r="U15" s="45">
        <v>14029</v>
      </c>
      <c r="V15" s="45">
        <v>12976</v>
      </c>
      <c r="W15" s="45">
        <v>11223</v>
      </c>
      <c r="X15" s="45">
        <v>12841</v>
      </c>
      <c r="Y15" s="45">
        <v>10568</v>
      </c>
      <c r="Z15" s="45">
        <v>13229</v>
      </c>
      <c r="AA15" s="46">
        <f ca="1"/>
        <v>7.5335648148148148E-4</v>
      </c>
      <c r="AB15" s="46">
        <f ca="1"/>
        <v>9.0277777777777774E-4</v>
      </c>
      <c r="AC15" s="46">
        <f ca="1"/>
        <v>7.9479166666666663E-4</v>
      </c>
      <c r="AD15" s="46">
        <f ca="1"/>
        <v>1.154050925925926E-3</v>
      </c>
      <c r="AE15" s="46">
        <f ca="1"/>
        <v>9.2465277777777782E-4</v>
      </c>
      <c r="AF15" s="46">
        <f ca="1"/>
        <v>7.6296296296296301E-4</v>
      </c>
      <c r="AG15" s="46">
        <f ca="1"/>
        <v>7.53125E-4</v>
      </c>
      <c r="AH15" s="46">
        <f ca="1"/>
        <v>1.1046296296296297E-3</v>
      </c>
      <c r="AI15" s="46">
        <f ca="1"/>
        <v>1.330324074074074E-3</v>
      </c>
      <c r="AJ15" s="46">
        <f ca="1"/>
        <v>1.1340277777777779E-3</v>
      </c>
      <c r="AK15" s="46">
        <f ca="1"/>
        <v>7.0567129629629625E-4</v>
      </c>
      <c r="AL15" s="46">
        <f ca="1"/>
        <v>8.553240740740741E-4</v>
      </c>
      <c r="AM15" s="46">
        <f ca="1"/>
        <v>7.1192129629629633E-4</v>
      </c>
      <c r="AN15" s="46">
        <f ca="1"/>
        <v>1.2105324074074073E-3</v>
      </c>
      <c r="AO15" s="46">
        <f ca="1"/>
        <v>1.1607638888888889E-3</v>
      </c>
      <c r="AP15" s="46">
        <f ca="1"/>
        <v>1.0388888888888889E-3</v>
      </c>
      <c r="AQ15" s="46">
        <f ca="1"/>
        <v>8.3599537037037041E-4</v>
      </c>
      <c r="AR15" s="46">
        <f ca="1"/>
        <v>1.0232638888888889E-3</v>
      </c>
      <c r="AS15" s="46">
        <f ca="1"/>
        <v>7.6018518518518514E-4</v>
      </c>
      <c r="AT15" s="46">
        <f ca="1"/>
        <v>1.0681712962962962E-3</v>
      </c>
      <c r="AU15" s="44">
        <f ca="1"/>
        <v>27</v>
      </c>
      <c r="AV15" s="44">
        <f ca="1"/>
        <v>18</v>
      </c>
      <c r="AW15" s="44">
        <f ca="1"/>
        <v>12</v>
      </c>
      <c r="AX15" s="44">
        <f ca="1"/>
        <v>23</v>
      </c>
      <c r="AY15" s="44">
        <f ca="1"/>
        <v>11</v>
      </c>
      <c r="AZ15" s="44">
        <f ca="1"/>
        <v>23</v>
      </c>
      <c r="BA15" s="44">
        <f ca="1"/>
        <v>11</v>
      </c>
      <c r="BB15" s="44">
        <f ca="1"/>
        <v>25</v>
      </c>
      <c r="BC15" s="44">
        <f ca="1"/>
        <v>16</v>
      </c>
      <c r="BD15" s="44">
        <f ca="1"/>
        <v>15</v>
      </c>
      <c r="BE15" s="44">
        <f ca="1"/>
        <v>13</v>
      </c>
      <c r="BF15" s="44">
        <f ca="1"/>
        <v>13</v>
      </c>
      <c r="BG15" s="44">
        <f ca="1"/>
        <v>14</v>
      </c>
      <c r="BH15" s="44">
        <f ca="1"/>
        <v>10</v>
      </c>
      <c r="BI15" s="44">
        <f ca="1"/>
        <v>9</v>
      </c>
      <c r="BJ15" s="44">
        <f ca="1"/>
        <v>16</v>
      </c>
      <c r="BK15" s="44">
        <f ca="1"/>
        <v>24</v>
      </c>
      <c r="BL15" s="44">
        <f ca="1"/>
        <v>14</v>
      </c>
      <c r="BM15" s="44">
        <f ca="1"/>
        <v>12</v>
      </c>
      <c r="BN15" s="44">
        <f ca="1"/>
        <v>10</v>
      </c>
      <c r="BO15" s="44">
        <f ca="1"/>
        <v>20</v>
      </c>
      <c r="BP15" s="44">
        <f ca="1"/>
        <v>29</v>
      </c>
      <c r="BQ15" s="44">
        <f ca="1"/>
        <v>35</v>
      </c>
      <c r="BR15" s="44">
        <f ca="1"/>
        <v>24</v>
      </c>
      <c r="BS15" s="44">
        <f ca="1"/>
        <v>36</v>
      </c>
      <c r="BT15" s="44">
        <f ca="1"/>
        <v>24</v>
      </c>
      <c r="BU15" s="44">
        <f ca="1"/>
        <v>36</v>
      </c>
      <c r="BV15" s="44">
        <f ca="1"/>
        <v>22</v>
      </c>
      <c r="BW15" s="44">
        <f ca="1"/>
        <v>31</v>
      </c>
      <c r="BX15" s="44">
        <f ca="1"/>
        <v>32</v>
      </c>
      <c r="BY15" s="44">
        <f ca="1"/>
        <v>34</v>
      </c>
      <c r="BZ15" s="44">
        <f ca="1"/>
        <v>34</v>
      </c>
      <c r="CA15" s="44">
        <f ca="1"/>
        <v>33</v>
      </c>
      <c r="CB15" s="44">
        <f ca="1"/>
        <v>37</v>
      </c>
      <c r="CC15" s="44">
        <f ca="1"/>
        <v>38</v>
      </c>
      <c r="CD15" s="44">
        <f ca="1"/>
        <v>31</v>
      </c>
      <c r="CE15" s="44">
        <f ca="1"/>
        <v>23</v>
      </c>
      <c r="CF15" s="44">
        <f ca="1"/>
        <v>33</v>
      </c>
      <c r="CG15" s="44">
        <f ca="1"/>
        <v>35</v>
      </c>
      <c r="CH15" s="44">
        <f ca="1"/>
        <v>37</v>
      </c>
      <c r="CI15" s="47">
        <f ca="1"/>
        <v>678.26086956521738</v>
      </c>
      <c r="CJ15" s="48">
        <f ca="1"/>
        <v>1.8985416666666668E-2</v>
      </c>
      <c r="CK15" s="42">
        <f t="shared" ca="1" si="0"/>
        <v>0</v>
      </c>
      <c r="CM15" s="44">
        <v>14</v>
      </c>
      <c r="CN15" s="44" t="str">
        <f ca="1"/>
        <v>Kasmo</v>
      </c>
      <c r="CO15" s="50" t="e" vm="16">
        <f ca="1"/>
        <v>#VALUE!</v>
      </c>
      <c r="CP15" s="44">
        <f ca="1"/>
        <v>0</v>
      </c>
      <c r="CQ15" s="48" t="e">
        <f ca="1"/>
        <v>#VALUE!</v>
      </c>
      <c r="CR15" s="47">
        <f ca="1"/>
        <v>644.56521739130437</v>
      </c>
    </row>
    <row r="16" spans="1:96">
      <c r="A16" s="44">
        <v>15</v>
      </c>
      <c r="B16" s="44" t="str">
        <v>Flo</v>
      </c>
      <c r="C16" s="44">
        <v>10</v>
      </c>
      <c r="E16" s="44">
        <v>15</v>
      </c>
      <c r="F16" s="44" t="str">
        <v>Geo</v>
      </c>
      <c r="G16" s="45">
        <v>10224</v>
      </c>
      <c r="H16" s="45">
        <v>11524</v>
      </c>
      <c r="I16" s="45">
        <v>10857</v>
      </c>
      <c r="J16" s="45">
        <v>13444</v>
      </c>
      <c r="K16" s="45">
        <v>11946</v>
      </c>
      <c r="L16" s="45">
        <v>10385</v>
      </c>
      <c r="M16" s="45">
        <v>10529</v>
      </c>
      <c r="N16" s="45">
        <v>13112</v>
      </c>
      <c r="O16" s="45">
        <v>14783</v>
      </c>
      <c r="P16" s="45">
        <v>13408</v>
      </c>
      <c r="Q16" s="45">
        <v>10602</v>
      </c>
      <c r="R16" s="45">
        <v>11036</v>
      </c>
      <c r="S16" s="45">
        <v>5771</v>
      </c>
      <c r="T16" s="45">
        <v>15416</v>
      </c>
      <c r="U16" s="45">
        <v>14061</v>
      </c>
      <c r="V16" s="45">
        <v>12264</v>
      </c>
      <c r="W16" s="45">
        <v>10803</v>
      </c>
      <c r="X16" s="45">
        <v>12799</v>
      </c>
      <c r="Y16" s="45">
        <v>10180</v>
      </c>
      <c r="Z16" s="45">
        <v>13122</v>
      </c>
      <c r="AA16" s="46">
        <f ca="1"/>
        <v>7.2037037037037035E-4</v>
      </c>
      <c r="AB16" s="46">
        <f ca="1"/>
        <v>8.7083333333333338E-4</v>
      </c>
      <c r="AC16" s="46">
        <f ca="1"/>
        <v>7.9363425925925923E-4</v>
      </c>
      <c r="AD16" s="46">
        <f ca="1"/>
        <v>1.0930555555555557E-3</v>
      </c>
      <c r="AE16" s="46">
        <f ca="1"/>
        <v>9.1967592592592589E-4</v>
      </c>
      <c r="AF16" s="46">
        <f ca="1"/>
        <v>7.390046296296296E-4</v>
      </c>
      <c r="AG16" s="46">
        <f ca="1"/>
        <v>7.5567129629629628E-4</v>
      </c>
      <c r="AH16" s="46">
        <f ca="1"/>
        <v>1.0546296296296295E-3</v>
      </c>
      <c r="AI16" s="46">
        <f ca="1"/>
        <v>1.2480324074074073E-3</v>
      </c>
      <c r="AJ16" s="46">
        <f ca="1"/>
        <v>1.0888888888888888E-3</v>
      </c>
      <c r="AK16" s="46">
        <f ca="1"/>
        <v>7.6412037037037041E-4</v>
      </c>
      <c r="AL16" s="46">
        <f ca="1"/>
        <v>8.143518518518518E-4</v>
      </c>
      <c r="AM16" s="46">
        <f ca="1"/>
        <v>6.6793981481481478E-4</v>
      </c>
      <c r="AN16" s="46">
        <f ca="1"/>
        <v>1.3212962962962963E-3</v>
      </c>
      <c r="AO16" s="46">
        <f ca="1"/>
        <v>1.1644675925925926E-3</v>
      </c>
      <c r="AP16" s="46">
        <f ca="1"/>
        <v>9.5648148148148144E-4</v>
      </c>
      <c r="AQ16" s="46">
        <f ca="1"/>
        <v>7.8738425925925927E-4</v>
      </c>
      <c r="AR16" s="46">
        <f ca="1"/>
        <v>1.0184027777777778E-3</v>
      </c>
      <c r="AS16" s="46">
        <f ca="1"/>
        <v>7.1527777777777779E-4</v>
      </c>
      <c r="AT16" s="46">
        <f ca="1"/>
        <v>1.0557870370370369E-3</v>
      </c>
      <c r="AU16" s="44">
        <f ca="1"/>
        <v>14</v>
      </c>
      <c r="AV16" s="44">
        <f ca="1"/>
        <v>7</v>
      </c>
      <c r="AW16" s="44">
        <f ca="1"/>
        <v>10</v>
      </c>
      <c r="AX16" s="44">
        <f ca="1"/>
        <v>13</v>
      </c>
      <c r="AY16" s="44">
        <f ca="1"/>
        <v>10</v>
      </c>
      <c r="AZ16" s="44">
        <f ca="1"/>
        <v>15</v>
      </c>
      <c r="BA16" s="44">
        <f ca="1"/>
        <v>13</v>
      </c>
      <c r="BB16" s="44">
        <f ca="1"/>
        <v>11</v>
      </c>
      <c r="BC16" s="44">
        <f ca="1"/>
        <v>7</v>
      </c>
      <c r="BD16" s="44">
        <f ca="1"/>
        <v>5</v>
      </c>
      <c r="BE16" s="44">
        <f ca="1"/>
        <v>21</v>
      </c>
      <c r="BF16" s="44">
        <f ca="1"/>
        <v>11</v>
      </c>
      <c r="BG16" s="44">
        <f ca="1"/>
        <v>7</v>
      </c>
      <c r="BH16" s="44">
        <f ca="1"/>
        <v>24</v>
      </c>
      <c r="BI16" s="44">
        <f ca="1"/>
        <v>10</v>
      </c>
      <c r="BJ16" s="44">
        <f ca="1"/>
        <v>6</v>
      </c>
      <c r="BK16" s="44">
        <f ca="1"/>
        <v>14</v>
      </c>
      <c r="BL16" s="44">
        <f ca="1"/>
        <v>13</v>
      </c>
      <c r="BM16" s="44">
        <f ca="1"/>
        <v>7</v>
      </c>
      <c r="BN16" s="44">
        <f ca="1"/>
        <v>8</v>
      </c>
      <c r="BO16" s="44">
        <f ca="1"/>
        <v>33</v>
      </c>
      <c r="BP16" s="44">
        <f ca="1"/>
        <v>40</v>
      </c>
      <c r="BQ16" s="44">
        <f ca="1"/>
        <v>37</v>
      </c>
      <c r="BR16" s="44">
        <f ca="1"/>
        <v>34</v>
      </c>
      <c r="BS16" s="44">
        <f ca="1"/>
        <v>37</v>
      </c>
      <c r="BT16" s="44">
        <f ca="1"/>
        <v>32</v>
      </c>
      <c r="BU16" s="44">
        <f ca="1"/>
        <v>34</v>
      </c>
      <c r="BV16" s="44">
        <f ca="1"/>
        <v>36</v>
      </c>
      <c r="BW16" s="44">
        <f ca="1"/>
        <v>40</v>
      </c>
      <c r="BX16" s="44">
        <f ca="1"/>
        <v>42</v>
      </c>
      <c r="BY16" s="44">
        <f ca="1"/>
        <v>26</v>
      </c>
      <c r="BZ16" s="44">
        <f ca="1"/>
        <v>36</v>
      </c>
      <c r="CA16" s="44">
        <f ca="1"/>
        <v>40</v>
      </c>
      <c r="CB16" s="44">
        <f ca="1"/>
        <v>23</v>
      </c>
      <c r="CC16" s="44">
        <f ca="1"/>
        <v>37</v>
      </c>
      <c r="CD16" s="44">
        <f ca="1"/>
        <v>41</v>
      </c>
      <c r="CE16" s="44">
        <f ca="1"/>
        <v>33</v>
      </c>
      <c r="CF16" s="44">
        <f ca="1"/>
        <v>34</v>
      </c>
      <c r="CG16" s="44">
        <f ca="1"/>
        <v>40</v>
      </c>
      <c r="CH16" s="44">
        <f ca="1"/>
        <v>39</v>
      </c>
      <c r="CI16" s="47">
        <f ca="1"/>
        <v>776.08695652173924</v>
      </c>
      <c r="CJ16" s="48">
        <f ca="1"/>
        <v>1.8549305555555552E-2</v>
      </c>
      <c r="CK16" s="42">
        <f t="shared" ca="1" si="0"/>
        <v>0</v>
      </c>
      <c r="CM16" s="44">
        <v>15</v>
      </c>
      <c r="CN16" s="44" t="str">
        <f ca="1"/>
        <v>Sumz</v>
      </c>
      <c r="CO16" s="50" t="e" vm="18">
        <f ca="1"/>
        <v>#VALUE!</v>
      </c>
      <c r="CP16" s="44">
        <f ca="1"/>
        <v>0</v>
      </c>
      <c r="CQ16" s="48" t="e">
        <f ca="1"/>
        <v>#VALUE!</v>
      </c>
      <c r="CR16" s="47">
        <f ca="1"/>
        <v>632.60869565217388</v>
      </c>
    </row>
    <row r="17" spans="1:96">
      <c r="A17" s="44">
        <v>16</v>
      </c>
      <c r="B17" s="44" t="str">
        <v>Champix</v>
      </c>
      <c r="C17" s="44">
        <v>13</v>
      </c>
      <c r="E17" s="44">
        <v>16</v>
      </c>
      <c r="F17" s="44" t="str">
        <v>Getarez</v>
      </c>
      <c r="G17" s="45">
        <v>11341</v>
      </c>
      <c r="H17" s="45">
        <v>14019</v>
      </c>
      <c r="I17" s="45">
        <v>12298</v>
      </c>
      <c r="J17" s="45">
        <v>15540</v>
      </c>
      <c r="K17" s="45">
        <v>13502</v>
      </c>
      <c r="L17" s="45">
        <v>11227</v>
      </c>
      <c r="M17" s="45">
        <v>11593</v>
      </c>
      <c r="N17" s="45">
        <v>15197</v>
      </c>
      <c r="O17" s="45">
        <v>21185</v>
      </c>
      <c r="P17" s="45">
        <v>15569</v>
      </c>
      <c r="Q17" s="45">
        <v>11209</v>
      </c>
      <c r="R17" s="45">
        <v>12186</v>
      </c>
      <c r="S17" s="45">
        <v>11432</v>
      </c>
      <c r="T17" s="45">
        <v>20970</v>
      </c>
      <c r="U17" s="45">
        <v>20978</v>
      </c>
      <c r="V17" s="45">
        <v>14927</v>
      </c>
      <c r="W17" s="45">
        <v>11560</v>
      </c>
      <c r="X17" s="45">
        <v>14562</v>
      </c>
      <c r="Y17" s="45">
        <v>12483</v>
      </c>
      <c r="Z17" s="45">
        <v>15643</v>
      </c>
      <c r="AA17" s="46">
        <f ca="1"/>
        <v>8.4965277777777773E-4</v>
      </c>
      <c r="AB17" s="46">
        <f ca="1"/>
        <v>1.1596064814814815E-3</v>
      </c>
      <c r="AC17" s="46">
        <f ca="1"/>
        <v>9.6041666666666671E-4</v>
      </c>
      <c r="AD17" s="46">
        <f ca="1"/>
        <v>1.3356481481481481E-3</v>
      </c>
      <c r="AE17" s="46">
        <f ca="1"/>
        <v>1.0997685185185186E-3</v>
      </c>
      <c r="AF17" s="46">
        <f ca="1"/>
        <v>8.3645833333333337E-4</v>
      </c>
      <c r="AG17" s="46">
        <f ca="1"/>
        <v>8.7881944444444444E-4</v>
      </c>
      <c r="AH17" s="46">
        <f ca="1"/>
        <v>1.2959490740740741E-3</v>
      </c>
      <c r="AI17" s="46">
        <f ca="1"/>
        <v>1.5260416666666666E-3</v>
      </c>
      <c r="AJ17" s="46">
        <f ca="1"/>
        <v>1.3390046296296297E-3</v>
      </c>
      <c r="AK17" s="46">
        <f ca="1"/>
        <v>8.3437500000000005E-4</v>
      </c>
      <c r="AL17" s="46">
        <f ca="1"/>
        <v>9.4745370370370372E-4</v>
      </c>
      <c r="AM17" s="46">
        <f ca="1"/>
        <v>8.6018518518518518E-4</v>
      </c>
      <c r="AN17" s="46">
        <f ca="1"/>
        <v>1.5011574074074074E-3</v>
      </c>
      <c r="AO17" s="46">
        <f ca="1"/>
        <v>1.5020833333333334E-3</v>
      </c>
      <c r="AP17" s="46">
        <f ca="1"/>
        <v>1.2646990740740741E-3</v>
      </c>
      <c r="AQ17" s="46">
        <f ca="1"/>
        <v>8.7500000000000002E-4</v>
      </c>
      <c r="AR17" s="46">
        <f ca="1"/>
        <v>1.2224537037037037E-3</v>
      </c>
      <c r="AS17" s="46">
        <f ca="1"/>
        <v>9.8182870370370373E-4</v>
      </c>
      <c r="AT17" s="46">
        <f ca="1"/>
        <v>1.3475694444444444E-3</v>
      </c>
      <c r="AU17" s="44">
        <f ca="1"/>
        <v>40</v>
      </c>
      <c r="AV17" s="44">
        <f ca="1"/>
        <v>40</v>
      </c>
      <c r="AW17" s="44">
        <f ca="1"/>
        <v>40</v>
      </c>
      <c r="AX17" s="44">
        <f ca="1"/>
        <v>38</v>
      </c>
      <c r="AY17" s="44">
        <f ca="1"/>
        <v>37</v>
      </c>
      <c r="AZ17" s="44">
        <f ca="1"/>
        <v>32</v>
      </c>
      <c r="BA17" s="44">
        <f ca="1"/>
        <v>33</v>
      </c>
      <c r="BB17" s="44">
        <f ca="1"/>
        <v>33</v>
      </c>
      <c r="BC17" s="44">
        <f ca="1"/>
        <v>33</v>
      </c>
      <c r="BD17" s="44">
        <f ca="1"/>
        <v>35</v>
      </c>
      <c r="BE17" s="44">
        <f ca="1"/>
        <v>31</v>
      </c>
      <c r="BF17" s="44">
        <f ca="1"/>
        <v>28</v>
      </c>
      <c r="BG17" s="44">
        <f ca="1"/>
        <v>32</v>
      </c>
      <c r="BH17" s="44">
        <f ca="1"/>
        <v>39</v>
      </c>
      <c r="BI17" s="44">
        <f ca="1"/>
        <v>39</v>
      </c>
      <c r="BJ17" s="44">
        <f ca="1"/>
        <v>31</v>
      </c>
      <c r="BK17" s="44">
        <f ca="1"/>
        <v>31</v>
      </c>
      <c r="BL17" s="44">
        <f ca="1"/>
        <v>32</v>
      </c>
      <c r="BM17" s="44">
        <f ca="1"/>
        <v>34</v>
      </c>
      <c r="BN17" s="44">
        <f ca="1"/>
        <v>34</v>
      </c>
      <c r="BO17" s="44">
        <f ca="1"/>
        <v>7</v>
      </c>
      <c r="BP17" s="44">
        <f ca="1"/>
        <v>7</v>
      </c>
      <c r="BQ17" s="44">
        <f ca="1"/>
        <v>7</v>
      </c>
      <c r="BR17" s="44">
        <f ca="1"/>
        <v>9</v>
      </c>
      <c r="BS17" s="44">
        <f ca="1"/>
        <v>10</v>
      </c>
      <c r="BT17" s="44">
        <f ca="1"/>
        <v>15</v>
      </c>
      <c r="BU17" s="44">
        <f ca="1"/>
        <v>14</v>
      </c>
      <c r="BV17" s="44">
        <f ca="1"/>
        <v>14</v>
      </c>
      <c r="BW17" s="44">
        <f ca="1"/>
        <v>14</v>
      </c>
      <c r="BX17" s="44">
        <f ca="1"/>
        <v>12</v>
      </c>
      <c r="BY17" s="44">
        <f ca="1"/>
        <v>16</v>
      </c>
      <c r="BZ17" s="44">
        <f ca="1"/>
        <v>19</v>
      </c>
      <c r="CA17" s="44">
        <f ca="1"/>
        <v>15</v>
      </c>
      <c r="CB17" s="44">
        <f ca="1"/>
        <v>8</v>
      </c>
      <c r="CC17" s="44">
        <f ca="1"/>
        <v>8</v>
      </c>
      <c r="CD17" s="44">
        <f ca="1"/>
        <v>16</v>
      </c>
      <c r="CE17" s="44">
        <f ca="1"/>
        <v>16</v>
      </c>
      <c r="CF17" s="44">
        <f ca="1"/>
        <v>15</v>
      </c>
      <c r="CG17" s="44">
        <f ca="1"/>
        <v>13</v>
      </c>
      <c r="CH17" s="44">
        <f ca="1"/>
        <v>13</v>
      </c>
      <c r="CI17" s="47">
        <f ca="1"/>
        <v>269.56521739130437</v>
      </c>
      <c r="CJ17" s="48">
        <f ca="1"/>
        <v>2.2618171296296296E-2</v>
      </c>
      <c r="CK17" s="42">
        <f t="shared" ca="1" si="0"/>
        <v>0</v>
      </c>
      <c r="CM17" s="44">
        <v>16</v>
      </c>
      <c r="CN17" s="44" t="str">
        <f ca="1"/>
        <v>Champix</v>
      </c>
      <c r="CO17" s="50" t="e" vm="15">
        <f ca="1"/>
        <v>#VALUE!</v>
      </c>
      <c r="CP17" s="44">
        <f ca="1"/>
        <v>0</v>
      </c>
      <c r="CQ17" s="48" t="e">
        <f ca="1"/>
        <v>#VALUE!</v>
      </c>
      <c r="CR17" s="47">
        <f ca="1"/>
        <v>626.08695652173913</v>
      </c>
    </row>
    <row r="18" spans="1:96">
      <c r="A18" s="44">
        <v>17</v>
      </c>
      <c r="B18" s="44" t="str">
        <v>L'escargot</v>
      </c>
      <c r="C18" s="44">
        <v>33</v>
      </c>
      <c r="E18" s="44">
        <v>17</v>
      </c>
      <c r="F18" s="44" t="str">
        <v>Jarmou</v>
      </c>
      <c r="G18" s="45">
        <v>10139</v>
      </c>
      <c r="H18" s="45">
        <v>11434</v>
      </c>
      <c r="I18" s="45">
        <v>10827</v>
      </c>
      <c r="J18" s="45">
        <v>13024</v>
      </c>
      <c r="K18" s="45">
        <v>11932</v>
      </c>
      <c r="L18" s="45">
        <v>10194</v>
      </c>
      <c r="M18" s="45">
        <v>10389</v>
      </c>
      <c r="N18" s="45">
        <v>13048</v>
      </c>
      <c r="O18" s="45">
        <v>14499</v>
      </c>
      <c r="P18" s="45">
        <v>13979</v>
      </c>
      <c r="Q18" s="45">
        <v>5776</v>
      </c>
      <c r="R18" s="45">
        <v>10989</v>
      </c>
      <c r="S18" s="45">
        <v>5896</v>
      </c>
      <c r="T18" s="45">
        <v>14507</v>
      </c>
      <c r="U18" s="45">
        <v>14001</v>
      </c>
      <c r="V18" s="45">
        <v>12541</v>
      </c>
      <c r="W18" s="45">
        <v>10208</v>
      </c>
      <c r="X18" s="45">
        <v>11886</v>
      </c>
      <c r="Y18" s="45">
        <v>10131</v>
      </c>
      <c r="Z18" s="45">
        <v>14373</v>
      </c>
      <c r="AA18" s="46">
        <f ca="1"/>
        <v>7.1053240740740744E-4</v>
      </c>
      <c r="AB18" s="46">
        <f ca="1"/>
        <v>8.6041666666666666E-4</v>
      </c>
      <c r="AC18" s="46">
        <f ca="1"/>
        <v>7.9016203703703703E-4</v>
      </c>
      <c r="AD18" s="46">
        <f ca="1"/>
        <v>1.0444444444444444E-3</v>
      </c>
      <c r="AE18" s="46">
        <f ca="1"/>
        <v>9.1805555555555553E-4</v>
      </c>
      <c r="AF18" s="46">
        <f ca="1"/>
        <v>7.1689814814814815E-4</v>
      </c>
      <c r="AG18" s="46">
        <f ca="1"/>
        <v>7.3946759259259256E-4</v>
      </c>
      <c r="AH18" s="46">
        <f ca="1"/>
        <v>1.0472222222222222E-3</v>
      </c>
      <c r="AI18" s="46">
        <f ca="1"/>
        <v>1.2151620370370369E-3</v>
      </c>
      <c r="AJ18" s="46">
        <f ca="1"/>
        <v>1.1549768518518519E-3</v>
      </c>
      <c r="AK18" s="46">
        <f ca="1"/>
        <v>6.6851851851851849E-4</v>
      </c>
      <c r="AL18" s="46">
        <f ca="1"/>
        <v>8.0891203703703702E-4</v>
      </c>
      <c r="AM18" s="46">
        <f ca="1"/>
        <v>6.824074074074074E-4</v>
      </c>
      <c r="AN18" s="46">
        <f ca="1"/>
        <v>1.2160879629629629E-3</v>
      </c>
      <c r="AO18" s="46">
        <f ca="1"/>
        <v>1.1575231481481482E-3</v>
      </c>
      <c r="AP18" s="46">
        <f ca="1"/>
        <v>9.8854166666666665E-4</v>
      </c>
      <c r="AQ18" s="46">
        <f ca="1"/>
        <v>7.1851851851851851E-4</v>
      </c>
      <c r="AR18" s="46">
        <f ca="1"/>
        <v>9.1273148148148149E-4</v>
      </c>
      <c r="AS18" s="46">
        <f ca="1"/>
        <v>7.0960648148148152E-4</v>
      </c>
      <c r="AT18" s="46">
        <f ca="1"/>
        <v>1.2005787037037037E-3</v>
      </c>
      <c r="AU18" s="44">
        <f ca="1"/>
        <v>7</v>
      </c>
      <c r="AV18" s="44">
        <f ca="1"/>
        <v>6</v>
      </c>
      <c r="AW18" s="44">
        <f ca="1"/>
        <v>7</v>
      </c>
      <c r="AX18" s="44">
        <f ca="1"/>
        <v>3</v>
      </c>
      <c r="AY18" s="44">
        <f ca="1"/>
        <v>9</v>
      </c>
      <c r="AZ18" s="44">
        <f ca="1"/>
        <v>11</v>
      </c>
      <c r="BA18" s="44">
        <f ca="1"/>
        <v>6</v>
      </c>
      <c r="BB18" s="44">
        <f ca="1"/>
        <v>9</v>
      </c>
      <c r="BC18" s="44">
        <f ca="1"/>
        <v>2</v>
      </c>
      <c r="BD18" s="44">
        <f ca="1"/>
        <v>24</v>
      </c>
      <c r="BE18" s="44">
        <f ca="1"/>
        <v>6</v>
      </c>
      <c r="BF18" s="44">
        <f ca="1"/>
        <v>10</v>
      </c>
      <c r="BG18" s="44">
        <f ca="1"/>
        <v>8</v>
      </c>
      <c r="BH18" s="44">
        <f ca="1"/>
        <v>11</v>
      </c>
      <c r="BI18" s="44">
        <f ca="1"/>
        <v>7</v>
      </c>
      <c r="BJ18" s="44">
        <f ca="1"/>
        <v>10</v>
      </c>
      <c r="BK18" s="44">
        <f ca="1"/>
        <v>8</v>
      </c>
      <c r="BL18" s="44">
        <f ca="1"/>
        <v>6</v>
      </c>
      <c r="BM18" s="44">
        <f ca="1"/>
        <v>5</v>
      </c>
      <c r="BN18" s="44">
        <f ca="1"/>
        <v>28</v>
      </c>
      <c r="BO18" s="44">
        <f ca="1"/>
        <v>40</v>
      </c>
      <c r="BP18" s="44">
        <f ca="1"/>
        <v>41</v>
      </c>
      <c r="BQ18" s="44">
        <f ca="1"/>
        <v>40</v>
      </c>
      <c r="BR18" s="44">
        <f ca="1"/>
        <v>44</v>
      </c>
      <c r="BS18" s="44">
        <f ca="1"/>
        <v>38</v>
      </c>
      <c r="BT18" s="44">
        <f ca="1"/>
        <v>36</v>
      </c>
      <c r="BU18" s="44">
        <f ca="1"/>
        <v>41</v>
      </c>
      <c r="BV18" s="44">
        <f ca="1"/>
        <v>38</v>
      </c>
      <c r="BW18" s="44">
        <f ca="1"/>
        <v>45</v>
      </c>
      <c r="BX18" s="44">
        <f ca="1"/>
        <v>23</v>
      </c>
      <c r="BY18" s="44">
        <f ca="1"/>
        <v>41</v>
      </c>
      <c r="BZ18" s="44">
        <f ca="1"/>
        <v>37</v>
      </c>
      <c r="CA18" s="44">
        <f ca="1"/>
        <v>39</v>
      </c>
      <c r="CB18" s="44">
        <f ca="1"/>
        <v>36</v>
      </c>
      <c r="CC18" s="44">
        <f ca="1"/>
        <v>40</v>
      </c>
      <c r="CD18" s="44">
        <f ca="1"/>
        <v>37</v>
      </c>
      <c r="CE18" s="44">
        <f ca="1"/>
        <v>39</v>
      </c>
      <c r="CF18" s="44">
        <f ca="1"/>
        <v>41</v>
      </c>
      <c r="CG18" s="44">
        <f ca="1"/>
        <v>42</v>
      </c>
      <c r="CH18" s="44">
        <f ca="1"/>
        <v>19</v>
      </c>
      <c r="CI18" s="47">
        <f ca="1"/>
        <v>822.82608695652186</v>
      </c>
      <c r="CJ18" s="48">
        <f ca="1"/>
        <v>1.8260763888888889E-2</v>
      </c>
      <c r="CK18" s="42">
        <f t="shared" ca="1" si="0"/>
        <v>0</v>
      </c>
      <c r="CM18" s="44">
        <v>17</v>
      </c>
      <c r="CN18" s="44" t="str">
        <f ca="1"/>
        <v>Julien</v>
      </c>
      <c r="CO18" s="50" t="e" vm="15">
        <f ca="1"/>
        <v>#VALUE!</v>
      </c>
      <c r="CP18" s="44">
        <f ca="1"/>
        <v>0</v>
      </c>
      <c r="CQ18" s="48" t="e">
        <f ca="1"/>
        <v>#VALUE!</v>
      </c>
      <c r="CR18" s="47">
        <f ca="1"/>
        <v>606.52173913043475</v>
      </c>
    </row>
    <row r="19" spans="1:96">
      <c r="A19" s="44">
        <v>18</v>
      </c>
      <c r="B19" s="44" t="str">
        <v>Geo</v>
      </c>
      <c r="C19" s="44">
        <v>8</v>
      </c>
      <c r="E19" s="44">
        <v>18</v>
      </c>
      <c r="F19" s="44" t="str">
        <v>JDR</v>
      </c>
      <c r="G19" s="45">
        <v>10023</v>
      </c>
      <c r="H19" s="45">
        <v>11301</v>
      </c>
      <c r="I19" s="45">
        <v>10795</v>
      </c>
      <c r="J19" s="45">
        <v>13466</v>
      </c>
      <c r="K19" s="45">
        <v>11989</v>
      </c>
      <c r="L19" s="45">
        <v>5558</v>
      </c>
      <c r="M19" s="45">
        <v>10368</v>
      </c>
      <c r="N19" s="45">
        <v>12775</v>
      </c>
      <c r="O19" s="45">
        <v>15114</v>
      </c>
      <c r="P19" s="45">
        <v>13076</v>
      </c>
      <c r="Q19" s="45">
        <v>5966</v>
      </c>
      <c r="R19" s="45">
        <v>10682</v>
      </c>
      <c r="S19" s="45">
        <v>10059</v>
      </c>
      <c r="T19" s="45">
        <v>14282</v>
      </c>
      <c r="U19" s="45">
        <v>13713</v>
      </c>
      <c r="V19" s="45">
        <v>12019</v>
      </c>
      <c r="W19" s="45">
        <v>5828</v>
      </c>
      <c r="X19" s="45">
        <v>14779</v>
      </c>
      <c r="Y19" s="45">
        <v>10278</v>
      </c>
      <c r="Z19" s="45">
        <v>13751</v>
      </c>
      <c r="AA19" s="46">
        <f ca="1"/>
        <v>6.9710648148148149E-4</v>
      </c>
      <c r="AB19" s="46">
        <f ca="1"/>
        <v>8.4502314814814813E-4</v>
      </c>
      <c r="AC19" s="46">
        <f ca="1"/>
        <v>7.8645833333333335E-4</v>
      </c>
      <c r="AD19" s="46">
        <f ca="1"/>
        <v>1.0956018518518519E-3</v>
      </c>
      <c r="AE19" s="46">
        <f ca="1"/>
        <v>9.2465277777777782E-4</v>
      </c>
      <c r="AF19" s="46">
        <f ca="1"/>
        <v>6.4328703703703705E-4</v>
      </c>
      <c r="AG19" s="46">
        <f ca="1"/>
        <v>7.3703703703703702E-4</v>
      </c>
      <c r="AH19" s="46">
        <f ca="1"/>
        <v>1.015625E-3</v>
      </c>
      <c r="AI19" s="46">
        <f ca="1"/>
        <v>1.2863425925925926E-3</v>
      </c>
      <c r="AJ19" s="46">
        <f ca="1"/>
        <v>1.0504629629629629E-3</v>
      </c>
      <c r="AK19" s="46">
        <f ca="1"/>
        <v>6.9050925925925931E-4</v>
      </c>
      <c r="AL19" s="46">
        <f ca="1"/>
        <v>7.7337962962962961E-4</v>
      </c>
      <c r="AM19" s="46">
        <f ca="1"/>
        <v>7.0127314814814813E-4</v>
      </c>
      <c r="AN19" s="46">
        <f ca="1"/>
        <v>1.1900462962962963E-3</v>
      </c>
      <c r="AO19" s="46">
        <f ca="1"/>
        <v>1.1241898148148148E-3</v>
      </c>
      <c r="AP19" s="46">
        <f ca="1"/>
        <v>9.2812500000000002E-4</v>
      </c>
      <c r="AQ19" s="46">
        <f ca="1"/>
        <v>6.7453703703703708E-4</v>
      </c>
      <c r="AR19" s="46">
        <f ca="1"/>
        <v>1.2475694444444444E-3</v>
      </c>
      <c r="AS19" s="46">
        <f ca="1"/>
        <v>7.2662037037037042E-4</v>
      </c>
      <c r="AT19" s="46">
        <f ca="1"/>
        <v>1.128587962962963E-3</v>
      </c>
      <c r="AU19" s="44">
        <f ca="1"/>
        <v>4</v>
      </c>
      <c r="AV19" s="44">
        <f ca="1"/>
        <v>2</v>
      </c>
      <c r="AW19" s="44">
        <f ca="1"/>
        <v>6</v>
      </c>
      <c r="AX19" s="44">
        <f ca="1"/>
        <v>14</v>
      </c>
      <c r="AY19" s="44">
        <f ca="1"/>
        <v>11</v>
      </c>
      <c r="AZ19" s="44">
        <f ca="1"/>
        <v>1</v>
      </c>
      <c r="BA19" s="44">
        <f ca="1"/>
        <v>4</v>
      </c>
      <c r="BB19" s="44">
        <f ca="1"/>
        <v>3</v>
      </c>
      <c r="BC19" s="44">
        <f ca="1"/>
        <v>14</v>
      </c>
      <c r="BD19" s="44">
        <f ca="1"/>
        <v>4</v>
      </c>
      <c r="BE19" s="44">
        <f ca="1"/>
        <v>11</v>
      </c>
      <c r="BF19" s="44">
        <f ca="1"/>
        <v>3</v>
      </c>
      <c r="BG19" s="44">
        <f ca="1"/>
        <v>11</v>
      </c>
      <c r="BH19" s="44">
        <f ca="1"/>
        <v>9</v>
      </c>
      <c r="BI19" s="44">
        <f ca="1"/>
        <v>4</v>
      </c>
      <c r="BJ19" s="44">
        <f ca="1"/>
        <v>3</v>
      </c>
      <c r="BK19" s="44">
        <f ca="1"/>
        <v>3</v>
      </c>
      <c r="BL19" s="44">
        <f ca="1"/>
        <v>33</v>
      </c>
      <c r="BM19" s="44">
        <f ca="1"/>
        <v>8</v>
      </c>
      <c r="BN19" s="44">
        <f ca="1"/>
        <v>21</v>
      </c>
      <c r="BO19" s="44">
        <f ca="1"/>
        <v>43</v>
      </c>
      <c r="BP19" s="44">
        <f ca="1"/>
        <v>45</v>
      </c>
      <c r="BQ19" s="44">
        <f ca="1"/>
        <v>41</v>
      </c>
      <c r="BR19" s="44">
        <f ca="1"/>
        <v>33</v>
      </c>
      <c r="BS19" s="44">
        <f ca="1"/>
        <v>36</v>
      </c>
      <c r="BT19" s="44">
        <f ca="1"/>
        <v>46</v>
      </c>
      <c r="BU19" s="44">
        <f ca="1"/>
        <v>43</v>
      </c>
      <c r="BV19" s="44">
        <f ca="1"/>
        <v>44</v>
      </c>
      <c r="BW19" s="44">
        <f ca="1"/>
        <v>33</v>
      </c>
      <c r="BX19" s="44">
        <f ca="1"/>
        <v>43</v>
      </c>
      <c r="BY19" s="44">
        <f ca="1"/>
        <v>36</v>
      </c>
      <c r="BZ19" s="44">
        <f ca="1"/>
        <v>44</v>
      </c>
      <c r="CA19" s="44">
        <f ca="1"/>
        <v>36</v>
      </c>
      <c r="CB19" s="44">
        <f ca="1"/>
        <v>38</v>
      </c>
      <c r="CC19" s="44">
        <f ca="1"/>
        <v>43</v>
      </c>
      <c r="CD19" s="44">
        <f ca="1"/>
        <v>44</v>
      </c>
      <c r="CE19" s="44">
        <f ca="1"/>
        <v>44</v>
      </c>
      <c r="CF19" s="44">
        <f ca="1"/>
        <v>14</v>
      </c>
      <c r="CG19" s="44">
        <f ca="1"/>
        <v>39</v>
      </c>
      <c r="CH19" s="44">
        <f ca="1"/>
        <v>26</v>
      </c>
      <c r="CI19" s="47">
        <f ca="1"/>
        <v>838.04347826086951</v>
      </c>
      <c r="CJ19" s="48">
        <f ca="1"/>
        <v>1.8266435185185184E-2</v>
      </c>
      <c r="CK19" s="42">
        <f t="shared" ca="1" si="0"/>
        <v>1</v>
      </c>
      <c r="CM19" s="44">
        <v>18</v>
      </c>
      <c r="CN19" s="44" t="str">
        <f ca="1"/>
        <v>Thibault</v>
      </c>
      <c r="CO19" s="50" t="e" vm="15">
        <f ca="1"/>
        <v>#VALUE!</v>
      </c>
      <c r="CP19" s="44">
        <f ca="1"/>
        <v>0</v>
      </c>
      <c r="CQ19" s="48" t="e">
        <f ca="1"/>
        <v>#VALUE!</v>
      </c>
      <c r="CR19" s="47">
        <f ca="1"/>
        <v>606.52173913043475</v>
      </c>
    </row>
    <row r="20" spans="1:96">
      <c r="A20" s="44">
        <v>19</v>
      </c>
      <c r="B20" s="44" t="str">
        <v>BigMountain</v>
      </c>
      <c r="C20" s="44">
        <v>39</v>
      </c>
      <c r="E20" s="44">
        <v>19</v>
      </c>
      <c r="F20" s="44" t="str">
        <v>Ju2a</v>
      </c>
      <c r="G20" s="45">
        <v>12632</v>
      </c>
      <c r="H20" s="45">
        <v>14956</v>
      </c>
      <c r="I20" s="45">
        <v>14441</v>
      </c>
      <c r="J20" s="45">
        <v>20648</v>
      </c>
      <c r="K20" s="45">
        <v>14927</v>
      </c>
      <c r="L20" s="45">
        <v>12690</v>
      </c>
      <c r="M20" s="45">
        <v>13277</v>
      </c>
      <c r="N20" s="45">
        <v>21042</v>
      </c>
      <c r="O20" s="45">
        <v>25135</v>
      </c>
      <c r="P20" s="45">
        <v>21026</v>
      </c>
      <c r="Q20" s="45">
        <v>11880</v>
      </c>
      <c r="R20" s="45">
        <v>14435</v>
      </c>
      <c r="S20" s="45">
        <v>14519</v>
      </c>
      <c r="T20" s="45">
        <v>22962</v>
      </c>
      <c r="U20" s="45">
        <v>23428</v>
      </c>
      <c r="V20" s="45">
        <v>21277</v>
      </c>
      <c r="W20" s="45">
        <v>12752</v>
      </c>
      <c r="X20" s="45">
        <v>20966</v>
      </c>
      <c r="Y20" s="45">
        <v>13064</v>
      </c>
      <c r="Z20" s="45">
        <v>22224</v>
      </c>
      <c r="AA20" s="46">
        <f ca="1"/>
        <v>9.990740740740741E-4</v>
      </c>
      <c r="AB20" s="46">
        <f ca="1"/>
        <v>1.2680555555555555E-3</v>
      </c>
      <c r="AC20" s="46">
        <f ca="1"/>
        <v>1.208449074074074E-3</v>
      </c>
      <c r="AD20" s="46">
        <f ca="1"/>
        <v>1.4638888888888889E-3</v>
      </c>
      <c r="AE20" s="46">
        <f ca="1"/>
        <v>1.2646990740740741E-3</v>
      </c>
      <c r="AF20" s="46">
        <f ca="1"/>
        <v>1.005787037037037E-3</v>
      </c>
      <c r="AG20" s="46">
        <f ca="1"/>
        <v>1.0737268518518518E-3</v>
      </c>
      <c r="AH20" s="46">
        <f ca="1"/>
        <v>1.5094907407407407E-3</v>
      </c>
      <c r="AI20" s="46">
        <f ca="1"/>
        <v>1.9832175925925924E-3</v>
      </c>
      <c r="AJ20" s="46">
        <f ca="1"/>
        <v>1.5076388888888889E-3</v>
      </c>
      <c r="AK20" s="46">
        <f ca="1"/>
        <v>9.1203703703703705E-4</v>
      </c>
      <c r="AL20" s="46">
        <f ca="1"/>
        <v>1.2077546296296296E-3</v>
      </c>
      <c r="AM20" s="46">
        <f ca="1"/>
        <v>1.2174768518518517E-3</v>
      </c>
      <c r="AN20" s="46">
        <f ca="1"/>
        <v>1.7317129629629629E-3</v>
      </c>
      <c r="AO20" s="46">
        <f ca="1"/>
        <v>1.7856481481481482E-3</v>
      </c>
      <c r="AP20" s="46">
        <f ca="1"/>
        <v>1.5366898148148147E-3</v>
      </c>
      <c r="AQ20" s="46">
        <f ca="1"/>
        <v>1.0129629629629629E-3</v>
      </c>
      <c r="AR20" s="46">
        <f ca="1"/>
        <v>1.5006944444444445E-3</v>
      </c>
      <c r="AS20" s="46">
        <f ca="1"/>
        <v>1.049074074074074E-3</v>
      </c>
      <c r="AT20" s="46">
        <f ca="1"/>
        <v>1.6462962962962963E-3</v>
      </c>
      <c r="AU20" s="44">
        <f ca="1"/>
        <v>45</v>
      </c>
      <c r="AV20" s="44">
        <f ca="1"/>
        <v>45</v>
      </c>
      <c r="AW20" s="44">
        <f ca="1"/>
        <v>47</v>
      </c>
      <c r="AX20" s="44">
        <f ca="1"/>
        <v>43</v>
      </c>
      <c r="AY20" s="44">
        <f ca="1"/>
        <v>45</v>
      </c>
      <c r="AZ20" s="44">
        <f ca="1"/>
        <v>45</v>
      </c>
      <c r="BA20" s="44">
        <f ca="1"/>
        <v>45</v>
      </c>
      <c r="BB20" s="44">
        <f ca="1"/>
        <v>45</v>
      </c>
      <c r="BC20" s="44">
        <f ca="1"/>
        <v>45</v>
      </c>
      <c r="BD20" s="44">
        <f ca="1"/>
        <v>44</v>
      </c>
      <c r="BE20" s="44">
        <f ca="1"/>
        <v>39</v>
      </c>
      <c r="BF20" s="44">
        <f ca="1"/>
        <v>45</v>
      </c>
      <c r="BG20" s="44">
        <f ca="1"/>
        <v>46</v>
      </c>
      <c r="BH20" s="44">
        <f ca="1"/>
        <v>44</v>
      </c>
      <c r="BI20" s="44">
        <f ca="1"/>
        <v>44</v>
      </c>
      <c r="BJ20" s="44">
        <f ca="1"/>
        <v>45</v>
      </c>
      <c r="BK20" s="44">
        <f ca="1"/>
        <v>44</v>
      </c>
      <c r="BL20" s="44">
        <f ca="1"/>
        <v>45</v>
      </c>
      <c r="BM20" s="44">
        <f ca="1"/>
        <v>39</v>
      </c>
      <c r="BN20" s="44">
        <f ca="1"/>
        <v>39</v>
      </c>
      <c r="BO20" s="44">
        <f ca="1"/>
        <v>2</v>
      </c>
      <c r="BP20" s="44">
        <f ca="1"/>
        <v>2</v>
      </c>
      <c r="BQ20" s="44">
        <f ca="1"/>
        <v>0</v>
      </c>
      <c r="BR20" s="44">
        <f ca="1"/>
        <v>4</v>
      </c>
      <c r="BS20" s="44">
        <f ca="1"/>
        <v>2</v>
      </c>
      <c r="BT20" s="44">
        <f ca="1"/>
        <v>2</v>
      </c>
      <c r="BU20" s="44">
        <f ca="1"/>
        <v>2</v>
      </c>
      <c r="BV20" s="44">
        <f ca="1"/>
        <v>2</v>
      </c>
      <c r="BW20" s="44">
        <f ca="1"/>
        <v>2</v>
      </c>
      <c r="BX20" s="44">
        <f ca="1"/>
        <v>3</v>
      </c>
      <c r="BY20" s="44">
        <f ca="1"/>
        <v>8</v>
      </c>
      <c r="BZ20" s="44">
        <f ca="1"/>
        <v>2</v>
      </c>
      <c r="CA20" s="44">
        <f ca="1"/>
        <v>1</v>
      </c>
      <c r="CB20" s="44">
        <f ca="1"/>
        <v>3</v>
      </c>
      <c r="CC20" s="44">
        <f ca="1"/>
        <v>3</v>
      </c>
      <c r="CD20" s="44">
        <f ca="1"/>
        <v>2</v>
      </c>
      <c r="CE20" s="44">
        <f ca="1"/>
        <v>3</v>
      </c>
      <c r="CF20" s="44">
        <f ca="1"/>
        <v>2</v>
      </c>
      <c r="CG20" s="44">
        <f ca="1"/>
        <v>8</v>
      </c>
      <c r="CH20" s="44">
        <f ca="1"/>
        <v>8</v>
      </c>
      <c r="CI20" s="47">
        <f ca="1"/>
        <v>66.304347826086953</v>
      </c>
      <c r="CJ20" s="48">
        <f ca="1"/>
        <v>2.6884374999999992E-2</v>
      </c>
      <c r="CK20" s="42">
        <f t="shared" ca="1" si="0"/>
        <v>0</v>
      </c>
      <c r="CM20" s="44">
        <v>19</v>
      </c>
      <c r="CN20" s="44" t="str">
        <f ca="1"/>
        <v>Zarkov</v>
      </c>
      <c r="CO20" s="50" t="e" vm="13">
        <f ca="1"/>
        <v>#VALUE!</v>
      </c>
      <c r="CP20" s="44">
        <f ca="1"/>
        <v>0</v>
      </c>
      <c r="CQ20" s="48" t="e">
        <f ca="1"/>
        <v>#VALUE!</v>
      </c>
      <c r="CR20" s="47">
        <f ca="1"/>
        <v>588.04347826086951</v>
      </c>
    </row>
    <row r="21" spans="1:96">
      <c r="A21" s="44">
        <v>20</v>
      </c>
      <c r="B21" s="44" t="str">
        <v>Getarez</v>
      </c>
      <c r="C21" s="44">
        <v>37</v>
      </c>
      <c r="E21" s="44">
        <v>20</v>
      </c>
      <c r="F21" s="44" t="str">
        <v>Julien</v>
      </c>
      <c r="G21" s="45">
        <v>10220</v>
      </c>
      <c r="H21" s="45">
        <v>12160</v>
      </c>
      <c r="I21" s="45">
        <v>10891</v>
      </c>
      <c r="J21" s="45">
        <v>13243</v>
      </c>
      <c r="K21" s="45">
        <v>12047</v>
      </c>
      <c r="L21" s="45">
        <v>10487</v>
      </c>
      <c r="M21" s="45">
        <v>10553</v>
      </c>
      <c r="N21" s="45">
        <v>13460</v>
      </c>
      <c r="O21" s="45">
        <v>15850</v>
      </c>
      <c r="P21" s="45">
        <v>13719</v>
      </c>
      <c r="Q21" s="45">
        <v>10833</v>
      </c>
      <c r="R21" s="45">
        <v>12533</v>
      </c>
      <c r="S21" s="45">
        <v>10648</v>
      </c>
      <c r="T21" s="45">
        <v>14839</v>
      </c>
      <c r="U21" s="45">
        <v>14849</v>
      </c>
      <c r="V21" s="45">
        <v>12889</v>
      </c>
      <c r="W21" s="45">
        <v>11486</v>
      </c>
      <c r="X21" s="45">
        <v>13004</v>
      </c>
      <c r="Y21" s="45">
        <v>11934</v>
      </c>
      <c r="Z21" s="45">
        <v>13384</v>
      </c>
      <c r="AA21" s="46">
        <f ca="1"/>
        <v>7.1990740740740739E-4</v>
      </c>
      <c r="AB21" s="46">
        <f ca="1"/>
        <v>9.4444444444444448E-4</v>
      </c>
      <c r="AC21" s="46">
        <f ca="1"/>
        <v>7.975694444444445E-4</v>
      </c>
      <c r="AD21" s="46">
        <f ca="1"/>
        <v>1.0697916666666666E-3</v>
      </c>
      <c r="AE21" s="46">
        <f ca="1"/>
        <v>9.3136574074074074E-4</v>
      </c>
      <c r="AF21" s="46">
        <f ca="1"/>
        <v>7.508101851851852E-4</v>
      </c>
      <c r="AG21" s="46">
        <f ca="1"/>
        <v>7.5844907407407404E-4</v>
      </c>
      <c r="AH21" s="46">
        <f ca="1"/>
        <v>1.0949074074074075E-3</v>
      </c>
      <c r="AI21" s="46">
        <f ca="1"/>
        <v>1.3715277777777777E-3</v>
      </c>
      <c r="AJ21" s="46">
        <f ca="1"/>
        <v>1.1248842592592593E-3</v>
      </c>
      <c r="AK21" s="46">
        <f ca="1"/>
        <v>7.9085648148148147E-4</v>
      </c>
      <c r="AL21" s="46">
        <f ca="1"/>
        <v>9.8761574074074073E-4</v>
      </c>
      <c r="AM21" s="46">
        <f ca="1"/>
        <v>7.6944444444444445E-4</v>
      </c>
      <c r="AN21" s="46">
        <f ca="1"/>
        <v>1.254513888888889E-3</v>
      </c>
      <c r="AO21" s="46">
        <f ca="1"/>
        <v>1.2556712962962964E-3</v>
      </c>
      <c r="AP21" s="46">
        <f ca="1"/>
        <v>1.0288194444444444E-3</v>
      </c>
      <c r="AQ21" s="46">
        <f ca="1"/>
        <v>8.6643518518518515E-4</v>
      </c>
      <c r="AR21" s="46">
        <f ca="1"/>
        <v>1.0421296296296296E-3</v>
      </c>
      <c r="AS21" s="46">
        <f ca="1"/>
        <v>9.1828703703703701E-4</v>
      </c>
      <c r="AT21" s="46">
        <f ca="1"/>
        <v>1.086111111111111E-3</v>
      </c>
      <c r="AU21" s="44">
        <f ca="1"/>
        <v>13</v>
      </c>
      <c r="AV21" s="44">
        <f ca="1"/>
        <v>23</v>
      </c>
      <c r="AW21" s="44">
        <f ca="1"/>
        <v>13</v>
      </c>
      <c r="AX21" s="44">
        <f ca="1"/>
        <v>8</v>
      </c>
      <c r="AY21" s="44">
        <f ca="1"/>
        <v>14</v>
      </c>
      <c r="AZ21" s="44">
        <f ca="1"/>
        <v>17</v>
      </c>
      <c r="BA21" s="44">
        <f ca="1"/>
        <v>17</v>
      </c>
      <c r="BB21" s="44">
        <f ca="1"/>
        <v>21</v>
      </c>
      <c r="BC21" s="44">
        <f ca="1"/>
        <v>24</v>
      </c>
      <c r="BD21" s="44">
        <f ca="1"/>
        <v>14</v>
      </c>
      <c r="BE21" s="44">
        <f ca="1"/>
        <v>28</v>
      </c>
      <c r="BF21" s="44">
        <f ca="1"/>
        <v>32</v>
      </c>
      <c r="BG21" s="44">
        <f ca="1"/>
        <v>25</v>
      </c>
      <c r="BH21" s="44">
        <f ca="1"/>
        <v>15</v>
      </c>
      <c r="BI21" s="44">
        <f ca="1"/>
        <v>18</v>
      </c>
      <c r="BJ21" s="44">
        <f ca="1"/>
        <v>13</v>
      </c>
      <c r="BK21" s="44">
        <f ca="1"/>
        <v>29</v>
      </c>
      <c r="BL21" s="44">
        <f ca="1"/>
        <v>16</v>
      </c>
      <c r="BM21" s="44">
        <f ca="1"/>
        <v>29</v>
      </c>
      <c r="BN21" s="44">
        <f ca="1"/>
        <v>13</v>
      </c>
      <c r="BO21" s="44">
        <f ca="1"/>
        <v>34</v>
      </c>
      <c r="BP21" s="44">
        <f ca="1"/>
        <v>24</v>
      </c>
      <c r="BQ21" s="44">
        <f ca="1"/>
        <v>34</v>
      </c>
      <c r="BR21" s="44">
        <f ca="1"/>
        <v>39</v>
      </c>
      <c r="BS21" s="44">
        <f ca="1"/>
        <v>33</v>
      </c>
      <c r="BT21" s="44">
        <f ca="1"/>
        <v>30</v>
      </c>
      <c r="BU21" s="44">
        <f ca="1"/>
        <v>30</v>
      </c>
      <c r="BV21" s="44">
        <f ca="1"/>
        <v>26</v>
      </c>
      <c r="BW21" s="44">
        <f ca="1"/>
        <v>23</v>
      </c>
      <c r="BX21" s="44">
        <f ca="1"/>
        <v>33</v>
      </c>
      <c r="BY21" s="44">
        <f ca="1"/>
        <v>19</v>
      </c>
      <c r="BZ21" s="44">
        <f ca="1"/>
        <v>15</v>
      </c>
      <c r="CA21" s="44">
        <f ca="1"/>
        <v>22</v>
      </c>
      <c r="CB21" s="44">
        <f ca="1"/>
        <v>32</v>
      </c>
      <c r="CC21" s="44">
        <f ca="1"/>
        <v>29</v>
      </c>
      <c r="CD21" s="44">
        <f ca="1"/>
        <v>34</v>
      </c>
      <c r="CE21" s="44">
        <f ca="1"/>
        <v>18</v>
      </c>
      <c r="CF21" s="44">
        <f ca="1"/>
        <v>31</v>
      </c>
      <c r="CG21" s="44">
        <f ca="1"/>
        <v>18</v>
      </c>
      <c r="CH21" s="44">
        <f ca="1"/>
        <v>34</v>
      </c>
      <c r="CI21" s="47">
        <f ca="1"/>
        <v>606.52173913043475</v>
      </c>
      <c r="CJ21" s="48">
        <f ca="1"/>
        <v>1.9563541666666663E-2</v>
      </c>
      <c r="CK21" s="42">
        <f t="shared" ca="1" si="0"/>
        <v>0</v>
      </c>
      <c r="CM21" s="44">
        <v>20</v>
      </c>
      <c r="CN21" s="44" t="str">
        <f ca="1"/>
        <v>Drew</v>
      </c>
      <c r="CO21" s="50" t="e" vm="14">
        <f ca="1"/>
        <v>#VALUE!</v>
      </c>
      <c r="CP21" s="44">
        <f ca="1"/>
        <v>0</v>
      </c>
      <c r="CQ21" s="48" t="e">
        <f ca="1"/>
        <v>#VALUE!</v>
      </c>
      <c r="CR21" s="47">
        <f ca="1"/>
        <v>581.52173913043487</v>
      </c>
    </row>
    <row r="22" spans="1:96">
      <c r="A22" s="44">
        <v>21</v>
      </c>
      <c r="B22" s="44" t="str">
        <v>Antistar</v>
      </c>
      <c r="C22" s="44">
        <v>3</v>
      </c>
      <c r="E22" s="44">
        <v>21</v>
      </c>
      <c r="F22" s="44" t="str">
        <v>Kasmo</v>
      </c>
      <c r="G22" s="45">
        <v>10495</v>
      </c>
      <c r="H22" s="45">
        <v>11633</v>
      </c>
      <c r="I22" s="45">
        <v>10921</v>
      </c>
      <c r="J22" s="45">
        <v>13406</v>
      </c>
      <c r="K22" s="45">
        <v>12477</v>
      </c>
      <c r="L22" s="45">
        <v>10288</v>
      </c>
      <c r="M22" s="45">
        <v>10489</v>
      </c>
      <c r="N22" s="45">
        <v>13100</v>
      </c>
      <c r="O22" s="45">
        <v>15754</v>
      </c>
      <c r="P22" s="45">
        <v>14059</v>
      </c>
      <c r="Q22" s="45">
        <v>10111</v>
      </c>
      <c r="R22" s="45">
        <v>11593</v>
      </c>
      <c r="S22" s="45">
        <v>10489</v>
      </c>
      <c r="T22" s="45">
        <v>14751</v>
      </c>
      <c r="U22" s="45">
        <v>14286</v>
      </c>
      <c r="V22" s="45">
        <v>13014</v>
      </c>
      <c r="W22" s="45">
        <v>10855</v>
      </c>
      <c r="X22" s="45">
        <v>12708</v>
      </c>
      <c r="Y22" s="45">
        <v>12031</v>
      </c>
      <c r="Z22" s="45">
        <v>13822</v>
      </c>
      <c r="AA22" s="46">
        <f ca="1"/>
        <v>7.5173611111111112E-4</v>
      </c>
      <c r="AB22" s="46">
        <f ca="1"/>
        <v>8.8344907407407404E-4</v>
      </c>
      <c r="AC22" s="46">
        <f ca="1"/>
        <v>8.010416666666667E-4</v>
      </c>
      <c r="AD22" s="46">
        <f ca="1"/>
        <v>1.0886574074074073E-3</v>
      </c>
      <c r="AE22" s="46">
        <f ca="1"/>
        <v>9.8113425925925929E-4</v>
      </c>
      <c r="AF22" s="46">
        <f ca="1"/>
        <v>7.2777777777777782E-4</v>
      </c>
      <c r="AG22" s="46">
        <f ca="1"/>
        <v>7.5104166666666668E-4</v>
      </c>
      <c r="AH22" s="46">
        <f ca="1"/>
        <v>1.0532407407407407E-3</v>
      </c>
      <c r="AI22" s="46">
        <f ca="1"/>
        <v>1.3604166666666667E-3</v>
      </c>
      <c r="AJ22" s="46">
        <f ca="1"/>
        <v>1.1642361111111111E-3</v>
      </c>
      <c r="AK22" s="46">
        <f ca="1"/>
        <v>7.0729166666666662E-4</v>
      </c>
      <c r="AL22" s="46">
        <f ca="1"/>
        <v>8.7881944444444444E-4</v>
      </c>
      <c r="AM22" s="46">
        <f ca="1"/>
        <v>7.5104166666666668E-4</v>
      </c>
      <c r="AN22" s="46">
        <f ca="1"/>
        <v>1.2443287037037037E-3</v>
      </c>
      <c r="AO22" s="46">
        <f ca="1"/>
        <v>1.1905092592592592E-3</v>
      </c>
      <c r="AP22" s="46">
        <f ca="1"/>
        <v>1.043287037037037E-3</v>
      </c>
      <c r="AQ22" s="46">
        <f ca="1"/>
        <v>7.9340277777777775E-4</v>
      </c>
      <c r="AR22" s="46">
        <f ca="1"/>
        <v>1.0078703703703703E-3</v>
      </c>
      <c r="AS22" s="46">
        <f ca="1"/>
        <v>9.295138888888889E-4</v>
      </c>
      <c r="AT22" s="46">
        <f ca="1"/>
        <v>1.1368055555555556E-3</v>
      </c>
      <c r="AU22" s="44">
        <f ca="1"/>
        <v>26</v>
      </c>
      <c r="AV22" s="44">
        <f ca="1"/>
        <v>12</v>
      </c>
      <c r="AW22" s="44">
        <f ca="1"/>
        <v>17</v>
      </c>
      <c r="AX22" s="44">
        <f ca="1"/>
        <v>12</v>
      </c>
      <c r="AY22" s="44">
        <f ca="1"/>
        <v>22</v>
      </c>
      <c r="AZ22" s="44">
        <f ca="1"/>
        <v>13</v>
      </c>
      <c r="BA22" s="44">
        <f ca="1"/>
        <v>9</v>
      </c>
      <c r="BB22" s="44">
        <f ca="1"/>
        <v>10</v>
      </c>
      <c r="BC22" s="44">
        <f ca="1"/>
        <v>21</v>
      </c>
      <c r="BD22" s="44">
        <f ca="1"/>
        <v>25</v>
      </c>
      <c r="BE22" s="44">
        <f ca="1"/>
        <v>15</v>
      </c>
      <c r="BF22" s="44">
        <f ca="1"/>
        <v>16</v>
      </c>
      <c r="BG22" s="44">
        <f ca="1"/>
        <v>20</v>
      </c>
      <c r="BH22" s="44">
        <f ca="1"/>
        <v>14</v>
      </c>
      <c r="BI22" s="44">
        <f ca="1"/>
        <v>15</v>
      </c>
      <c r="BJ22" s="44">
        <f ca="1"/>
        <v>17</v>
      </c>
      <c r="BK22" s="44">
        <f ca="1"/>
        <v>15</v>
      </c>
      <c r="BL22" s="44">
        <f ca="1"/>
        <v>11</v>
      </c>
      <c r="BM22" s="44">
        <f ca="1"/>
        <v>32</v>
      </c>
      <c r="BN22" s="44">
        <f ca="1"/>
        <v>25</v>
      </c>
      <c r="BO22" s="44">
        <f ca="1"/>
        <v>21</v>
      </c>
      <c r="BP22" s="44">
        <f ca="1"/>
        <v>35</v>
      </c>
      <c r="BQ22" s="44">
        <f ca="1"/>
        <v>30</v>
      </c>
      <c r="BR22" s="44">
        <f ca="1"/>
        <v>35</v>
      </c>
      <c r="BS22" s="44">
        <f ca="1"/>
        <v>25</v>
      </c>
      <c r="BT22" s="44">
        <f ca="1"/>
        <v>34</v>
      </c>
      <c r="BU22" s="44">
        <f ca="1"/>
        <v>38</v>
      </c>
      <c r="BV22" s="44">
        <f ca="1"/>
        <v>37</v>
      </c>
      <c r="BW22" s="44">
        <f ca="1"/>
        <v>26</v>
      </c>
      <c r="BX22" s="44">
        <f ca="1"/>
        <v>22</v>
      </c>
      <c r="BY22" s="44">
        <f ca="1"/>
        <v>32</v>
      </c>
      <c r="BZ22" s="44">
        <f ca="1"/>
        <v>31</v>
      </c>
      <c r="CA22" s="44">
        <f ca="1"/>
        <v>27</v>
      </c>
      <c r="CB22" s="44">
        <f ca="1"/>
        <v>33</v>
      </c>
      <c r="CC22" s="44">
        <f ca="1"/>
        <v>32</v>
      </c>
      <c r="CD22" s="44">
        <f ca="1"/>
        <v>30</v>
      </c>
      <c r="CE22" s="44">
        <f ca="1"/>
        <v>32</v>
      </c>
      <c r="CF22" s="44">
        <f ca="1"/>
        <v>36</v>
      </c>
      <c r="CG22" s="44">
        <f ca="1"/>
        <v>15</v>
      </c>
      <c r="CH22" s="44">
        <f ca="1"/>
        <v>22</v>
      </c>
      <c r="CI22" s="47">
        <f ca="1"/>
        <v>644.56521739130437</v>
      </c>
      <c r="CJ22" s="48">
        <f ca="1"/>
        <v>1.9245601851851851E-2</v>
      </c>
      <c r="CK22" s="42">
        <f t="shared" ca="1" si="0"/>
        <v>0</v>
      </c>
      <c r="CM22" s="44">
        <v>21</v>
      </c>
      <c r="CN22" s="44" t="str">
        <f ca="1"/>
        <v>Sjors</v>
      </c>
      <c r="CO22" s="50" t="e" vm="12">
        <f ca="1"/>
        <v>#VALUE!</v>
      </c>
      <c r="CP22" s="44">
        <f ca="1"/>
        <v>0</v>
      </c>
      <c r="CQ22" s="48" t="e">
        <f ca="1"/>
        <v>#VALUE!</v>
      </c>
      <c r="CR22" s="47">
        <f ca="1"/>
        <v>573.91304347826087</v>
      </c>
    </row>
    <row r="23" spans="1:96">
      <c r="A23" s="44">
        <v>22</v>
      </c>
      <c r="B23" s="44" t="str">
        <v>Cap</v>
      </c>
      <c r="C23" s="44">
        <v>35</v>
      </c>
      <c r="E23" s="44">
        <v>22</v>
      </c>
      <c r="F23" s="44" t="str">
        <v>KVD</v>
      </c>
      <c r="G23" s="45">
        <v>10145</v>
      </c>
      <c r="H23" s="45">
        <v>11372</v>
      </c>
      <c r="I23" s="45">
        <v>10734</v>
      </c>
      <c r="J23" s="45">
        <v>12982</v>
      </c>
      <c r="K23" s="45">
        <v>11617</v>
      </c>
      <c r="L23" s="45">
        <v>10035</v>
      </c>
      <c r="M23" s="45">
        <v>10346</v>
      </c>
      <c r="N23" s="45">
        <v>12602</v>
      </c>
      <c r="O23" s="45">
        <v>14495</v>
      </c>
      <c r="P23" s="45">
        <v>13014</v>
      </c>
      <c r="Q23" s="45">
        <v>5500</v>
      </c>
      <c r="R23" s="45">
        <v>10588</v>
      </c>
      <c r="S23" s="45">
        <v>5520</v>
      </c>
      <c r="T23" s="45">
        <v>13854</v>
      </c>
      <c r="U23" s="45">
        <v>14003</v>
      </c>
      <c r="V23" s="45">
        <v>11715</v>
      </c>
      <c r="W23" s="45">
        <v>5715</v>
      </c>
      <c r="X23" s="45">
        <v>11645</v>
      </c>
      <c r="Y23" s="45">
        <v>5556</v>
      </c>
      <c r="Z23" s="45">
        <v>12857</v>
      </c>
      <c r="AA23" s="46">
        <f ca="1"/>
        <v>7.1122685185185189E-4</v>
      </c>
      <c r="AB23" s="46">
        <f ca="1"/>
        <v>8.5324074074074078E-4</v>
      </c>
      <c r="AC23" s="46">
        <f ca="1"/>
        <v>7.7939814814814809E-4</v>
      </c>
      <c r="AD23" s="46">
        <f ca="1"/>
        <v>1.0395833333333333E-3</v>
      </c>
      <c r="AE23" s="46">
        <f ca="1"/>
        <v>8.815972222222222E-4</v>
      </c>
      <c r="AF23" s="46">
        <f ca="1"/>
        <v>6.9849537037037037E-4</v>
      </c>
      <c r="AG23" s="46">
        <f ca="1"/>
        <v>7.3449074074074074E-4</v>
      </c>
      <c r="AH23" s="46">
        <f ca="1"/>
        <v>9.956018518518519E-4</v>
      </c>
      <c r="AI23" s="46">
        <f ca="1"/>
        <v>1.214699074074074E-3</v>
      </c>
      <c r="AJ23" s="46">
        <f ca="1"/>
        <v>1.043287037037037E-3</v>
      </c>
      <c r="AK23" s="46">
        <f ca="1"/>
        <v>6.3657407407407413E-4</v>
      </c>
      <c r="AL23" s="46">
        <f ca="1"/>
        <v>7.6250000000000005E-4</v>
      </c>
      <c r="AM23" s="46">
        <f ca="1"/>
        <v>6.3888888888888893E-4</v>
      </c>
      <c r="AN23" s="46">
        <f ca="1"/>
        <v>1.1405092592592593E-3</v>
      </c>
      <c r="AO23" s="46">
        <f ca="1"/>
        <v>1.1577546296296297E-3</v>
      </c>
      <c r="AP23" s="46">
        <f ca="1"/>
        <v>8.9293981481481483E-4</v>
      </c>
      <c r="AQ23" s="46">
        <f ca="1"/>
        <v>6.6145833333333334E-4</v>
      </c>
      <c r="AR23" s="46">
        <f ca="1"/>
        <v>8.8483796296296292E-4</v>
      </c>
      <c r="AS23" s="46">
        <f ca="1"/>
        <v>6.4305555555555557E-4</v>
      </c>
      <c r="AT23" s="46">
        <f ca="1"/>
        <v>1.0251157407407407E-3</v>
      </c>
      <c r="AU23" s="44">
        <f ca="1"/>
        <v>8</v>
      </c>
      <c r="AV23" s="44">
        <f ca="1"/>
        <v>4</v>
      </c>
      <c r="AW23" s="44">
        <f ca="1"/>
        <v>1</v>
      </c>
      <c r="AX23" s="44">
        <f ca="1"/>
        <v>1</v>
      </c>
      <c r="AY23" s="44">
        <f ca="1"/>
        <v>1</v>
      </c>
      <c r="AZ23" s="44">
        <f ca="1"/>
        <v>8</v>
      </c>
      <c r="BA23" s="44">
        <f ca="1"/>
        <v>1</v>
      </c>
      <c r="BB23" s="44">
        <f ca="1"/>
        <v>1</v>
      </c>
      <c r="BC23" s="44">
        <f ca="1"/>
        <v>1</v>
      </c>
      <c r="BD23" s="44">
        <f ca="1"/>
        <v>3</v>
      </c>
      <c r="BE23" s="44">
        <f ca="1"/>
        <v>3</v>
      </c>
      <c r="BF23" s="44">
        <f ca="1"/>
        <v>1</v>
      </c>
      <c r="BG23" s="44">
        <f ca="1"/>
        <v>2</v>
      </c>
      <c r="BH23" s="44">
        <f ca="1"/>
        <v>5</v>
      </c>
      <c r="BI23" s="44">
        <f ca="1"/>
        <v>8</v>
      </c>
      <c r="BJ23" s="44">
        <f ca="1"/>
        <v>1</v>
      </c>
      <c r="BK23" s="44">
        <f ca="1"/>
        <v>1</v>
      </c>
      <c r="BL23" s="44">
        <f ca="1"/>
        <v>2</v>
      </c>
      <c r="BM23" s="44">
        <f ca="1"/>
        <v>2</v>
      </c>
      <c r="BN23" s="44">
        <f ca="1"/>
        <v>2</v>
      </c>
      <c r="BO23" s="44">
        <f ca="1"/>
        <v>39</v>
      </c>
      <c r="BP23" s="44">
        <f ca="1"/>
        <v>43</v>
      </c>
      <c r="BQ23" s="44">
        <f ca="1"/>
        <v>46</v>
      </c>
      <c r="BR23" s="44">
        <f ca="1"/>
        <v>46</v>
      </c>
      <c r="BS23" s="44">
        <f ca="1"/>
        <v>46</v>
      </c>
      <c r="BT23" s="44">
        <f ca="1"/>
        <v>39</v>
      </c>
      <c r="BU23" s="44">
        <f ca="1"/>
        <v>46</v>
      </c>
      <c r="BV23" s="44">
        <f ca="1"/>
        <v>46</v>
      </c>
      <c r="BW23" s="44">
        <f ca="1"/>
        <v>46</v>
      </c>
      <c r="BX23" s="44">
        <f ca="1"/>
        <v>44</v>
      </c>
      <c r="BY23" s="44">
        <f ca="1"/>
        <v>44</v>
      </c>
      <c r="BZ23" s="44">
        <f ca="1"/>
        <v>46</v>
      </c>
      <c r="CA23" s="44">
        <f ca="1"/>
        <v>45</v>
      </c>
      <c r="CB23" s="44">
        <f ca="1"/>
        <v>42</v>
      </c>
      <c r="CC23" s="44">
        <f ca="1"/>
        <v>39</v>
      </c>
      <c r="CD23" s="44">
        <f ca="1"/>
        <v>46</v>
      </c>
      <c r="CE23" s="44">
        <f ca="1"/>
        <v>46</v>
      </c>
      <c r="CF23" s="44">
        <f ca="1"/>
        <v>45</v>
      </c>
      <c r="CG23" s="44">
        <f ca="1"/>
        <v>45</v>
      </c>
      <c r="CH23" s="44">
        <f ca="1"/>
        <v>45</v>
      </c>
      <c r="CI23" s="47">
        <f ca="1"/>
        <v>960.86956521739137</v>
      </c>
      <c r="CJ23" s="48">
        <f ca="1"/>
        <v>1.7395254629629629E-2</v>
      </c>
      <c r="CK23" s="42">
        <f t="shared" ca="1" si="0"/>
        <v>9</v>
      </c>
      <c r="CM23" s="44">
        <v>22</v>
      </c>
      <c r="CN23" s="44" t="str">
        <f ca="1"/>
        <v>Narnet</v>
      </c>
      <c r="CO23" s="50" t="e" vm="19">
        <f ca="1"/>
        <v>#VALUE!</v>
      </c>
      <c r="CP23" s="44">
        <f ca="1"/>
        <v>0</v>
      </c>
      <c r="CQ23" s="48" t="e">
        <f ca="1"/>
        <v>#VALUE!</v>
      </c>
      <c r="CR23" s="47">
        <f ca="1"/>
        <v>569.56521739130426</v>
      </c>
    </row>
    <row r="24" spans="1:96">
      <c r="A24" s="44">
        <v>23</v>
      </c>
      <c r="B24" s="44" t="str">
        <v>Onwa</v>
      </c>
      <c r="C24" s="44">
        <v>14</v>
      </c>
      <c r="E24" s="44">
        <v>23</v>
      </c>
      <c r="F24" s="44" t="str">
        <v>Lafungo</v>
      </c>
      <c r="G24" s="45">
        <v>5950</v>
      </c>
      <c r="H24" s="45">
        <v>11319</v>
      </c>
      <c r="I24" s="45">
        <v>10789</v>
      </c>
      <c r="J24" s="45">
        <v>12986</v>
      </c>
      <c r="K24" s="45">
        <v>11659</v>
      </c>
      <c r="L24" s="45">
        <v>5792</v>
      </c>
      <c r="M24" s="45">
        <v>10360</v>
      </c>
      <c r="N24" s="45">
        <v>13311</v>
      </c>
      <c r="O24" s="45">
        <v>14519</v>
      </c>
      <c r="P24" s="45">
        <v>13458</v>
      </c>
      <c r="Q24" s="45">
        <v>5560</v>
      </c>
      <c r="R24" s="45">
        <v>10775</v>
      </c>
      <c r="S24" s="45">
        <v>5689</v>
      </c>
      <c r="T24" s="45">
        <v>13741</v>
      </c>
      <c r="U24" s="45">
        <v>13528</v>
      </c>
      <c r="V24" s="45">
        <v>12248</v>
      </c>
      <c r="W24" s="45">
        <v>5804</v>
      </c>
      <c r="X24" s="45">
        <v>11794</v>
      </c>
      <c r="Y24" s="45">
        <v>5802</v>
      </c>
      <c r="Z24" s="45">
        <v>12943</v>
      </c>
      <c r="AA24" s="46">
        <f ca="1"/>
        <v>6.8865740740740736E-4</v>
      </c>
      <c r="AB24" s="46">
        <f ca="1"/>
        <v>8.4710648148148145E-4</v>
      </c>
      <c r="AC24" s="46">
        <f ca="1"/>
        <v>7.857638888888889E-4</v>
      </c>
      <c r="AD24" s="46">
        <f ca="1"/>
        <v>1.0400462962962963E-3</v>
      </c>
      <c r="AE24" s="46">
        <f ca="1"/>
        <v>8.8645833333333328E-4</v>
      </c>
      <c r="AF24" s="46">
        <f ca="1"/>
        <v>6.7037037037037033E-4</v>
      </c>
      <c r="AG24" s="46">
        <f ca="1"/>
        <v>7.361111111111111E-4</v>
      </c>
      <c r="AH24" s="46">
        <f ca="1"/>
        <v>1.0776620370370371E-3</v>
      </c>
      <c r="AI24" s="46">
        <f ca="1"/>
        <v>1.2174768518518517E-3</v>
      </c>
      <c r="AJ24" s="46">
        <f ca="1"/>
        <v>1.094675925925926E-3</v>
      </c>
      <c r="AK24" s="46">
        <f ca="1"/>
        <v>6.4351851851851853E-4</v>
      </c>
      <c r="AL24" s="46">
        <f ca="1"/>
        <v>7.8414351851851854E-4</v>
      </c>
      <c r="AM24" s="46">
        <f ca="1"/>
        <v>6.584490740740741E-4</v>
      </c>
      <c r="AN24" s="46">
        <f ca="1"/>
        <v>1.1274305555555556E-3</v>
      </c>
      <c r="AO24" s="46">
        <f ca="1"/>
        <v>1.1027777777777778E-3</v>
      </c>
      <c r="AP24" s="46">
        <f ca="1"/>
        <v>9.546296296296296E-4</v>
      </c>
      <c r="AQ24" s="46">
        <f ca="1"/>
        <v>6.7175925925925921E-4</v>
      </c>
      <c r="AR24" s="46">
        <f ca="1"/>
        <v>9.020833333333333E-4</v>
      </c>
      <c r="AS24" s="46">
        <f ca="1"/>
        <v>6.7152777777777773E-4</v>
      </c>
      <c r="AT24" s="46">
        <f ca="1"/>
        <v>1.0350694444444444E-3</v>
      </c>
      <c r="AU24" s="44">
        <f ca="1"/>
        <v>1</v>
      </c>
      <c r="AV24" s="44">
        <f ca="1"/>
        <v>3</v>
      </c>
      <c r="AW24" s="44">
        <f ca="1"/>
        <v>3</v>
      </c>
      <c r="AX24" s="44">
        <f ca="1"/>
        <v>2</v>
      </c>
      <c r="AY24" s="44">
        <f ca="1"/>
        <v>3</v>
      </c>
      <c r="AZ24" s="44">
        <f ca="1"/>
        <v>5</v>
      </c>
      <c r="BA24" s="44">
        <f ca="1"/>
        <v>3</v>
      </c>
      <c r="BB24" s="44">
        <f ca="1"/>
        <v>16</v>
      </c>
      <c r="BC24" s="44">
        <f ca="1"/>
        <v>4</v>
      </c>
      <c r="BD24" s="44">
        <f ca="1"/>
        <v>9</v>
      </c>
      <c r="BE24" s="44">
        <f ca="1"/>
        <v>4</v>
      </c>
      <c r="BF24" s="44">
        <f ca="1"/>
        <v>5</v>
      </c>
      <c r="BG24" s="44">
        <f ca="1"/>
        <v>5</v>
      </c>
      <c r="BH24" s="44">
        <f ca="1"/>
        <v>3</v>
      </c>
      <c r="BI24" s="44">
        <f ca="1"/>
        <v>2</v>
      </c>
      <c r="BJ24" s="44">
        <f ca="1"/>
        <v>5</v>
      </c>
      <c r="BK24" s="44">
        <f ca="1"/>
        <v>2</v>
      </c>
      <c r="BL24" s="44">
        <f ca="1"/>
        <v>4</v>
      </c>
      <c r="BM24" s="44">
        <f ca="1"/>
        <v>3</v>
      </c>
      <c r="BN24" s="44">
        <f ca="1"/>
        <v>4</v>
      </c>
      <c r="BO24" s="44">
        <f ca="1"/>
        <v>46</v>
      </c>
      <c r="BP24" s="44">
        <f ca="1"/>
        <v>44</v>
      </c>
      <c r="BQ24" s="44">
        <f ca="1"/>
        <v>44</v>
      </c>
      <c r="BR24" s="44">
        <f ca="1"/>
        <v>45</v>
      </c>
      <c r="BS24" s="44">
        <f ca="1"/>
        <v>44</v>
      </c>
      <c r="BT24" s="44">
        <f ca="1"/>
        <v>42</v>
      </c>
      <c r="BU24" s="44">
        <f ca="1"/>
        <v>44</v>
      </c>
      <c r="BV24" s="44">
        <f ca="1"/>
        <v>31</v>
      </c>
      <c r="BW24" s="44">
        <f ca="1"/>
        <v>43</v>
      </c>
      <c r="BX24" s="44">
        <f ca="1"/>
        <v>38</v>
      </c>
      <c r="BY24" s="44">
        <f ca="1"/>
        <v>43</v>
      </c>
      <c r="BZ24" s="44">
        <f ca="1"/>
        <v>42</v>
      </c>
      <c r="CA24" s="44">
        <f ca="1"/>
        <v>42</v>
      </c>
      <c r="CB24" s="44">
        <f ca="1"/>
        <v>44</v>
      </c>
      <c r="CC24" s="44">
        <f ca="1"/>
        <v>45</v>
      </c>
      <c r="CD24" s="44">
        <f ca="1"/>
        <v>42</v>
      </c>
      <c r="CE24" s="44">
        <f ca="1"/>
        <v>45</v>
      </c>
      <c r="CF24" s="44">
        <f ca="1"/>
        <v>43</v>
      </c>
      <c r="CG24" s="44">
        <f ca="1"/>
        <v>44</v>
      </c>
      <c r="CH24" s="44">
        <f ca="1"/>
        <v>43</v>
      </c>
      <c r="CI24" s="47">
        <f ca="1"/>
        <v>928.26086956521749</v>
      </c>
      <c r="CJ24" s="48">
        <f ca="1"/>
        <v>1.759571759259259E-2</v>
      </c>
      <c r="CK24" s="42">
        <f t="shared" ca="1" si="0"/>
        <v>1</v>
      </c>
      <c r="CM24" s="44">
        <v>23</v>
      </c>
      <c r="CN24" s="44" t="str">
        <f ca="1"/>
        <v>Rejemy</v>
      </c>
      <c r="CO24" s="50" t="e" vm="15">
        <f ca="1"/>
        <v>#VALUE!</v>
      </c>
      <c r="CP24" s="44">
        <f ca="1"/>
        <v>0</v>
      </c>
      <c r="CQ24" s="48" t="e">
        <f ca="1"/>
        <v>#VALUE!</v>
      </c>
      <c r="CR24" s="47">
        <f ca="1"/>
        <v>557.60869565217388</v>
      </c>
    </row>
    <row r="25" spans="1:96">
      <c r="A25" s="44">
        <v>24</v>
      </c>
      <c r="B25" s="44" t="str">
        <v>Rejemy</v>
      </c>
      <c r="C25" s="44">
        <v>15</v>
      </c>
      <c r="E25" s="44">
        <v>24</v>
      </c>
      <c r="F25" s="44" t="str">
        <v>Lenain</v>
      </c>
      <c r="G25" s="45">
        <v>10437</v>
      </c>
      <c r="H25" s="45">
        <v>12260</v>
      </c>
      <c r="I25" s="45">
        <v>10961</v>
      </c>
      <c r="J25" s="45">
        <v>14047</v>
      </c>
      <c r="K25" s="45">
        <v>12143</v>
      </c>
      <c r="L25" s="45">
        <v>11008</v>
      </c>
      <c r="M25" s="45">
        <v>11036</v>
      </c>
      <c r="N25" s="45">
        <v>14150</v>
      </c>
      <c r="O25" s="45">
        <v>15571</v>
      </c>
      <c r="P25" s="45">
        <v>13715</v>
      </c>
      <c r="Q25" s="45">
        <v>10403</v>
      </c>
      <c r="R25" s="45">
        <v>12053</v>
      </c>
      <c r="S25" s="45">
        <v>11074</v>
      </c>
      <c r="T25" s="45">
        <v>20465</v>
      </c>
      <c r="U25" s="45">
        <v>15144</v>
      </c>
      <c r="V25" s="45">
        <v>13050</v>
      </c>
      <c r="W25" s="45">
        <v>11100</v>
      </c>
      <c r="X25" s="45">
        <v>15864</v>
      </c>
      <c r="Y25" s="45">
        <v>10706</v>
      </c>
      <c r="Z25" s="45">
        <v>14131</v>
      </c>
      <c r="AA25" s="46">
        <f ca="1"/>
        <v>7.4502314814814819E-4</v>
      </c>
      <c r="AB25" s="46">
        <f ca="1"/>
        <v>9.5601851851851848E-4</v>
      </c>
      <c r="AC25" s="46">
        <f ca="1"/>
        <v>8.056712962962963E-4</v>
      </c>
      <c r="AD25" s="46">
        <f ca="1"/>
        <v>1.1628472222222222E-3</v>
      </c>
      <c r="AE25" s="46">
        <f ca="1"/>
        <v>9.424768518518519E-4</v>
      </c>
      <c r="AF25" s="46">
        <f ca="1"/>
        <v>8.1111111111111108E-4</v>
      </c>
      <c r="AG25" s="46">
        <f ca="1"/>
        <v>8.143518518518518E-4</v>
      </c>
      <c r="AH25" s="46">
        <f ca="1"/>
        <v>1.1747685185185186E-3</v>
      </c>
      <c r="AI25" s="46">
        <f ca="1"/>
        <v>1.3392361111111111E-3</v>
      </c>
      <c r="AJ25" s="46">
        <f ca="1"/>
        <v>1.1244212962962963E-3</v>
      </c>
      <c r="AK25" s="46">
        <f ca="1"/>
        <v>7.4108796296296292E-4</v>
      </c>
      <c r="AL25" s="46">
        <f ca="1"/>
        <v>9.3206018518518518E-4</v>
      </c>
      <c r="AM25" s="46">
        <f ca="1"/>
        <v>8.1875000000000003E-4</v>
      </c>
      <c r="AN25" s="46">
        <f ca="1"/>
        <v>1.4427083333333334E-3</v>
      </c>
      <c r="AO25" s="46">
        <f ca="1"/>
        <v>1.2898148148148148E-3</v>
      </c>
      <c r="AP25" s="46">
        <f ca="1"/>
        <v>1.0474537037037037E-3</v>
      </c>
      <c r="AQ25" s="46">
        <f ca="1"/>
        <v>8.2175925925925927E-4</v>
      </c>
      <c r="AR25" s="46">
        <f ca="1"/>
        <v>1.3731481481481481E-3</v>
      </c>
      <c r="AS25" s="46">
        <f ca="1"/>
        <v>7.7615740740740737E-4</v>
      </c>
      <c r="AT25" s="46">
        <f ca="1"/>
        <v>1.1725694444444444E-3</v>
      </c>
      <c r="AU25" s="44">
        <f ca="1"/>
        <v>23</v>
      </c>
      <c r="AV25" s="44">
        <f ca="1"/>
        <v>27</v>
      </c>
      <c r="AW25" s="44">
        <f ca="1"/>
        <v>19</v>
      </c>
      <c r="AX25" s="44">
        <f ca="1"/>
        <v>25</v>
      </c>
      <c r="AY25" s="44">
        <f ca="1"/>
        <v>18</v>
      </c>
      <c r="AZ25" s="44">
        <f ca="1"/>
        <v>31</v>
      </c>
      <c r="BA25" s="44">
        <f ca="1"/>
        <v>26</v>
      </c>
      <c r="BB25" s="44">
        <f ca="1"/>
        <v>30</v>
      </c>
      <c r="BC25" s="44">
        <f ca="1"/>
        <v>17</v>
      </c>
      <c r="BD25" s="44">
        <f ca="1"/>
        <v>13</v>
      </c>
      <c r="BE25" s="44">
        <f ca="1"/>
        <v>19</v>
      </c>
      <c r="BF25" s="44">
        <f ca="1"/>
        <v>25</v>
      </c>
      <c r="BG25" s="44">
        <f ca="1"/>
        <v>29</v>
      </c>
      <c r="BH25" s="44">
        <f ca="1"/>
        <v>33</v>
      </c>
      <c r="BI25" s="44">
        <f ca="1"/>
        <v>22</v>
      </c>
      <c r="BJ25" s="44">
        <f ca="1"/>
        <v>18</v>
      </c>
      <c r="BK25" s="44">
        <f ca="1"/>
        <v>20</v>
      </c>
      <c r="BL25" s="44">
        <f ca="1"/>
        <v>40</v>
      </c>
      <c r="BM25" s="44">
        <f ca="1"/>
        <v>17</v>
      </c>
      <c r="BN25" s="44">
        <f ca="1"/>
        <v>27</v>
      </c>
      <c r="BO25" s="44">
        <f ca="1"/>
        <v>24</v>
      </c>
      <c r="BP25" s="44">
        <f ca="1"/>
        <v>20</v>
      </c>
      <c r="BQ25" s="44">
        <f ca="1"/>
        <v>28</v>
      </c>
      <c r="BR25" s="44">
        <f ca="1"/>
        <v>22</v>
      </c>
      <c r="BS25" s="44">
        <f ca="1"/>
        <v>29</v>
      </c>
      <c r="BT25" s="44">
        <f ca="1"/>
        <v>16</v>
      </c>
      <c r="BU25" s="44">
        <f ca="1"/>
        <v>21</v>
      </c>
      <c r="BV25" s="44">
        <f ca="1"/>
        <v>17</v>
      </c>
      <c r="BW25" s="44">
        <f ca="1"/>
        <v>30</v>
      </c>
      <c r="BX25" s="44">
        <f ca="1"/>
        <v>34</v>
      </c>
      <c r="BY25" s="44">
        <f ca="1"/>
        <v>28</v>
      </c>
      <c r="BZ25" s="44">
        <f ca="1"/>
        <v>22</v>
      </c>
      <c r="CA25" s="44">
        <f ca="1"/>
        <v>18</v>
      </c>
      <c r="CB25" s="44">
        <f ca="1"/>
        <v>14</v>
      </c>
      <c r="CC25" s="44">
        <f ca="1"/>
        <v>25</v>
      </c>
      <c r="CD25" s="44">
        <f ca="1"/>
        <v>29</v>
      </c>
      <c r="CE25" s="44">
        <f ca="1"/>
        <v>27</v>
      </c>
      <c r="CF25" s="44">
        <f ca="1"/>
        <v>7</v>
      </c>
      <c r="CG25" s="44">
        <f ca="1"/>
        <v>30</v>
      </c>
      <c r="CH25" s="44">
        <f ca="1"/>
        <v>20</v>
      </c>
      <c r="CI25" s="47">
        <f ca="1"/>
        <v>501.08695652173918</v>
      </c>
      <c r="CJ25" s="48">
        <f ca="1"/>
        <v>2.0291435185185183E-2</v>
      </c>
      <c r="CK25" s="42">
        <f t="shared" ca="1" si="0"/>
        <v>0</v>
      </c>
      <c r="CM25" s="44">
        <v>24</v>
      </c>
      <c r="CN25" s="44" t="str">
        <f ca="1"/>
        <v>Mark</v>
      </c>
      <c r="CO25" s="50" t="e" vm="12">
        <f ca="1"/>
        <v>#VALUE!</v>
      </c>
      <c r="CP25" s="44">
        <f ca="1"/>
        <v>0</v>
      </c>
      <c r="CQ25" s="48" t="e">
        <f ca="1"/>
        <v>#VALUE!</v>
      </c>
      <c r="CR25" s="47">
        <f ca="1"/>
        <v>538.04347826086951</v>
      </c>
    </row>
    <row r="26" spans="1:96">
      <c r="A26" s="44">
        <v>25</v>
      </c>
      <c r="B26" s="44" t="str">
        <v>JDR</v>
      </c>
      <c r="C26" s="44">
        <v>5</v>
      </c>
      <c r="E26" s="44">
        <v>25</v>
      </c>
      <c r="F26" s="44" t="str">
        <v>L'escargot</v>
      </c>
      <c r="G26" s="45">
        <v>11637</v>
      </c>
      <c r="H26" s="45">
        <v>13211</v>
      </c>
      <c r="I26" s="45">
        <v>12853</v>
      </c>
      <c r="J26" s="45">
        <v>15599</v>
      </c>
      <c r="K26" s="45">
        <v>13826</v>
      </c>
      <c r="L26" s="45">
        <v>11556</v>
      </c>
      <c r="M26" s="45">
        <v>13189</v>
      </c>
      <c r="N26" s="45">
        <v>15709</v>
      </c>
      <c r="O26" s="45">
        <v>22113</v>
      </c>
      <c r="P26" s="45">
        <v>20023</v>
      </c>
      <c r="Q26" s="45">
        <v>11209</v>
      </c>
      <c r="R26" s="45">
        <v>13100</v>
      </c>
      <c r="S26" s="45">
        <v>11569</v>
      </c>
      <c r="T26" s="45">
        <v>22710</v>
      </c>
      <c r="U26" s="45">
        <v>20875</v>
      </c>
      <c r="V26" s="45">
        <v>15161</v>
      </c>
      <c r="W26" s="45">
        <v>12340</v>
      </c>
      <c r="X26" s="45">
        <v>15412</v>
      </c>
      <c r="Y26" s="45">
        <v>12479</v>
      </c>
      <c r="Z26" s="45">
        <v>24091</v>
      </c>
      <c r="AA26" s="46">
        <f ca="1"/>
        <v>8.83912037037037E-4</v>
      </c>
      <c r="AB26" s="46">
        <f ca="1"/>
        <v>1.0660879629629629E-3</v>
      </c>
      <c r="AC26" s="46">
        <f ca="1"/>
        <v>1.0246527777777778E-3</v>
      </c>
      <c r="AD26" s="46">
        <f ca="1"/>
        <v>1.3424768518518519E-3</v>
      </c>
      <c r="AE26" s="46">
        <f ca="1"/>
        <v>1.1372685185185186E-3</v>
      </c>
      <c r="AF26" s="46">
        <f ca="1"/>
        <v>8.7453703703703706E-4</v>
      </c>
      <c r="AG26" s="46">
        <f ca="1"/>
        <v>1.0635416666666666E-3</v>
      </c>
      <c r="AH26" s="46">
        <f ca="1"/>
        <v>1.3552083333333333E-3</v>
      </c>
      <c r="AI26" s="46">
        <f ca="1"/>
        <v>1.6334490740740741E-3</v>
      </c>
      <c r="AJ26" s="46">
        <f ca="1"/>
        <v>1.3915509259259259E-3</v>
      </c>
      <c r="AK26" s="46">
        <f ca="1"/>
        <v>8.3437500000000005E-4</v>
      </c>
      <c r="AL26" s="46">
        <f ca="1"/>
        <v>1.0532407407407407E-3</v>
      </c>
      <c r="AM26" s="46">
        <f ca="1"/>
        <v>8.7604166666666668E-4</v>
      </c>
      <c r="AN26" s="46">
        <f ca="1"/>
        <v>1.7025462962962964E-3</v>
      </c>
      <c r="AO26" s="46">
        <f ca="1"/>
        <v>1.490162037037037E-3</v>
      </c>
      <c r="AP26" s="46">
        <f ca="1"/>
        <v>1.2917824074074075E-3</v>
      </c>
      <c r="AQ26" s="46">
        <f ca="1"/>
        <v>9.6527777777777779E-4</v>
      </c>
      <c r="AR26" s="46">
        <f ca="1"/>
        <v>1.3208333333333334E-3</v>
      </c>
      <c r="AS26" s="46">
        <f ca="1"/>
        <v>9.8136574074074077E-4</v>
      </c>
      <c r="AT26" s="46">
        <f ca="1"/>
        <v>1.8623842592592592E-3</v>
      </c>
      <c r="AU26" s="44">
        <f ca="1"/>
        <v>41</v>
      </c>
      <c r="AV26" s="44">
        <f ca="1"/>
        <v>34</v>
      </c>
      <c r="AW26" s="44">
        <f ca="1"/>
        <v>43</v>
      </c>
      <c r="AX26" s="44">
        <f ca="1"/>
        <v>39</v>
      </c>
      <c r="AY26" s="44">
        <f ca="1"/>
        <v>39</v>
      </c>
      <c r="AZ26" s="44">
        <f ca="1"/>
        <v>37</v>
      </c>
      <c r="BA26" s="44">
        <f ca="1"/>
        <v>44</v>
      </c>
      <c r="BB26" s="44">
        <f ca="1"/>
        <v>36</v>
      </c>
      <c r="BC26" s="44">
        <f ca="1"/>
        <v>39</v>
      </c>
      <c r="BD26" s="44">
        <f ca="1"/>
        <v>38</v>
      </c>
      <c r="BE26" s="44">
        <f ca="1"/>
        <v>31</v>
      </c>
      <c r="BF26" s="44">
        <f ca="1"/>
        <v>36</v>
      </c>
      <c r="BG26" s="44">
        <f ca="1"/>
        <v>35</v>
      </c>
      <c r="BH26" s="44">
        <f ca="1"/>
        <v>43</v>
      </c>
      <c r="BI26" s="44">
        <f ca="1"/>
        <v>36</v>
      </c>
      <c r="BJ26" s="44">
        <f ca="1"/>
        <v>34</v>
      </c>
      <c r="BK26" s="44">
        <f ca="1"/>
        <v>40</v>
      </c>
      <c r="BL26" s="44">
        <f ca="1"/>
        <v>37</v>
      </c>
      <c r="BM26" s="44">
        <f ca="1"/>
        <v>33</v>
      </c>
      <c r="BN26" s="44">
        <f ca="1"/>
        <v>43</v>
      </c>
      <c r="BO26" s="44">
        <f ca="1"/>
        <v>6</v>
      </c>
      <c r="BP26" s="44">
        <f ca="1"/>
        <v>13</v>
      </c>
      <c r="BQ26" s="44">
        <f ca="1"/>
        <v>4</v>
      </c>
      <c r="BR26" s="44">
        <f ca="1"/>
        <v>8</v>
      </c>
      <c r="BS26" s="44">
        <f ca="1"/>
        <v>8</v>
      </c>
      <c r="BT26" s="44">
        <f ca="1"/>
        <v>10</v>
      </c>
      <c r="BU26" s="44">
        <f ca="1"/>
        <v>3</v>
      </c>
      <c r="BV26" s="44">
        <f ca="1"/>
        <v>11</v>
      </c>
      <c r="BW26" s="44">
        <f ca="1"/>
        <v>8</v>
      </c>
      <c r="BX26" s="44">
        <f ca="1"/>
        <v>9</v>
      </c>
      <c r="BY26" s="44">
        <f ca="1"/>
        <v>16</v>
      </c>
      <c r="BZ26" s="44">
        <f ca="1"/>
        <v>11</v>
      </c>
      <c r="CA26" s="44">
        <f ca="1"/>
        <v>12</v>
      </c>
      <c r="CB26" s="44">
        <f ca="1"/>
        <v>4</v>
      </c>
      <c r="CC26" s="44">
        <f ca="1"/>
        <v>11</v>
      </c>
      <c r="CD26" s="44">
        <f ca="1"/>
        <v>13</v>
      </c>
      <c r="CE26" s="44">
        <f ca="1"/>
        <v>7</v>
      </c>
      <c r="CF26" s="44">
        <f ca="1"/>
        <v>10</v>
      </c>
      <c r="CG26" s="44">
        <f ca="1"/>
        <v>14</v>
      </c>
      <c r="CH26" s="44">
        <f ca="1"/>
        <v>4</v>
      </c>
      <c r="CI26" s="47">
        <f ca="1"/>
        <v>197.82608695652175</v>
      </c>
      <c r="CJ26" s="48">
        <f ca="1"/>
        <v>2.4150694444444443E-2</v>
      </c>
      <c r="CK26" s="42">
        <f t="shared" ca="1" si="0"/>
        <v>0</v>
      </c>
      <c r="CM26" s="44">
        <v>25</v>
      </c>
      <c r="CN26" s="44" t="str">
        <f ca="1"/>
        <v>tif</v>
      </c>
      <c r="CO26" s="50" t="e" vm="15">
        <f ca="1"/>
        <v>#VALUE!</v>
      </c>
      <c r="CP26" s="44">
        <f ca="1"/>
        <v>0</v>
      </c>
      <c r="CQ26" s="48" t="e">
        <f ca="1"/>
        <v>#VALUE!</v>
      </c>
      <c r="CR26" s="47">
        <f ca="1"/>
        <v>521.73913043478262</v>
      </c>
    </row>
    <row r="27" spans="1:96">
      <c r="A27" s="44">
        <v>26</v>
      </c>
      <c r="B27" s="44" t="str">
        <v>Lafungo</v>
      </c>
      <c r="C27" s="44">
        <v>4</v>
      </c>
      <c r="E27" s="44">
        <v>26</v>
      </c>
      <c r="F27" s="44" t="str">
        <v>Leyla</v>
      </c>
      <c r="G27" s="45">
        <v>10210</v>
      </c>
      <c r="H27" s="45">
        <v>11524</v>
      </c>
      <c r="I27" s="45">
        <v>10847</v>
      </c>
      <c r="J27" s="45">
        <v>13239</v>
      </c>
      <c r="K27" s="45">
        <v>11926</v>
      </c>
      <c r="L27" s="45">
        <v>5844</v>
      </c>
      <c r="M27" s="45">
        <v>10465</v>
      </c>
      <c r="N27" s="45">
        <v>13245</v>
      </c>
      <c r="O27" s="45">
        <v>15484</v>
      </c>
      <c r="P27" s="45">
        <v>13524</v>
      </c>
      <c r="Q27" s="45">
        <v>5922</v>
      </c>
      <c r="R27" s="45">
        <v>10871</v>
      </c>
      <c r="S27" s="45">
        <v>5687</v>
      </c>
      <c r="T27" s="45">
        <v>15163</v>
      </c>
      <c r="U27" s="45">
        <v>14101</v>
      </c>
      <c r="V27" s="45">
        <v>12282</v>
      </c>
      <c r="W27" s="45">
        <v>10019</v>
      </c>
      <c r="X27" s="45">
        <v>12763</v>
      </c>
      <c r="Y27" s="45">
        <v>10477</v>
      </c>
      <c r="Z27" s="45">
        <v>13118</v>
      </c>
      <c r="AA27" s="46">
        <f ca="1"/>
        <v>7.1874999999999999E-4</v>
      </c>
      <c r="AB27" s="46">
        <f ca="1"/>
        <v>8.7083333333333338E-4</v>
      </c>
      <c r="AC27" s="46">
        <f ca="1"/>
        <v>7.9247685185185183E-4</v>
      </c>
      <c r="AD27" s="46">
        <f ca="1"/>
        <v>1.0693287037037036E-3</v>
      </c>
      <c r="AE27" s="46">
        <f ca="1"/>
        <v>9.1736111111111109E-4</v>
      </c>
      <c r="AF27" s="46">
        <f ca="1"/>
        <v>6.7638888888888892E-4</v>
      </c>
      <c r="AG27" s="46">
        <f ca="1"/>
        <v>7.4826388888888892E-4</v>
      </c>
      <c r="AH27" s="46">
        <f ca="1"/>
        <v>1.0700231481481481E-3</v>
      </c>
      <c r="AI27" s="46">
        <f ca="1"/>
        <v>1.3291666666666666E-3</v>
      </c>
      <c r="AJ27" s="46">
        <f ca="1"/>
        <v>1.1023148148148149E-3</v>
      </c>
      <c r="AK27" s="46">
        <f ca="1"/>
        <v>6.8541666666666664E-4</v>
      </c>
      <c r="AL27" s="46">
        <f ca="1"/>
        <v>7.9525462962962959E-4</v>
      </c>
      <c r="AM27" s="46">
        <f ca="1"/>
        <v>6.5821759259259262E-4</v>
      </c>
      <c r="AN27" s="46">
        <f ca="1"/>
        <v>1.292013888888889E-3</v>
      </c>
      <c r="AO27" s="46">
        <f ca="1"/>
        <v>1.1690972222222222E-3</v>
      </c>
      <c r="AP27" s="46">
        <f ca="1"/>
        <v>9.5856481481481476E-4</v>
      </c>
      <c r="AQ27" s="46">
        <f ca="1"/>
        <v>6.9664351851851853E-4</v>
      </c>
      <c r="AR27" s="46">
        <f ca="1"/>
        <v>1.0142361111111112E-3</v>
      </c>
      <c r="AS27" s="46">
        <f ca="1"/>
        <v>7.496527777777778E-4</v>
      </c>
      <c r="AT27" s="46">
        <f ca="1"/>
        <v>1.055324074074074E-3</v>
      </c>
      <c r="AU27" s="44">
        <f ca="1"/>
        <v>11</v>
      </c>
      <c r="AV27" s="44">
        <f ca="1"/>
        <v>7</v>
      </c>
      <c r="AW27" s="44">
        <f ca="1"/>
        <v>9</v>
      </c>
      <c r="AX27" s="44">
        <f ca="1"/>
        <v>7</v>
      </c>
      <c r="AY27" s="44">
        <f ca="1"/>
        <v>8</v>
      </c>
      <c r="AZ27" s="44">
        <f ca="1"/>
        <v>6</v>
      </c>
      <c r="BA27" s="44">
        <f ca="1"/>
        <v>8</v>
      </c>
      <c r="BB27" s="44">
        <f ca="1"/>
        <v>14</v>
      </c>
      <c r="BC27" s="44">
        <f ca="1"/>
        <v>15</v>
      </c>
      <c r="BD27" s="44">
        <f ca="1"/>
        <v>11</v>
      </c>
      <c r="BE27" s="44">
        <f ca="1"/>
        <v>9</v>
      </c>
      <c r="BF27" s="44">
        <f ca="1"/>
        <v>8</v>
      </c>
      <c r="BG27" s="44">
        <f ca="1"/>
        <v>4</v>
      </c>
      <c r="BH27" s="44">
        <f ca="1"/>
        <v>21</v>
      </c>
      <c r="BI27" s="44">
        <f ca="1"/>
        <v>14</v>
      </c>
      <c r="BJ27" s="44">
        <f ca="1"/>
        <v>7</v>
      </c>
      <c r="BK27" s="44">
        <f ca="1"/>
        <v>5</v>
      </c>
      <c r="BL27" s="44">
        <f ca="1"/>
        <v>12</v>
      </c>
      <c r="BM27" s="44">
        <f ca="1"/>
        <v>11</v>
      </c>
      <c r="BN27" s="44">
        <f ca="1"/>
        <v>7</v>
      </c>
      <c r="BO27" s="44">
        <f ca="1"/>
        <v>36</v>
      </c>
      <c r="BP27" s="44">
        <f ca="1"/>
        <v>40</v>
      </c>
      <c r="BQ27" s="44">
        <f ca="1"/>
        <v>38</v>
      </c>
      <c r="BR27" s="44">
        <f ca="1"/>
        <v>40</v>
      </c>
      <c r="BS27" s="44">
        <f ca="1"/>
        <v>39</v>
      </c>
      <c r="BT27" s="44">
        <f ca="1"/>
        <v>41</v>
      </c>
      <c r="BU27" s="44">
        <f ca="1"/>
        <v>39</v>
      </c>
      <c r="BV27" s="44">
        <f ca="1"/>
        <v>33</v>
      </c>
      <c r="BW27" s="44">
        <f ca="1"/>
        <v>32</v>
      </c>
      <c r="BX27" s="44">
        <f ca="1"/>
        <v>36</v>
      </c>
      <c r="BY27" s="44">
        <f ca="1"/>
        <v>38</v>
      </c>
      <c r="BZ27" s="44">
        <f ca="1"/>
        <v>39</v>
      </c>
      <c r="CA27" s="44">
        <f ca="1"/>
        <v>43</v>
      </c>
      <c r="CB27" s="44">
        <f ca="1"/>
        <v>26</v>
      </c>
      <c r="CC27" s="44">
        <f ca="1"/>
        <v>33</v>
      </c>
      <c r="CD27" s="44">
        <f ca="1"/>
        <v>40</v>
      </c>
      <c r="CE27" s="44">
        <f ca="1"/>
        <v>42</v>
      </c>
      <c r="CF27" s="44">
        <f ca="1"/>
        <v>35</v>
      </c>
      <c r="CG27" s="44">
        <f ca="1"/>
        <v>36</v>
      </c>
      <c r="CH27" s="44">
        <f ca="1"/>
        <v>40</v>
      </c>
      <c r="CI27" s="47">
        <f ca="1"/>
        <v>810.86956521739125</v>
      </c>
      <c r="CJ27" s="48">
        <f ca="1"/>
        <v>1.83693287037037E-2</v>
      </c>
      <c r="CK27" s="42">
        <f t="shared" ca="1" si="0"/>
        <v>0</v>
      </c>
      <c r="CM27" s="44">
        <v>26</v>
      </c>
      <c r="CN27" s="44" t="str">
        <f ca="1"/>
        <v>Patrick</v>
      </c>
      <c r="CO27" s="50" t="e" vm="12">
        <f ca="1"/>
        <v>#VALUE!</v>
      </c>
      <c r="CP27" s="44">
        <f ca="1"/>
        <v>0</v>
      </c>
      <c r="CQ27" s="48" t="e">
        <f ca="1"/>
        <v>#VALUE!</v>
      </c>
      <c r="CR27" s="47">
        <f ca="1"/>
        <v>517.39130434782612</v>
      </c>
    </row>
    <row r="28" spans="1:96">
      <c r="A28" s="44">
        <v>27</v>
      </c>
      <c r="B28" s="44" t="str">
        <v>Oni</v>
      </c>
      <c r="C28" s="44">
        <v>43</v>
      </c>
      <c r="E28" s="44">
        <v>27</v>
      </c>
      <c r="F28" s="44" t="str">
        <v>Lio</v>
      </c>
      <c r="G28" s="45">
        <v>13424</v>
      </c>
      <c r="H28" s="45">
        <v>20566</v>
      </c>
      <c r="I28" s="45">
        <v>13603</v>
      </c>
      <c r="J28" s="45">
        <v>22479</v>
      </c>
      <c r="K28" s="45">
        <v>20489</v>
      </c>
      <c r="L28" s="45">
        <v>14576</v>
      </c>
      <c r="M28" s="45">
        <v>15516</v>
      </c>
      <c r="N28" s="45">
        <v>23752</v>
      </c>
      <c r="O28" s="45">
        <v>30300</v>
      </c>
      <c r="P28" s="45">
        <v>22847</v>
      </c>
      <c r="Q28" s="45">
        <v>12694</v>
      </c>
      <c r="R28" s="45">
        <v>15205</v>
      </c>
      <c r="S28" s="45">
        <v>13983</v>
      </c>
      <c r="T28" s="45">
        <v>25527</v>
      </c>
      <c r="U28" s="45">
        <v>24429</v>
      </c>
      <c r="V28" s="45">
        <v>25010</v>
      </c>
      <c r="W28" s="45">
        <v>13333</v>
      </c>
      <c r="X28" s="45">
        <v>23649</v>
      </c>
      <c r="Y28" s="45">
        <v>15241</v>
      </c>
      <c r="Z28" s="45">
        <v>40478</v>
      </c>
      <c r="AA28" s="46">
        <f ca="1"/>
        <v>1.0907407407407406E-3</v>
      </c>
      <c r="AB28" s="46">
        <f ca="1"/>
        <v>1.4543981481481482E-3</v>
      </c>
      <c r="AC28" s="46">
        <f ca="1"/>
        <v>1.1114583333333334E-3</v>
      </c>
      <c r="AD28" s="46">
        <f ca="1"/>
        <v>1.6758101851851851E-3</v>
      </c>
      <c r="AE28" s="46">
        <f ca="1"/>
        <v>1.4454861111111111E-3</v>
      </c>
      <c r="AF28" s="46">
        <f ca="1"/>
        <v>1.224074074074074E-3</v>
      </c>
      <c r="AG28" s="46">
        <f ca="1"/>
        <v>1.3328703703703703E-3</v>
      </c>
      <c r="AH28" s="46">
        <f ca="1"/>
        <v>1.8231481481481482E-3</v>
      </c>
      <c r="AI28" s="46">
        <f ca="1"/>
        <v>2.1180555555555558E-3</v>
      </c>
      <c r="AJ28" s="46">
        <f ca="1"/>
        <v>1.7184027777777777E-3</v>
      </c>
      <c r="AK28" s="46">
        <f ca="1"/>
        <v>1.00625E-3</v>
      </c>
      <c r="AL28" s="46">
        <f ca="1"/>
        <v>1.2968750000000001E-3</v>
      </c>
      <c r="AM28" s="46">
        <f ca="1"/>
        <v>1.1554398148148149E-3</v>
      </c>
      <c r="AN28" s="46">
        <f ca="1"/>
        <v>2.0285879629629629E-3</v>
      </c>
      <c r="AO28" s="46">
        <f ca="1"/>
        <v>1.9015046296296297E-3</v>
      </c>
      <c r="AP28" s="46">
        <f ca="1"/>
        <v>1.96875E-3</v>
      </c>
      <c r="AQ28" s="46">
        <f ca="1"/>
        <v>1.0802083333333334E-3</v>
      </c>
      <c r="AR28" s="46">
        <f ca="1"/>
        <v>1.8112268518518518E-3</v>
      </c>
      <c r="AS28" s="46">
        <f ca="1"/>
        <v>1.3010416666666667E-3</v>
      </c>
      <c r="AT28" s="46">
        <f ca="1"/>
        <v>2.8331018518518518E-3</v>
      </c>
      <c r="AU28" s="44">
        <f ca="1"/>
        <v>47</v>
      </c>
      <c r="AV28" s="44">
        <f ca="1"/>
        <v>46</v>
      </c>
      <c r="AW28" s="44">
        <f ca="1"/>
        <v>45</v>
      </c>
      <c r="AX28" s="44">
        <f ca="1"/>
        <v>46</v>
      </c>
      <c r="AY28" s="44">
        <f ca="1"/>
        <v>46</v>
      </c>
      <c r="AZ28" s="44">
        <f ca="1"/>
        <v>47</v>
      </c>
      <c r="BA28" s="44">
        <f ca="1"/>
        <v>46</v>
      </c>
      <c r="BB28" s="44">
        <f ca="1"/>
        <v>46</v>
      </c>
      <c r="BC28" s="44">
        <f ca="1"/>
        <v>46</v>
      </c>
      <c r="BD28" s="44">
        <f ca="1"/>
        <v>47</v>
      </c>
      <c r="BE28" s="44">
        <f ca="1"/>
        <v>46</v>
      </c>
      <c r="BF28" s="44">
        <f ca="1"/>
        <v>46</v>
      </c>
      <c r="BG28" s="44">
        <f ca="1"/>
        <v>45</v>
      </c>
      <c r="BH28" s="44">
        <f ca="1"/>
        <v>46</v>
      </c>
      <c r="BI28" s="44">
        <f ca="1"/>
        <v>46</v>
      </c>
      <c r="BJ28" s="44">
        <f ca="1"/>
        <v>46</v>
      </c>
      <c r="BK28" s="44">
        <f ca="1"/>
        <v>46</v>
      </c>
      <c r="BL28" s="44">
        <f ca="1"/>
        <v>46</v>
      </c>
      <c r="BM28" s="44">
        <f ca="1"/>
        <v>45</v>
      </c>
      <c r="BN28" s="44">
        <f ca="1"/>
        <v>47</v>
      </c>
      <c r="BO28" s="44">
        <f ca="1"/>
        <v>0</v>
      </c>
      <c r="BP28" s="44">
        <f ca="1"/>
        <v>1</v>
      </c>
      <c r="BQ28" s="44">
        <f ca="1"/>
        <v>2</v>
      </c>
      <c r="BR28" s="44">
        <f ca="1"/>
        <v>1</v>
      </c>
      <c r="BS28" s="44">
        <f ca="1"/>
        <v>1</v>
      </c>
      <c r="BT28" s="44">
        <f ca="1"/>
        <v>0</v>
      </c>
      <c r="BU28" s="44">
        <f ca="1"/>
        <v>1</v>
      </c>
      <c r="BV28" s="44">
        <f ca="1"/>
        <v>1</v>
      </c>
      <c r="BW28" s="44">
        <f ca="1"/>
        <v>1</v>
      </c>
      <c r="BX28" s="44">
        <f ca="1"/>
        <v>0</v>
      </c>
      <c r="BY28" s="44">
        <f ca="1"/>
        <v>1</v>
      </c>
      <c r="BZ28" s="44">
        <f ca="1"/>
        <v>1</v>
      </c>
      <c r="CA28" s="44">
        <f ca="1"/>
        <v>2</v>
      </c>
      <c r="CB28" s="44">
        <f ca="1"/>
        <v>1</v>
      </c>
      <c r="CC28" s="44">
        <f ca="1"/>
        <v>1</v>
      </c>
      <c r="CD28" s="44">
        <f ca="1"/>
        <v>1</v>
      </c>
      <c r="CE28" s="44">
        <f ca="1"/>
        <v>1</v>
      </c>
      <c r="CF28" s="44">
        <f ca="1"/>
        <v>1</v>
      </c>
      <c r="CG28" s="44">
        <f ca="1"/>
        <v>2</v>
      </c>
      <c r="CH28" s="44">
        <f ca="1"/>
        <v>0</v>
      </c>
      <c r="CI28" s="47">
        <f ca="1"/>
        <v>20.652173913043477</v>
      </c>
      <c r="CJ28" s="48">
        <f ca="1"/>
        <v>3.1377430555555551E-2</v>
      </c>
      <c r="CK28" s="42">
        <f t="shared" ca="1" si="0"/>
        <v>0</v>
      </c>
      <c r="CM28" s="44">
        <v>27</v>
      </c>
      <c r="CN28" s="44" t="str">
        <f ca="1"/>
        <v>Edwin</v>
      </c>
      <c r="CO28" s="50" t="e" vm="12">
        <f ca="1"/>
        <v>#VALUE!</v>
      </c>
      <c r="CP28" s="44">
        <f ca="1"/>
        <v>0</v>
      </c>
      <c r="CQ28" s="48" t="e">
        <f ca="1"/>
        <v>#VALUE!</v>
      </c>
      <c r="CR28" s="47">
        <f ca="1"/>
        <v>508.695652173913</v>
      </c>
    </row>
    <row r="29" spans="1:96">
      <c r="A29" s="44">
        <v>28</v>
      </c>
      <c r="B29" s="44" t="str">
        <v>Ju2a</v>
      </c>
      <c r="C29" s="44">
        <v>46</v>
      </c>
      <c r="E29" s="44">
        <v>28</v>
      </c>
      <c r="F29" s="44" t="str">
        <v>Mark</v>
      </c>
      <c r="G29" s="45">
        <v>10282</v>
      </c>
      <c r="H29" s="45">
        <v>12210</v>
      </c>
      <c r="I29" s="45">
        <v>11189</v>
      </c>
      <c r="J29" s="45">
        <v>13677</v>
      </c>
      <c r="K29" s="45">
        <v>12103</v>
      </c>
      <c r="L29" s="45">
        <v>10600</v>
      </c>
      <c r="M29" s="45">
        <v>10537</v>
      </c>
      <c r="N29" s="45">
        <v>13534</v>
      </c>
      <c r="O29" s="45">
        <v>15910</v>
      </c>
      <c r="P29" s="45">
        <v>14300</v>
      </c>
      <c r="Q29" s="45">
        <v>10105</v>
      </c>
      <c r="R29" s="45">
        <v>11854</v>
      </c>
      <c r="S29" s="45">
        <v>10340</v>
      </c>
      <c r="T29" s="45">
        <v>15488</v>
      </c>
      <c r="U29" s="45">
        <v>15229</v>
      </c>
      <c r="V29" s="45">
        <v>13064</v>
      </c>
      <c r="W29" s="45">
        <v>11337</v>
      </c>
      <c r="X29" s="45">
        <v>13623</v>
      </c>
      <c r="Y29" s="45">
        <v>11502</v>
      </c>
      <c r="Z29" s="45">
        <v>14427</v>
      </c>
      <c r="AA29" s="46">
        <f ca="1"/>
        <v>7.2708333333333338E-4</v>
      </c>
      <c r="AB29" s="46">
        <f ca="1"/>
        <v>9.5023148148148148E-4</v>
      </c>
      <c r="AC29" s="46">
        <f ca="1"/>
        <v>8.3206018518518514E-4</v>
      </c>
      <c r="AD29" s="46">
        <f ca="1"/>
        <v>1.1200231481481482E-3</v>
      </c>
      <c r="AE29" s="46">
        <f ca="1"/>
        <v>9.3784722222222219E-4</v>
      </c>
      <c r="AF29" s="46">
        <f ca="1"/>
        <v>7.6388888888888893E-4</v>
      </c>
      <c r="AG29" s="46">
        <f ca="1"/>
        <v>7.565972222222222E-4</v>
      </c>
      <c r="AH29" s="46">
        <f ca="1"/>
        <v>1.1034722222222223E-3</v>
      </c>
      <c r="AI29" s="46">
        <f ca="1"/>
        <v>1.3784722222222221E-3</v>
      </c>
      <c r="AJ29" s="46">
        <f ca="1"/>
        <v>1.1921296296296296E-3</v>
      </c>
      <c r="AK29" s="46">
        <f ca="1"/>
        <v>7.0659722222222218E-4</v>
      </c>
      <c r="AL29" s="46">
        <f ca="1"/>
        <v>9.0902777777777781E-4</v>
      </c>
      <c r="AM29" s="46">
        <f ca="1"/>
        <v>7.337962962962963E-4</v>
      </c>
      <c r="AN29" s="46">
        <f ca="1"/>
        <v>1.3296296296296296E-3</v>
      </c>
      <c r="AO29" s="46">
        <f ca="1"/>
        <v>1.2996527777777778E-3</v>
      </c>
      <c r="AP29" s="46">
        <f ca="1"/>
        <v>1.049074074074074E-3</v>
      </c>
      <c r="AQ29" s="46">
        <f ca="1"/>
        <v>8.4918981481481477E-4</v>
      </c>
      <c r="AR29" s="46">
        <f ca="1"/>
        <v>1.1137731481481482E-3</v>
      </c>
      <c r="AS29" s="46">
        <f ca="1"/>
        <v>8.6828703703703699E-4</v>
      </c>
      <c r="AT29" s="46">
        <f ca="1"/>
        <v>1.2068287037037037E-3</v>
      </c>
      <c r="AU29" s="44">
        <f ca="1"/>
        <v>15</v>
      </c>
      <c r="AV29" s="44">
        <f ca="1"/>
        <v>25</v>
      </c>
      <c r="AW29" s="44">
        <f ca="1"/>
        <v>28</v>
      </c>
      <c r="AX29" s="44">
        <f ca="1"/>
        <v>19</v>
      </c>
      <c r="AY29" s="44">
        <f ca="1"/>
        <v>15</v>
      </c>
      <c r="AZ29" s="44">
        <f ca="1"/>
        <v>24</v>
      </c>
      <c r="BA29" s="44">
        <f ca="1"/>
        <v>15</v>
      </c>
      <c r="BB29" s="44">
        <f ca="1"/>
        <v>24</v>
      </c>
      <c r="BC29" s="44">
        <f ca="1"/>
        <v>26</v>
      </c>
      <c r="BD29" s="44">
        <f ca="1"/>
        <v>27</v>
      </c>
      <c r="BE29" s="44">
        <f ca="1"/>
        <v>14</v>
      </c>
      <c r="BF29" s="44">
        <f ca="1"/>
        <v>22</v>
      </c>
      <c r="BG29" s="44">
        <f ca="1"/>
        <v>16</v>
      </c>
      <c r="BH29" s="44">
        <f ca="1"/>
        <v>26</v>
      </c>
      <c r="BI29" s="44">
        <f ca="1"/>
        <v>24</v>
      </c>
      <c r="BJ29" s="44">
        <f ca="1"/>
        <v>19</v>
      </c>
      <c r="BK29" s="44">
        <f ca="1"/>
        <v>26</v>
      </c>
      <c r="BL29" s="44">
        <f ca="1"/>
        <v>23</v>
      </c>
      <c r="BM29" s="44">
        <f ca="1"/>
        <v>27</v>
      </c>
      <c r="BN29" s="44">
        <f ca="1"/>
        <v>30</v>
      </c>
      <c r="BO29" s="44">
        <f ca="1"/>
        <v>32</v>
      </c>
      <c r="BP29" s="44">
        <f ca="1"/>
        <v>22</v>
      </c>
      <c r="BQ29" s="44">
        <f ca="1"/>
        <v>19</v>
      </c>
      <c r="BR29" s="44">
        <f ca="1"/>
        <v>28</v>
      </c>
      <c r="BS29" s="44">
        <f ca="1"/>
        <v>32</v>
      </c>
      <c r="BT29" s="44">
        <f ca="1"/>
        <v>23</v>
      </c>
      <c r="BU29" s="44">
        <f ca="1"/>
        <v>32</v>
      </c>
      <c r="BV29" s="44">
        <f ca="1"/>
        <v>23</v>
      </c>
      <c r="BW29" s="44">
        <f ca="1"/>
        <v>21</v>
      </c>
      <c r="BX29" s="44">
        <f ca="1"/>
        <v>20</v>
      </c>
      <c r="BY29" s="44">
        <f ca="1"/>
        <v>33</v>
      </c>
      <c r="BZ29" s="44">
        <f ca="1"/>
        <v>25</v>
      </c>
      <c r="CA29" s="44">
        <f ca="1"/>
        <v>31</v>
      </c>
      <c r="CB29" s="44">
        <f ca="1"/>
        <v>21</v>
      </c>
      <c r="CC29" s="44">
        <f ca="1"/>
        <v>23</v>
      </c>
      <c r="CD29" s="44">
        <f ca="1"/>
        <v>28</v>
      </c>
      <c r="CE29" s="44">
        <f ca="1"/>
        <v>21</v>
      </c>
      <c r="CF29" s="44">
        <f ca="1"/>
        <v>24</v>
      </c>
      <c r="CG29" s="44">
        <f ca="1"/>
        <v>20</v>
      </c>
      <c r="CH29" s="44">
        <f ca="1"/>
        <v>17</v>
      </c>
      <c r="CI29" s="47">
        <f ca="1"/>
        <v>538.04347826086951</v>
      </c>
      <c r="CJ29" s="48">
        <f ca="1"/>
        <v>1.9827662037037036E-2</v>
      </c>
      <c r="CK29" s="42">
        <f t="shared" ca="1" si="0"/>
        <v>0</v>
      </c>
      <c r="CM29" s="44">
        <v>28</v>
      </c>
      <c r="CN29" s="44" t="str">
        <f ca="1"/>
        <v>Lenain</v>
      </c>
      <c r="CO29" s="50" t="e" vm="15">
        <f ca="1"/>
        <v>#VALUE!</v>
      </c>
      <c r="CP29" s="44">
        <f ca="1"/>
        <v>0</v>
      </c>
      <c r="CQ29" s="48" t="e">
        <f ca="1"/>
        <v>#VALUE!</v>
      </c>
      <c r="CR29" s="47">
        <f ca="1"/>
        <v>501.08695652173918</v>
      </c>
    </row>
    <row r="30" spans="1:96">
      <c r="A30" s="44">
        <v>29</v>
      </c>
      <c r="B30" s="44" t="str">
        <v>Julien</v>
      </c>
      <c r="C30" s="44">
        <v>20</v>
      </c>
      <c r="E30" s="44">
        <v>29</v>
      </c>
      <c r="F30" s="44" t="str">
        <v>Mike</v>
      </c>
      <c r="G30" s="45">
        <v>10151</v>
      </c>
      <c r="H30" s="45">
        <v>11571</v>
      </c>
      <c r="I30" s="45">
        <v>11122</v>
      </c>
      <c r="J30" s="45">
        <v>13343</v>
      </c>
      <c r="K30" s="45">
        <v>11882</v>
      </c>
      <c r="L30" s="45">
        <v>10137</v>
      </c>
      <c r="M30" s="45">
        <v>10419</v>
      </c>
      <c r="N30" s="45">
        <v>13036</v>
      </c>
      <c r="O30" s="45">
        <v>14835</v>
      </c>
      <c r="P30" s="45">
        <v>13814</v>
      </c>
      <c r="Q30" s="45">
        <v>5834</v>
      </c>
      <c r="R30" s="45">
        <v>10875</v>
      </c>
      <c r="S30" s="45">
        <v>10069</v>
      </c>
      <c r="T30" s="45">
        <v>14268</v>
      </c>
      <c r="U30" s="45">
        <v>13884</v>
      </c>
      <c r="V30" s="45">
        <v>12576</v>
      </c>
      <c r="W30" s="45">
        <v>10292</v>
      </c>
      <c r="X30" s="45">
        <v>13502</v>
      </c>
      <c r="Y30" s="45">
        <v>10302</v>
      </c>
      <c r="Z30" s="45">
        <v>13096</v>
      </c>
      <c r="AA30" s="46">
        <f ca="1"/>
        <v>7.1192129629629633E-4</v>
      </c>
      <c r="AB30" s="46">
        <f ca="1"/>
        <v>8.7627314814814816E-4</v>
      </c>
      <c r="AC30" s="46">
        <f ca="1"/>
        <v>8.2430555555555556E-4</v>
      </c>
      <c r="AD30" s="46">
        <f ca="1"/>
        <v>1.0813657407407408E-3</v>
      </c>
      <c r="AE30" s="46">
        <f ca="1"/>
        <v>9.1226851851851853E-4</v>
      </c>
      <c r="AF30" s="46">
        <f ca="1"/>
        <v>7.1030092592592596E-4</v>
      </c>
      <c r="AG30" s="46">
        <f ca="1"/>
        <v>7.4293981481481476E-4</v>
      </c>
      <c r="AH30" s="46">
        <f ca="1"/>
        <v>1.0458333333333333E-3</v>
      </c>
      <c r="AI30" s="46">
        <f ca="1"/>
        <v>1.2540509259259258E-3</v>
      </c>
      <c r="AJ30" s="46">
        <f ca="1"/>
        <v>1.1358796296296297E-3</v>
      </c>
      <c r="AK30" s="46">
        <f ca="1"/>
        <v>6.7523148148148152E-4</v>
      </c>
      <c r="AL30" s="46">
        <f ca="1"/>
        <v>7.9571759259259255E-4</v>
      </c>
      <c r="AM30" s="46">
        <f ca="1"/>
        <v>7.0243055555555553E-4</v>
      </c>
      <c r="AN30" s="46">
        <f ca="1"/>
        <v>1.1884259259259259E-3</v>
      </c>
      <c r="AO30" s="46">
        <f ca="1"/>
        <v>1.1439814814814815E-3</v>
      </c>
      <c r="AP30" s="46">
        <f ca="1"/>
        <v>9.9259259259259266E-4</v>
      </c>
      <c r="AQ30" s="46">
        <f ca="1"/>
        <v>7.2824074074074078E-4</v>
      </c>
      <c r="AR30" s="46">
        <f ca="1"/>
        <v>1.0997685185185186E-3</v>
      </c>
      <c r="AS30" s="46">
        <f ca="1"/>
        <v>7.2939814814814818E-4</v>
      </c>
      <c r="AT30" s="46">
        <f ca="1"/>
        <v>1.0527777777777777E-3</v>
      </c>
      <c r="AU30" s="44">
        <f ca="1"/>
        <v>9</v>
      </c>
      <c r="AV30" s="44">
        <f ca="1"/>
        <v>10</v>
      </c>
      <c r="AW30" s="44">
        <f ca="1"/>
        <v>25</v>
      </c>
      <c r="AX30" s="44">
        <f ca="1"/>
        <v>11</v>
      </c>
      <c r="AY30" s="44">
        <f ca="1"/>
        <v>5</v>
      </c>
      <c r="AZ30" s="44">
        <f ca="1"/>
        <v>9</v>
      </c>
      <c r="BA30" s="44">
        <f ca="1"/>
        <v>7</v>
      </c>
      <c r="BB30" s="44">
        <f ca="1"/>
        <v>8</v>
      </c>
      <c r="BC30" s="44">
        <f ca="1"/>
        <v>8</v>
      </c>
      <c r="BD30" s="44">
        <f ca="1"/>
        <v>17</v>
      </c>
      <c r="BE30" s="44">
        <f ca="1"/>
        <v>8</v>
      </c>
      <c r="BF30" s="44">
        <f ca="1"/>
        <v>9</v>
      </c>
      <c r="BG30" s="44">
        <f ca="1"/>
        <v>12</v>
      </c>
      <c r="BH30" s="44">
        <f ca="1"/>
        <v>8</v>
      </c>
      <c r="BI30" s="44">
        <f ca="1"/>
        <v>5</v>
      </c>
      <c r="BJ30" s="44">
        <f ca="1"/>
        <v>11</v>
      </c>
      <c r="BK30" s="44">
        <f ca="1"/>
        <v>10</v>
      </c>
      <c r="BL30" s="44">
        <f ca="1"/>
        <v>22</v>
      </c>
      <c r="BM30" s="44">
        <f ca="1"/>
        <v>9</v>
      </c>
      <c r="BN30" s="44">
        <f ca="1"/>
        <v>6</v>
      </c>
      <c r="BO30" s="44">
        <f ca="1"/>
        <v>38</v>
      </c>
      <c r="BP30" s="44">
        <f ca="1"/>
        <v>37</v>
      </c>
      <c r="BQ30" s="44">
        <f ca="1"/>
        <v>22</v>
      </c>
      <c r="BR30" s="44">
        <f ca="1"/>
        <v>36</v>
      </c>
      <c r="BS30" s="44">
        <f ca="1"/>
        <v>42</v>
      </c>
      <c r="BT30" s="44">
        <f ca="1"/>
        <v>38</v>
      </c>
      <c r="BU30" s="44">
        <f ca="1"/>
        <v>40</v>
      </c>
      <c r="BV30" s="44">
        <f ca="1"/>
        <v>39</v>
      </c>
      <c r="BW30" s="44">
        <f ca="1"/>
        <v>39</v>
      </c>
      <c r="BX30" s="44">
        <f ca="1"/>
        <v>30</v>
      </c>
      <c r="BY30" s="44">
        <f ca="1"/>
        <v>39</v>
      </c>
      <c r="BZ30" s="44">
        <f ca="1"/>
        <v>38</v>
      </c>
      <c r="CA30" s="44">
        <f ca="1"/>
        <v>35</v>
      </c>
      <c r="CB30" s="44">
        <f ca="1"/>
        <v>39</v>
      </c>
      <c r="CC30" s="44">
        <f ca="1"/>
        <v>42</v>
      </c>
      <c r="CD30" s="44">
        <f ca="1"/>
        <v>36</v>
      </c>
      <c r="CE30" s="44">
        <f ca="1"/>
        <v>37</v>
      </c>
      <c r="CF30" s="44">
        <f ca="1"/>
        <v>25</v>
      </c>
      <c r="CG30" s="44">
        <f ca="1"/>
        <v>38</v>
      </c>
      <c r="CH30" s="44">
        <f ca="1"/>
        <v>41</v>
      </c>
      <c r="CI30" s="47">
        <f ca="1"/>
        <v>794.56521739130426</v>
      </c>
      <c r="CJ30" s="48">
        <f ca="1"/>
        <v>1.8403703703703703E-2</v>
      </c>
      <c r="CK30" s="42">
        <f t="shared" ca="1" si="0"/>
        <v>0</v>
      </c>
      <c r="CM30" s="44">
        <v>29</v>
      </c>
      <c r="CN30" s="44" t="str">
        <f ca="1"/>
        <v>Banana</v>
      </c>
      <c r="CO30" s="50" t="e" vm="15">
        <f ca="1"/>
        <v>#VALUE!</v>
      </c>
      <c r="CP30" s="44">
        <f ca="1"/>
        <v>0</v>
      </c>
      <c r="CQ30" s="48" t="e">
        <f ca="1"/>
        <v>#VALUE!</v>
      </c>
      <c r="CR30" s="47">
        <f ca="1"/>
        <v>445.65217391304344</v>
      </c>
    </row>
    <row r="31" spans="1:96">
      <c r="A31" s="44">
        <v>30</v>
      </c>
      <c r="B31" s="44" t="str">
        <v>KVD</v>
      </c>
      <c r="C31" s="44">
        <v>1</v>
      </c>
      <c r="E31" s="44">
        <v>30</v>
      </c>
      <c r="F31" s="44" t="str">
        <v>Miku</v>
      </c>
      <c r="G31" s="45">
        <v>10859</v>
      </c>
      <c r="H31" s="45">
        <v>13856</v>
      </c>
      <c r="I31" s="45">
        <v>11544</v>
      </c>
      <c r="J31" s="45">
        <v>14429</v>
      </c>
      <c r="K31" s="45">
        <v>14304</v>
      </c>
      <c r="L31" s="45">
        <v>11981</v>
      </c>
      <c r="M31" s="45">
        <v>12553</v>
      </c>
      <c r="N31" s="45">
        <v>15844</v>
      </c>
      <c r="O31" s="45">
        <v>20885</v>
      </c>
      <c r="P31" s="45">
        <v>20608</v>
      </c>
      <c r="Q31" s="45">
        <v>11175</v>
      </c>
      <c r="R31" s="45">
        <v>13358</v>
      </c>
      <c r="S31" s="45">
        <v>11744</v>
      </c>
      <c r="T31" s="45">
        <v>15138</v>
      </c>
      <c r="U31" s="45">
        <v>20956</v>
      </c>
      <c r="V31" s="45">
        <v>21253</v>
      </c>
      <c r="W31" s="45">
        <v>12330</v>
      </c>
      <c r="X31" s="45">
        <v>13263</v>
      </c>
      <c r="Y31" s="45">
        <v>13114</v>
      </c>
      <c r="Z31" s="45">
        <v>24337</v>
      </c>
      <c r="AA31" s="46">
        <f ca="1"/>
        <v>7.9386574074074071E-4</v>
      </c>
      <c r="AB31" s="46">
        <f ca="1"/>
        <v>1.1407407407407408E-3</v>
      </c>
      <c r="AC31" s="46">
        <f ca="1"/>
        <v>8.7314814814814818E-4</v>
      </c>
      <c r="AD31" s="46">
        <f ca="1"/>
        <v>1.2070601851851851E-3</v>
      </c>
      <c r="AE31" s="46">
        <f ca="1"/>
        <v>1.1925925925925925E-3</v>
      </c>
      <c r="AF31" s="46">
        <f ca="1"/>
        <v>9.237268518518519E-4</v>
      </c>
      <c r="AG31" s="46">
        <f ca="1"/>
        <v>9.8993055555555553E-4</v>
      </c>
      <c r="AH31" s="46">
        <f ca="1"/>
        <v>1.3708333333333333E-3</v>
      </c>
      <c r="AI31" s="46">
        <f ca="1"/>
        <v>1.4913194444444444E-3</v>
      </c>
      <c r="AJ31" s="46">
        <f ca="1"/>
        <v>1.4592592592592593E-3</v>
      </c>
      <c r="AK31" s="46">
        <f ca="1"/>
        <v>8.3043981481481478E-4</v>
      </c>
      <c r="AL31" s="46">
        <f ca="1"/>
        <v>1.0831018518518518E-3</v>
      </c>
      <c r="AM31" s="46">
        <f ca="1"/>
        <v>8.9629629629629629E-4</v>
      </c>
      <c r="AN31" s="46">
        <f ca="1"/>
        <v>1.2891203703703704E-3</v>
      </c>
      <c r="AO31" s="46">
        <f ca="1"/>
        <v>1.4995370370370371E-3</v>
      </c>
      <c r="AP31" s="46">
        <f ca="1"/>
        <v>1.533912037037037E-3</v>
      </c>
      <c r="AQ31" s="46">
        <f ca="1"/>
        <v>9.6412037037037039E-4</v>
      </c>
      <c r="AR31" s="46">
        <f ca="1"/>
        <v>1.0721064814814814E-3</v>
      </c>
      <c r="AS31" s="46">
        <f ca="1"/>
        <v>1.054861111111111E-3</v>
      </c>
      <c r="AT31" s="46">
        <f ca="1"/>
        <v>1.8908564814814814E-3</v>
      </c>
      <c r="AU31" s="44">
        <f ca="1"/>
        <v>32</v>
      </c>
      <c r="AV31" s="44">
        <f ca="1"/>
        <v>38</v>
      </c>
      <c r="AW31" s="44">
        <f ca="1"/>
        <v>34</v>
      </c>
      <c r="AX31" s="44">
        <f ca="1"/>
        <v>28</v>
      </c>
      <c r="AY31" s="44">
        <f ca="1"/>
        <v>41</v>
      </c>
      <c r="AZ31" s="44">
        <f ca="1"/>
        <v>43</v>
      </c>
      <c r="BA31" s="44">
        <f ca="1"/>
        <v>37</v>
      </c>
      <c r="BB31" s="44">
        <f ca="1"/>
        <v>37</v>
      </c>
      <c r="BC31" s="44">
        <f ca="1"/>
        <v>32</v>
      </c>
      <c r="BD31" s="44">
        <f ca="1"/>
        <v>40</v>
      </c>
      <c r="BE31" s="44">
        <f ca="1"/>
        <v>30</v>
      </c>
      <c r="BF31" s="44">
        <f ca="1"/>
        <v>38</v>
      </c>
      <c r="BG31" s="44">
        <f ca="1"/>
        <v>38</v>
      </c>
      <c r="BH31" s="44">
        <f ca="1"/>
        <v>20</v>
      </c>
      <c r="BI31" s="44">
        <f ca="1"/>
        <v>38</v>
      </c>
      <c r="BJ31" s="44">
        <f ca="1"/>
        <v>44</v>
      </c>
      <c r="BK31" s="44">
        <f ca="1"/>
        <v>39</v>
      </c>
      <c r="BL31" s="44">
        <f ca="1"/>
        <v>20</v>
      </c>
      <c r="BM31" s="44">
        <f ca="1"/>
        <v>40</v>
      </c>
      <c r="BN31" s="44">
        <f ca="1"/>
        <v>44</v>
      </c>
      <c r="BO31" s="44">
        <f ca="1"/>
        <v>15</v>
      </c>
      <c r="BP31" s="44">
        <f ca="1"/>
        <v>9</v>
      </c>
      <c r="BQ31" s="44">
        <f ca="1"/>
        <v>13</v>
      </c>
      <c r="BR31" s="44">
        <f ca="1"/>
        <v>19</v>
      </c>
      <c r="BS31" s="44">
        <f ca="1"/>
        <v>6</v>
      </c>
      <c r="BT31" s="44">
        <f ca="1"/>
        <v>4</v>
      </c>
      <c r="BU31" s="44">
        <f ca="1"/>
        <v>10</v>
      </c>
      <c r="BV31" s="44">
        <f ca="1"/>
        <v>10</v>
      </c>
      <c r="BW31" s="44">
        <f ca="1"/>
        <v>15</v>
      </c>
      <c r="BX31" s="44">
        <f ca="1"/>
        <v>7</v>
      </c>
      <c r="BY31" s="44">
        <f ca="1"/>
        <v>17</v>
      </c>
      <c r="BZ31" s="44">
        <f ca="1"/>
        <v>9</v>
      </c>
      <c r="CA31" s="44">
        <f ca="1"/>
        <v>9</v>
      </c>
      <c r="CB31" s="44">
        <f ca="1"/>
        <v>27</v>
      </c>
      <c r="CC31" s="44">
        <f ca="1"/>
        <v>9</v>
      </c>
      <c r="CD31" s="44">
        <f ca="1"/>
        <v>3</v>
      </c>
      <c r="CE31" s="44">
        <f ca="1"/>
        <v>8</v>
      </c>
      <c r="CF31" s="44">
        <f ca="1"/>
        <v>27</v>
      </c>
      <c r="CG31" s="44">
        <f ca="1"/>
        <v>7</v>
      </c>
      <c r="CH31" s="44">
        <f ca="1"/>
        <v>3</v>
      </c>
      <c r="CI31" s="47">
        <f ca="1"/>
        <v>246.7391304347826</v>
      </c>
      <c r="CJ31" s="48">
        <f ca="1"/>
        <v>2.3556828703703708E-2</v>
      </c>
      <c r="CK31" s="42">
        <f t="shared" ca="1" si="0"/>
        <v>0</v>
      </c>
      <c r="CM31" s="44">
        <v>30</v>
      </c>
      <c r="CN31" s="44" t="str">
        <f ca="1"/>
        <v>FF</v>
      </c>
      <c r="CO31" s="50" t="e" vm="15">
        <f ca="1"/>
        <v>#VALUE!</v>
      </c>
      <c r="CP31" s="44">
        <f ca="1"/>
        <v>0</v>
      </c>
      <c r="CQ31" s="48" t="e">
        <f ca="1"/>
        <v>#VALUE!</v>
      </c>
      <c r="CR31" s="47">
        <f ca="1"/>
        <v>381.52173913043481</v>
      </c>
    </row>
    <row r="32" spans="1:96">
      <c r="A32" s="44">
        <v>31</v>
      </c>
      <c r="B32" s="44" t="str">
        <v>Leyla</v>
      </c>
      <c r="C32" s="44">
        <v>7</v>
      </c>
      <c r="E32" s="44">
        <v>31</v>
      </c>
      <c r="F32" s="44" t="str">
        <v>Moll</v>
      </c>
      <c r="G32" s="45">
        <v>10127</v>
      </c>
      <c r="H32" s="45">
        <v>11707</v>
      </c>
      <c r="I32" s="45">
        <v>10843</v>
      </c>
      <c r="J32" s="45">
        <v>13333</v>
      </c>
      <c r="K32" s="45">
        <v>12121</v>
      </c>
      <c r="L32" s="45">
        <v>10250</v>
      </c>
      <c r="M32" s="45">
        <v>10489</v>
      </c>
      <c r="N32" s="45">
        <v>12968</v>
      </c>
      <c r="O32" s="45">
        <v>14923</v>
      </c>
      <c r="P32" s="45">
        <v>13422</v>
      </c>
      <c r="Q32" s="45">
        <v>5962</v>
      </c>
      <c r="R32" s="45">
        <v>11144</v>
      </c>
      <c r="S32" s="45">
        <v>10045</v>
      </c>
      <c r="T32" s="45">
        <v>13850</v>
      </c>
      <c r="U32" s="45">
        <v>14081</v>
      </c>
      <c r="V32" s="45">
        <v>12455</v>
      </c>
      <c r="W32" s="45">
        <v>10246</v>
      </c>
      <c r="X32" s="45">
        <v>12240</v>
      </c>
      <c r="Y32" s="45">
        <v>10174</v>
      </c>
      <c r="Z32" s="45">
        <v>13347</v>
      </c>
      <c r="AA32" s="46">
        <f ca="1"/>
        <v>7.0914351851851856E-4</v>
      </c>
      <c r="AB32" s="46">
        <f ca="1"/>
        <v>8.9201388888888891E-4</v>
      </c>
      <c r="AC32" s="46">
        <f ca="1"/>
        <v>7.9201388888888887E-4</v>
      </c>
      <c r="AD32" s="46">
        <f ca="1"/>
        <v>1.0802083333333334E-3</v>
      </c>
      <c r="AE32" s="46">
        <f ca="1"/>
        <v>9.3993055555555551E-4</v>
      </c>
      <c r="AF32" s="46">
        <f ca="1"/>
        <v>7.2337962962962959E-4</v>
      </c>
      <c r="AG32" s="46">
        <f ca="1"/>
        <v>7.5104166666666668E-4</v>
      </c>
      <c r="AH32" s="46">
        <f ca="1"/>
        <v>1.037962962962963E-3</v>
      </c>
      <c r="AI32" s="46">
        <f ca="1"/>
        <v>1.2642361111111112E-3</v>
      </c>
      <c r="AJ32" s="46">
        <f ca="1"/>
        <v>1.0905092592592592E-3</v>
      </c>
      <c r="AK32" s="46">
        <f ca="1"/>
        <v>6.9004629629629635E-4</v>
      </c>
      <c r="AL32" s="46">
        <f ca="1"/>
        <v>8.2685185185185184E-4</v>
      </c>
      <c r="AM32" s="46">
        <f ca="1"/>
        <v>6.9965277777777777E-4</v>
      </c>
      <c r="AN32" s="46">
        <f ca="1"/>
        <v>1.1400462962962963E-3</v>
      </c>
      <c r="AO32" s="46">
        <f ca="1"/>
        <v>1.1667824074074074E-3</v>
      </c>
      <c r="AP32" s="46">
        <f ca="1"/>
        <v>9.78587962962963E-4</v>
      </c>
      <c r="AQ32" s="46">
        <f ca="1"/>
        <v>7.2291666666666663E-4</v>
      </c>
      <c r="AR32" s="46">
        <f ca="1"/>
        <v>9.5370370370370368E-4</v>
      </c>
      <c r="AS32" s="46">
        <f ca="1"/>
        <v>7.1458333333333335E-4</v>
      </c>
      <c r="AT32" s="46">
        <f ca="1"/>
        <v>1.0818287037037038E-3</v>
      </c>
      <c r="AU32" s="44">
        <f ca="1"/>
        <v>5</v>
      </c>
      <c r="AV32" s="44">
        <f ca="1"/>
        <v>15</v>
      </c>
      <c r="AW32" s="44">
        <f ca="1"/>
        <v>8</v>
      </c>
      <c r="AX32" s="44">
        <f ca="1"/>
        <v>10</v>
      </c>
      <c r="AY32" s="44">
        <f ca="1"/>
        <v>17</v>
      </c>
      <c r="AZ32" s="44">
        <f ca="1"/>
        <v>12</v>
      </c>
      <c r="BA32" s="44">
        <f ca="1"/>
        <v>9</v>
      </c>
      <c r="BB32" s="44">
        <f ca="1"/>
        <v>7</v>
      </c>
      <c r="BC32" s="44">
        <f ca="1"/>
        <v>11</v>
      </c>
      <c r="BD32" s="44">
        <f ca="1"/>
        <v>6</v>
      </c>
      <c r="BE32" s="44">
        <f ca="1"/>
        <v>10</v>
      </c>
      <c r="BF32" s="44">
        <f ca="1"/>
        <v>12</v>
      </c>
      <c r="BG32" s="44">
        <f ca="1"/>
        <v>10</v>
      </c>
      <c r="BH32" s="44">
        <f ca="1"/>
        <v>4</v>
      </c>
      <c r="BI32" s="44">
        <f ca="1"/>
        <v>13</v>
      </c>
      <c r="BJ32" s="44">
        <f ca="1"/>
        <v>9</v>
      </c>
      <c r="BK32" s="44">
        <f ca="1"/>
        <v>9</v>
      </c>
      <c r="BL32" s="44">
        <f ca="1"/>
        <v>9</v>
      </c>
      <c r="BM32" s="44">
        <f ca="1"/>
        <v>6</v>
      </c>
      <c r="BN32" s="44">
        <f ca="1"/>
        <v>12</v>
      </c>
      <c r="BO32" s="44">
        <f ca="1"/>
        <v>42</v>
      </c>
      <c r="BP32" s="44">
        <f ca="1"/>
        <v>32</v>
      </c>
      <c r="BQ32" s="44">
        <f ca="1"/>
        <v>39</v>
      </c>
      <c r="BR32" s="44">
        <f ca="1"/>
        <v>37</v>
      </c>
      <c r="BS32" s="44">
        <f ca="1"/>
        <v>30</v>
      </c>
      <c r="BT32" s="44">
        <f ca="1"/>
        <v>35</v>
      </c>
      <c r="BU32" s="44">
        <f ca="1"/>
        <v>38</v>
      </c>
      <c r="BV32" s="44">
        <f ca="1"/>
        <v>40</v>
      </c>
      <c r="BW32" s="44">
        <f ca="1"/>
        <v>36</v>
      </c>
      <c r="BX32" s="44">
        <f ca="1"/>
        <v>41</v>
      </c>
      <c r="BY32" s="44">
        <f ca="1"/>
        <v>37</v>
      </c>
      <c r="BZ32" s="44">
        <f ca="1"/>
        <v>35</v>
      </c>
      <c r="CA32" s="44">
        <f ca="1"/>
        <v>37</v>
      </c>
      <c r="CB32" s="44">
        <f ca="1"/>
        <v>43</v>
      </c>
      <c r="CC32" s="44">
        <f ca="1"/>
        <v>34</v>
      </c>
      <c r="CD32" s="44">
        <f ca="1"/>
        <v>38</v>
      </c>
      <c r="CE32" s="44">
        <f ca="1"/>
        <v>38</v>
      </c>
      <c r="CF32" s="44">
        <f ca="1"/>
        <v>38</v>
      </c>
      <c r="CG32" s="44">
        <f ca="1"/>
        <v>41</v>
      </c>
      <c r="CH32" s="44">
        <f ca="1"/>
        <v>35</v>
      </c>
      <c r="CI32" s="47">
        <f ca="1"/>
        <v>810.86956521739125</v>
      </c>
      <c r="CJ32" s="48">
        <f ca="1"/>
        <v>1.8255439814814818E-2</v>
      </c>
      <c r="CK32" s="42">
        <f t="shared" ca="1" si="0"/>
        <v>0</v>
      </c>
      <c r="CM32" s="44">
        <v>31</v>
      </c>
      <c r="CN32" s="44" t="str">
        <f ca="1"/>
        <v>Zip</v>
      </c>
      <c r="CO32" s="50" t="e" vm="15">
        <f ca="1"/>
        <v>#VALUE!</v>
      </c>
      <c r="CP32" s="44">
        <f ca="1"/>
        <v>0</v>
      </c>
      <c r="CQ32" s="48" t="e">
        <f ca="1"/>
        <v>#VALUE!</v>
      </c>
      <c r="CR32" s="47">
        <f ca="1"/>
        <v>379.3478260869565</v>
      </c>
    </row>
    <row r="33" spans="1:96">
      <c r="A33" s="44">
        <v>32</v>
      </c>
      <c r="B33" s="44" t="str">
        <v>Lio</v>
      </c>
      <c r="C33" s="44">
        <v>40</v>
      </c>
      <c r="E33" s="44">
        <v>32</v>
      </c>
      <c r="F33" s="44" t="str">
        <v>Narnet</v>
      </c>
      <c r="G33" s="45">
        <v>10425</v>
      </c>
      <c r="H33" s="45">
        <v>12276</v>
      </c>
      <c r="I33" s="45">
        <v>10990</v>
      </c>
      <c r="J33" s="45">
        <v>13864</v>
      </c>
      <c r="K33" s="45">
        <v>12606</v>
      </c>
      <c r="L33" s="45">
        <v>10553</v>
      </c>
      <c r="M33" s="45">
        <v>10708</v>
      </c>
      <c r="N33" s="45">
        <v>13460</v>
      </c>
      <c r="O33" s="45">
        <v>15748</v>
      </c>
      <c r="P33" s="45">
        <v>13800</v>
      </c>
      <c r="Q33" s="45">
        <v>10350</v>
      </c>
      <c r="R33" s="45">
        <v>11812</v>
      </c>
      <c r="S33" s="45">
        <v>10604</v>
      </c>
      <c r="T33" s="45">
        <v>15014</v>
      </c>
      <c r="U33" s="45">
        <v>14853</v>
      </c>
      <c r="V33" s="45">
        <v>13466</v>
      </c>
      <c r="W33" s="45">
        <v>11209</v>
      </c>
      <c r="X33" s="45">
        <v>13155</v>
      </c>
      <c r="Y33" s="45">
        <v>10714</v>
      </c>
      <c r="Z33" s="45">
        <v>13770</v>
      </c>
      <c r="AA33" s="46">
        <f ca="1"/>
        <v>7.4363425925925931E-4</v>
      </c>
      <c r="AB33" s="46">
        <f ca="1"/>
        <v>9.5787037037037032E-4</v>
      </c>
      <c r="AC33" s="46">
        <f ca="1"/>
        <v>8.0902777777777776E-4</v>
      </c>
      <c r="AD33" s="46">
        <f ca="1"/>
        <v>1.1416666666666667E-3</v>
      </c>
      <c r="AE33" s="46">
        <f ca="1"/>
        <v>9.9606481481481486E-4</v>
      </c>
      <c r="AF33" s="46">
        <f ca="1"/>
        <v>7.5844907407407404E-4</v>
      </c>
      <c r="AG33" s="46">
        <f ca="1"/>
        <v>7.7638888888888885E-4</v>
      </c>
      <c r="AH33" s="46">
        <f ca="1"/>
        <v>1.0949074074074075E-3</v>
      </c>
      <c r="AI33" s="46">
        <f ca="1"/>
        <v>1.3597222222222222E-3</v>
      </c>
      <c r="AJ33" s="46">
        <f ca="1"/>
        <v>1.1342592592592593E-3</v>
      </c>
      <c r="AK33" s="46">
        <f ca="1"/>
        <v>7.349537037037037E-4</v>
      </c>
      <c r="AL33" s="46">
        <f ca="1"/>
        <v>9.0416666666666662E-4</v>
      </c>
      <c r="AM33" s="46">
        <f ca="1"/>
        <v>7.6435185185185189E-4</v>
      </c>
      <c r="AN33" s="46">
        <f ca="1"/>
        <v>1.2747685185185186E-3</v>
      </c>
      <c r="AO33" s="46">
        <f ca="1"/>
        <v>1.2561342592592594E-3</v>
      </c>
      <c r="AP33" s="46">
        <f ca="1"/>
        <v>1.0956018518518519E-3</v>
      </c>
      <c r="AQ33" s="46">
        <f ca="1"/>
        <v>8.3437500000000005E-4</v>
      </c>
      <c r="AR33" s="46">
        <f ca="1"/>
        <v>1.0596064814814815E-3</v>
      </c>
      <c r="AS33" s="46">
        <f ca="1"/>
        <v>7.7708333333333329E-4</v>
      </c>
      <c r="AT33" s="46">
        <f ca="1"/>
        <v>1.1307870370370371E-3</v>
      </c>
      <c r="AU33" s="44">
        <f ca="1"/>
        <v>22</v>
      </c>
      <c r="AV33" s="44">
        <f ca="1"/>
        <v>28</v>
      </c>
      <c r="AW33" s="44">
        <f ca="1"/>
        <v>21</v>
      </c>
      <c r="AX33" s="44">
        <f ca="1"/>
        <v>21</v>
      </c>
      <c r="AY33" s="44">
        <f ca="1"/>
        <v>27</v>
      </c>
      <c r="AZ33" s="44">
        <f ca="1"/>
        <v>20</v>
      </c>
      <c r="BA33" s="44">
        <f ca="1"/>
        <v>23</v>
      </c>
      <c r="BB33" s="44">
        <f ca="1"/>
        <v>21</v>
      </c>
      <c r="BC33" s="44">
        <f ca="1"/>
        <v>20</v>
      </c>
      <c r="BD33" s="44">
        <f ca="1"/>
        <v>16</v>
      </c>
      <c r="BE33" s="44">
        <f ca="1"/>
        <v>17</v>
      </c>
      <c r="BF33" s="44">
        <f ca="1"/>
        <v>20</v>
      </c>
      <c r="BG33" s="44">
        <f ca="1"/>
        <v>23</v>
      </c>
      <c r="BH33" s="44">
        <f ca="1"/>
        <v>16</v>
      </c>
      <c r="BI33" s="44">
        <f ca="1"/>
        <v>19</v>
      </c>
      <c r="BJ33" s="44">
        <f ca="1"/>
        <v>22</v>
      </c>
      <c r="BK33" s="44">
        <f ca="1"/>
        <v>22</v>
      </c>
      <c r="BL33" s="44">
        <f ca="1"/>
        <v>17</v>
      </c>
      <c r="BM33" s="44">
        <f ca="1"/>
        <v>18</v>
      </c>
      <c r="BN33" s="44">
        <f ca="1"/>
        <v>23</v>
      </c>
      <c r="BO33" s="44">
        <f ca="1"/>
        <v>25</v>
      </c>
      <c r="BP33" s="44">
        <f ca="1"/>
        <v>19</v>
      </c>
      <c r="BQ33" s="44">
        <f ca="1"/>
        <v>26</v>
      </c>
      <c r="BR33" s="44">
        <f ca="1"/>
        <v>26</v>
      </c>
      <c r="BS33" s="44">
        <f ca="1"/>
        <v>20</v>
      </c>
      <c r="BT33" s="44">
        <f ca="1"/>
        <v>27</v>
      </c>
      <c r="BU33" s="44">
        <f ca="1"/>
        <v>24</v>
      </c>
      <c r="BV33" s="44">
        <f ca="1"/>
        <v>26</v>
      </c>
      <c r="BW33" s="44">
        <f ca="1"/>
        <v>27</v>
      </c>
      <c r="BX33" s="44">
        <f ca="1"/>
        <v>31</v>
      </c>
      <c r="BY33" s="44">
        <f ca="1"/>
        <v>30</v>
      </c>
      <c r="BZ33" s="44">
        <f ca="1"/>
        <v>27</v>
      </c>
      <c r="CA33" s="44">
        <f ca="1"/>
        <v>24</v>
      </c>
      <c r="CB33" s="44">
        <f ca="1"/>
        <v>31</v>
      </c>
      <c r="CC33" s="44">
        <f ca="1"/>
        <v>28</v>
      </c>
      <c r="CD33" s="44">
        <f ca="1"/>
        <v>25</v>
      </c>
      <c r="CE33" s="44">
        <f ca="1"/>
        <v>25</v>
      </c>
      <c r="CF33" s="44">
        <f ca="1"/>
        <v>30</v>
      </c>
      <c r="CG33" s="44">
        <f ca="1"/>
        <v>29</v>
      </c>
      <c r="CH33" s="44">
        <f ca="1"/>
        <v>24</v>
      </c>
      <c r="CI33" s="47">
        <f ca="1"/>
        <v>569.56521739130426</v>
      </c>
      <c r="CJ33" s="48">
        <f ca="1"/>
        <v>1.9603819444444445E-2</v>
      </c>
      <c r="CK33" s="42">
        <f t="shared" ca="1" si="0"/>
        <v>0</v>
      </c>
      <c r="CM33" s="44">
        <v>32</v>
      </c>
      <c r="CN33" s="44" t="str">
        <f ca="1"/>
        <v>Ashley</v>
      </c>
      <c r="CO33" s="50" t="e" vm="13">
        <f ca="1"/>
        <v>#VALUE!</v>
      </c>
      <c r="CP33" s="44">
        <f ca="1"/>
        <v>0</v>
      </c>
      <c r="CQ33" s="48" t="e">
        <f ca="1"/>
        <v>#VALUE!</v>
      </c>
      <c r="CR33" s="47">
        <f ca="1"/>
        <v>356.52173913043475</v>
      </c>
    </row>
    <row r="34" spans="1:96">
      <c r="A34" s="44">
        <v>33</v>
      </c>
      <c r="B34" s="44" t="str">
        <v>Miku</v>
      </c>
      <c r="C34" s="44">
        <v>34</v>
      </c>
      <c r="E34" s="44">
        <v>33</v>
      </c>
      <c r="F34" s="44" t="str">
        <v>Oni</v>
      </c>
      <c r="G34" s="45">
        <v>11705</v>
      </c>
      <c r="H34" s="45">
        <v>14318</v>
      </c>
      <c r="I34" s="45">
        <v>12039</v>
      </c>
      <c r="J34" s="45">
        <v>15494</v>
      </c>
      <c r="K34" s="45">
        <v>14670</v>
      </c>
      <c r="L34" s="45">
        <v>11685</v>
      </c>
      <c r="M34" s="45">
        <v>12570</v>
      </c>
      <c r="N34" s="45">
        <v>20660</v>
      </c>
      <c r="O34" s="45">
        <v>21969</v>
      </c>
      <c r="P34" s="45">
        <v>20903</v>
      </c>
      <c r="Q34" s="45">
        <v>11400</v>
      </c>
      <c r="R34" s="45">
        <v>13900</v>
      </c>
      <c r="S34" s="45">
        <v>12465</v>
      </c>
      <c r="T34" s="45">
        <v>23985</v>
      </c>
      <c r="U34" s="45">
        <v>21587</v>
      </c>
      <c r="V34" s="45">
        <v>15090</v>
      </c>
      <c r="W34" s="45">
        <v>12131</v>
      </c>
      <c r="X34" s="45">
        <v>15132</v>
      </c>
      <c r="Y34" s="45">
        <v>13402</v>
      </c>
      <c r="Z34" s="45">
        <v>20893</v>
      </c>
      <c r="AA34" s="46">
        <f ca="1"/>
        <v>8.9178240740740743E-4</v>
      </c>
      <c r="AB34" s="46">
        <f ca="1"/>
        <v>1.1942129629629629E-3</v>
      </c>
      <c r="AC34" s="46">
        <f ca="1"/>
        <v>9.3043981481481482E-4</v>
      </c>
      <c r="AD34" s="46">
        <f ca="1"/>
        <v>1.330324074074074E-3</v>
      </c>
      <c r="AE34" s="46">
        <f ca="1"/>
        <v>1.2349537037037036E-3</v>
      </c>
      <c r="AF34" s="46">
        <f ca="1"/>
        <v>8.8946759259259263E-4</v>
      </c>
      <c r="AG34" s="46">
        <f ca="1"/>
        <v>9.9189814814814822E-4</v>
      </c>
      <c r="AH34" s="46">
        <f ca="1"/>
        <v>1.4652777777777778E-3</v>
      </c>
      <c r="AI34" s="46">
        <f ca="1"/>
        <v>1.6167824074074075E-3</v>
      </c>
      <c r="AJ34" s="46">
        <f ca="1"/>
        <v>1.4934027777777777E-3</v>
      </c>
      <c r="AK34" s="46">
        <f ca="1"/>
        <v>8.564814814814815E-4</v>
      </c>
      <c r="AL34" s="46">
        <f ca="1"/>
        <v>1.1458333333333333E-3</v>
      </c>
      <c r="AM34" s="46">
        <f ca="1"/>
        <v>9.7974537037037041E-4</v>
      </c>
      <c r="AN34" s="46">
        <f ca="1"/>
        <v>1.8501157407407407E-3</v>
      </c>
      <c r="AO34" s="46">
        <f ca="1"/>
        <v>1.5725694444444444E-3</v>
      </c>
      <c r="AP34" s="46">
        <f ca="1"/>
        <v>1.2835648148148149E-3</v>
      </c>
      <c r="AQ34" s="46">
        <f ca="1"/>
        <v>9.4108796296296301E-4</v>
      </c>
      <c r="AR34" s="46">
        <f ca="1"/>
        <v>1.2884259259259259E-3</v>
      </c>
      <c r="AS34" s="46">
        <f ca="1"/>
        <v>1.0881944444444444E-3</v>
      </c>
      <c r="AT34" s="46">
        <f ca="1"/>
        <v>1.4922453703703703E-3</v>
      </c>
      <c r="AU34" s="44">
        <f ca="1"/>
        <v>42</v>
      </c>
      <c r="AV34" s="44">
        <f ca="1"/>
        <v>42</v>
      </c>
      <c r="AW34" s="44">
        <f ca="1"/>
        <v>38</v>
      </c>
      <c r="AX34" s="44">
        <f ca="1"/>
        <v>37</v>
      </c>
      <c r="AY34" s="44">
        <f ca="1"/>
        <v>43</v>
      </c>
      <c r="AZ34" s="44">
        <f ca="1"/>
        <v>39</v>
      </c>
      <c r="BA34" s="44">
        <f ca="1"/>
        <v>38</v>
      </c>
      <c r="BB34" s="44">
        <f ca="1"/>
        <v>43</v>
      </c>
      <c r="BC34" s="44">
        <f ca="1"/>
        <v>38</v>
      </c>
      <c r="BD34" s="44">
        <f ca="1"/>
        <v>42</v>
      </c>
      <c r="BE34" s="44">
        <f ca="1"/>
        <v>34</v>
      </c>
      <c r="BF34" s="44">
        <f ca="1"/>
        <v>42</v>
      </c>
      <c r="BG34" s="44">
        <f ca="1"/>
        <v>43</v>
      </c>
      <c r="BH34" s="44">
        <f ca="1"/>
        <v>45</v>
      </c>
      <c r="BI34" s="44">
        <f ca="1"/>
        <v>41</v>
      </c>
      <c r="BJ34" s="44">
        <f ca="1"/>
        <v>33</v>
      </c>
      <c r="BK34" s="44">
        <f ca="1"/>
        <v>35</v>
      </c>
      <c r="BL34" s="44">
        <f ca="1"/>
        <v>36</v>
      </c>
      <c r="BM34" s="44">
        <f ca="1"/>
        <v>41</v>
      </c>
      <c r="BN34" s="44">
        <f ca="1"/>
        <v>36</v>
      </c>
      <c r="BO34" s="44">
        <f ca="1"/>
        <v>5</v>
      </c>
      <c r="BP34" s="44">
        <f ca="1"/>
        <v>5</v>
      </c>
      <c r="BQ34" s="44">
        <f ca="1"/>
        <v>9</v>
      </c>
      <c r="BR34" s="44">
        <f ca="1"/>
        <v>10</v>
      </c>
      <c r="BS34" s="44">
        <f ca="1"/>
        <v>4</v>
      </c>
      <c r="BT34" s="44">
        <f ca="1"/>
        <v>8</v>
      </c>
      <c r="BU34" s="44">
        <f ca="1"/>
        <v>9</v>
      </c>
      <c r="BV34" s="44">
        <f ca="1"/>
        <v>4</v>
      </c>
      <c r="BW34" s="44">
        <f ca="1"/>
        <v>9</v>
      </c>
      <c r="BX34" s="44">
        <f ca="1"/>
        <v>5</v>
      </c>
      <c r="BY34" s="44">
        <f ca="1"/>
        <v>13</v>
      </c>
      <c r="BZ34" s="44">
        <f ca="1"/>
        <v>5</v>
      </c>
      <c r="CA34" s="44">
        <f ca="1"/>
        <v>4</v>
      </c>
      <c r="CB34" s="44">
        <f ca="1"/>
        <v>2</v>
      </c>
      <c r="CC34" s="44">
        <f ca="1"/>
        <v>6</v>
      </c>
      <c r="CD34" s="44">
        <f ca="1"/>
        <v>14</v>
      </c>
      <c r="CE34" s="44">
        <f ca="1"/>
        <v>12</v>
      </c>
      <c r="CF34" s="44">
        <f ca="1"/>
        <v>11</v>
      </c>
      <c r="CG34" s="44">
        <f ca="1"/>
        <v>6</v>
      </c>
      <c r="CH34" s="44">
        <f ca="1"/>
        <v>11</v>
      </c>
      <c r="CI34" s="47">
        <f ca="1"/>
        <v>165.21739130434781</v>
      </c>
      <c r="CJ34" s="48">
        <f ca="1"/>
        <v>2.4536805555555555E-2</v>
      </c>
      <c r="CK34" s="42">
        <f t="shared" ca="1" si="0"/>
        <v>0</v>
      </c>
      <c r="CM34" s="44">
        <v>33</v>
      </c>
      <c r="CN34" s="44" t="str">
        <f ca="1"/>
        <v>Ours</v>
      </c>
      <c r="CO34" s="50" t="e" vm="15">
        <f ca="1"/>
        <v>#VALUE!</v>
      </c>
      <c r="CP34" s="44">
        <f ca="1"/>
        <v>0</v>
      </c>
      <c r="CQ34" s="48" t="e">
        <f ca="1"/>
        <v>#VALUE!</v>
      </c>
      <c r="CR34" s="47">
        <f ca="1"/>
        <v>291.30434782608694</v>
      </c>
    </row>
    <row r="35" spans="1:96">
      <c r="A35" s="44">
        <v>34</v>
      </c>
      <c r="B35" s="44" t="str">
        <v>Mark</v>
      </c>
      <c r="C35" s="44">
        <v>22</v>
      </c>
      <c r="E35" s="44">
        <v>34</v>
      </c>
      <c r="F35" s="44" t="str">
        <v>Onwa</v>
      </c>
      <c r="G35" s="45">
        <v>10383</v>
      </c>
      <c r="H35" s="45">
        <v>11542</v>
      </c>
      <c r="I35" s="45">
        <v>10793</v>
      </c>
      <c r="J35" s="45">
        <v>13066</v>
      </c>
      <c r="K35" s="45">
        <v>11912</v>
      </c>
      <c r="L35" s="45">
        <v>10009</v>
      </c>
      <c r="M35" s="45">
        <v>11345</v>
      </c>
      <c r="N35" s="45">
        <v>12966</v>
      </c>
      <c r="O35" s="45">
        <v>20493</v>
      </c>
      <c r="P35" s="45">
        <v>13422</v>
      </c>
      <c r="Q35" s="45">
        <v>5645</v>
      </c>
      <c r="R35" s="45">
        <v>10841</v>
      </c>
      <c r="S35" s="45">
        <v>5667</v>
      </c>
      <c r="T35" s="45">
        <v>13643</v>
      </c>
      <c r="U35" s="45">
        <v>14063</v>
      </c>
      <c r="V35" s="45">
        <v>13669</v>
      </c>
      <c r="W35" s="45">
        <v>10415</v>
      </c>
      <c r="X35" s="45">
        <v>11916</v>
      </c>
      <c r="Y35" s="45">
        <v>10459</v>
      </c>
      <c r="Z35" s="45">
        <v>13010</v>
      </c>
      <c r="AA35" s="46">
        <f ca="1"/>
        <v>7.3877314814814812E-4</v>
      </c>
      <c r="AB35" s="46">
        <f ca="1"/>
        <v>8.729166666666667E-4</v>
      </c>
      <c r="AC35" s="46">
        <f ca="1"/>
        <v>7.8622685185185187E-4</v>
      </c>
      <c r="AD35" s="46">
        <f ca="1"/>
        <v>1.0493055555555555E-3</v>
      </c>
      <c r="AE35" s="46">
        <f ca="1"/>
        <v>9.1574074074074073E-4</v>
      </c>
      <c r="AF35" s="46">
        <f ca="1"/>
        <v>6.9548611111111113E-4</v>
      </c>
      <c r="AG35" s="46">
        <f ca="1"/>
        <v>8.5011574074074069E-4</v>
      </c>
      <c r="AH35" s="46">
        <f ca="1"/>
        <v>1.0377314814814815E-3</v>
      </c>
      <c r="AI35" s="46">
        <f ca="1"/>
        <v>1.4459490740740741E-3</v>
      </c>
      <c r="AJ35" s="46">
        <f ca="1"/>
        <v>1.0905092592592592E-3</v>
      </c>
      <c r="AK35" s="46">
        <f ca="1"/>
        <v>6.5335648148148143E-4</v>
      </c>
      <c r="AL35" s="46">
        <f ca="1"/>
        <v>7.9178240740740739E-4</v>
      </c>
      <c r="AM35" s="46">
        <f ca="1"/>
        <v>6.5590277777777782E-4</v>
      </c>
      <c r="AN35" s="46">
        <f ca="1"/>
        <v>1.116087962962963E-3</v>
      </c>
      <c r="AO35" s="46">
        <f ca="1"/>
        <v>1.1646990740740741E-3</v>
      </c>
      <c r="AP35" s="46">
        <f ca="1"/>
        <v>1.1190972222222223E-3</v>
      </c>
      <c r="AQ35" s="46">
        <f ca="1"/>
        <v>7.424768518518518E-4</v>
      </c>
      <c r="AR35" s="46">
        <f ca="1"/>
        <v>9.1620370370370369E-4</v>
      </c>
      <c r="AS35" s="46">
        <f ca="1"/>
        <v>7.4756944444444447E-4</v>
      </c>
      <c r="AT35" s="46">
        <f ca="1"/>
        <v>1.0428240740740741E-3</v>
      </c>
      <c r="AU35" s="44">
        <f ca="1"/>
        <v>21</v>
      </c>
      <c r="AV35" s="44">
        <f ca="1"/>
        <v>9</v>
      </c>
      <c r="AW35" s="44">
        <f ca="1"/>
        <v>4</v>
      </c>
      <c r="AX35" s="44">
        <f ca="1"/>
        <v>4</v>
      </c>
      <c r="AY35" s="44">
        <f ca="1"/>
        <v>7</v>
      </c>
      <c r="AZ35" s="44">
        <f ca="1"/>
        <v>7</v>
      </c>
      <c r="BA35" s="44">
        <f ca="1"/>
        <v>31</v>
      </c>
      <c r="BB35" s="44">
        <f ca="1"/>
        <v>6</v>
      </c>
      <c r="BC35" s="44">
        <f ca="1"/>
        <v>30</v>
      </c>
      <c r="BD35" s="44">
        <f ca="1"/>
        <v>6</v>
      </c>
      <c r="BE35" s="44">
        <f ca="1"/>
        <v>5</v>
      </c>
      <c r="BF35" s="44">
        <f ca="1"/>
        <v>7</v>
      </c>
      <c r="BG35" s="44">
        <f ca="1"/>
        <v>3</v>
      </c>
      <c r="BH35" s="44">
        <f ca="1"/>
        <v>2</v>
      </c>
      <c r="BI35" s="44">
        <f ca="1"/>
        <v>11</v>
      </c>
      <c r="BJ35" s="44">
        <f ca="1"/>
        <v>23</v>
      </c>
      <c r="BK35" s="44">
        <f ca="1"/>
        <v>11</v>
      </c>
      <c r="BL35" s="44">
        <f ca="1"/>
        <v>7</v>
      </c>
      <c r="BM35" s="44">
        <f ca="1"/>
        <v>10</v>
      </c>
      <c r="BN35" s="44">
        <f ca="1"/>
        <v>5</v>
      </c>
      <c r="BO35" s="44">
        <f ca="1"/>
        <v>26</v>
      </c>
      <c r="BP35" s="44">
        <f ca="1"/>
        <v>38</v>
      </c>
      <c r="BQ35" s="44">
        <f ca="1"/>
        <v>43</v>
      </c>
      <c r="BR35" s="44">
        <f ca="1"/>
        <v>43</v>
      </c>
      <c r="BS35" s="44">
        <f ca="1"/>
        <v>40</v>
      </c>
      <c r="BT35" s="44">
        <f ca="1"/>
        <v>40</v>
      </c>
      <c r="BU35" s="44">
        <f ca="1"/>
        <v>16</v>
      </c>
      <c r="BV35" s="44">
        <f ca="1"/>
        <v>41</v>
      </c>
      <c r="BW35" s="44">
        <f ca="1"/>
        <v>17</v>
      </c>
      <c r="BX35" s="44">
        <f ca="1"/>
        <v>41</v>
      </c>
      <c r="BY35" s="44">
        <f ca="1"/>
        <v>42</v>
      </c>
      <c r="BZ35" s="44">
        <f ca="1"/>
        <v>40</v>
      </c>
      <c r="CA35" s="44">
        <f ca="1"/>
        <v>44</v>
      </c>
      <c r="CB35" s="44">
        <f ca="1"/>
        <v>45</v>
      </c>
      <c r="CC35" s="44">
        <f ca="1"/>
        <v>36</v>
      </c>
      <c r="CD35" s="44">
        <f ca="1"/>
        <v>24</v>
      </c>
      <c r="CE35" s="44">
        <f ca="1"/>
        <v>36</v>
      </c>
      <c r="CF35" s="44">
        <f ca="1"/>
        <v>40</v>
      </c>
      <c r="CG35" s="44">
        <f ca="1"/>
        <v>37</v>
      </c>
      <c r="CH35" s="44">
        <f ca="1"/>
        <v>42</v>
      </c>
      <c r="CI35" s="47">
        <f ca="1"/>
        <v>794.56521739130426</v>
      </c>
      <c r="CJ35" s="48">
        <f ca="1"/>
        <v>1.8432754629629629E-2</v>
      </c>
      <c r="CK35" s="42">
        <f t="shared" ca="1" si="0"/>
        <v>0</v>
      </c>
      <c r="CM35" s="44">
        <v>34</v>
      </c>
      <c r="CN35" s="44" t="str">
        <f ca="1"/>
        <v>Getarez</v>
      </c>
      <c r="CO35" s="50" t="e" vm="15">
        <f ca="1"/>
        <v>#VALUE!</v>
      </c>
      <c r="CP35" s="44">
        <f ca="1"/>
        <v>0</v>
      </c>
      <c r="CQ35" s="48" t="e">
        <f ca="1"/>
        <v>#VALUE!</v>
      </c>
      <c r="CR35" s="47">
        <f ca="1"/>
        <v>269.56521739130437</v>
      </c>
    </row>
    <row r="36" spans="1:96">
      <c r="A36" s="44">
        <v>35</v>
      </c>
      <c r="B36" s="44" t="str">
        <v>Banana</v>
      </c>
      <c r="C36" s="44">
        <v>30</v>
      </c>
      <c r="E36" s="44">
        <v>35</v>
      </c>
      <c r="F36" s="44" t="str">
        <v>Ours</v>
      </c>
      <c r="G36" s="45">
        <v>10988</v>
      </c>
      <c r="H36" s="45">
        <v>13325</v>
      </c>
      <c r="I36" s="45">
        <v>11526</v>
      </c>
      <c r="J36" s="45">
        <v>15016</v>
      </c>
      <c r="K36" s="45">
        <v>13219</v>
      </c>
      <c r="L36" s="45">
        <v>10889</v>
      </c>
      <c r="M36" s="45">
        <v>11581</v>
      </c>
      <c r="N36" s="45">
        <v>15414</v>
      </c>
      <c r="O36" s="45">
        <v>21269</v>
      </c>
      <c r="P36" s="45">
        <v>15639</v>
      </c>
      <c r="Q36" s="45">
        <v>11571</v>
      </c>
      <c r="R36" s="45">
        <v>12634</v>
      </c>
      <c r="S36" s="45">
        <v>11476</v>
      </c>
      <c r="T36" s="45">
        <v>20228</v>
      </c>
      <c r="U36" s="45">
        <v>20817</v>
      </c>
      <c r="V36" s="45">
        <v>15737</v>
      </c>
      <c r="W36" s="45">
        <v>11661</v>
      </c>
      <c r="X36" s="45">
        <v>15028</v>
      </c>
      <c r="Y36" s="45">
        <v>11544</v>
      </c>
      <c r="Z36" s="45">
        <v>15217</v>
      </c>
      <c r="AA36" s="46">
        <f ca="1"/>
        <v>8.0879629629629628E-4</v>
      </c>
      <c r="AB36" s="46">
        <f ca="1"/>
        <v>1.0792824074074075E-3</v>
      </c>
      <c r="AC36" s="46">
        <f ca="1"/>
        <v>8.7106481481481486E-4</v>
      </c>
      <c r="AD36" s="46">
        <f ca="1"/>
        <v>1.2750000000000001E-3</v>
      </c>
      <c r="AE36" s="46">
        <f ca="1"/>
        <v>1.0670138888888888E-3</v>
      </c>
      <c r="AF36" s="46">
        <f ca="1"/>
        <v>7.9733796296296291E-4</v>
      </c>
      <c r="AG36" s="46">
        <f ca="1"/>
        <v>8.7743055555555556E-4</v>
      </c>
      <c r="AH36" s="46">
        <f ca="1"/>
        <v>1.3210648148148148E-3</v>
      </c>
      <c r="AI36" s="46">
        <f ca="1"/>
        <v>1.5357638888888888E-3</v>
      </c>
      <c r="AJ36" s="46">
        <f ca="1"/>
        <v>1.3471064814814815E-3</v>
      </c>
      <c r="AK36" s="46">
        <f ca="1"/>
        <v>8.7627314814814816E-4</v>
      </c>
      <c r="AL36" s="46">
        <f ca="1"/>
        <v>9.9930555555555558E-4</v>
      </c>
      <c r="AM36" s="46">
        <f ca="1"/>
        <v>8.6527777777777775E-4</v>
      </c>
      <c r="AN36" s="46">
        <f ca="1"/>
        <v>1.4152777777777777E-3</v>
      </c>
      <c r="AO36" s="46">
        <f ca="1"/>
        <v>1.4834490740740741E-3</v>
      </c>
      <c r="AP36" s="46">
        <f ca="1"/>
        <v>1.358449074074074E-3</v>
      </c>
      <c r="AQ36" s="46">
        <f ca="1"/>
        <v>8.8668981481481476E-4</v>
      </c>
      <c r="AR36" s="46">
        <f ca="1"/>
        <v>1.276388888888889E-3</v>
      </c>
      <c r="AS36" s="46">
        <f ca="1"/>
        <v>8.7314814814814818E-4</v>
      </c>
      <c r="AT36" s="46">
        <f ca="1"/>
        <v>1.2982638888888889E-3</v>
      </c>
      <c r="AU36" s="44">
        <f ca="1"/>
        <v>34</v>
      </c>
      <c r="AV36" s="44">
        <f ca="1"/>
        <v>35</v>
      </c>
      <c r="AW36" s="44">
        <f ca="1"/>
        <v>33</v>
      </c>
      <c r="AX36" s="44">
        <f ca="1"/>
        <v>34</v>
      </c>
      <c r="AY36" s="44">
        <f ca="1"/>
        <v>34</v>
      </c>
      <c r="AZ36" s="44">
        <f ca="1"/>
        <v>29</v>
      </c>
      <c r="BA36" s="44">
        <f ca="1"/>
        <v>32</v>
      </c>
      <c r="BB36" s="44">
        <f ca="1"/>
        <v>34</v>
      </c>
      <c r="BC36" s="44">
        <f ca="1"/>
        <v>34</v>
      </c>
      <c r="BD36" s="44">
        <f ca="1"/>
        <v>36</v>
      </c>
      <c r="BE36" s="44">
        <f ca="1"/>
        <v>37</v>
      </c>
      <c r="BF36" s="44">
        <f ca="1"/>
        <v>33</v>
      </c>
      <c r="BG36" s="44">
        <f ca="1"/>
        <v>34</v>
      </c>
      <c r="BH36" s="44">
        <f ca="1"/>
        <v>32</v>
      </c>
      <c r="BI36" s="44">
        <f ca="1"/>
        <v>34</v>
      </c>
      <c r="BJ36" s="44">
        <f ca="1"/>
        <v>40</v>
      </c>
      <c r="BK36" s="44">
        <f ca="1"/>
        <v>32</v>
      </c>
      <c r="BL36" s="44">
        <f ca="1"/>
        <v>35</v>
      </c>
      <c r="BM36" s="44">
        <f ca="1"/>
        <v>28</v>
      </c>
      <c r="BN36" s="44">
        <f ca="1"/>
        <v>32</v>
      </c>
      <c r="BO36" s="44">
        <f ca="1"/>
        <v>13</v>
      </c>
      <c r="BP36" s="44">
        <f ca="1"/>
        <v>12</v>
      </c>
      <c r="BQ36" s="44">
        <f ca="1"/>
        <v>14</v>
      </c>
      <c r="BR36" s="44">
        <f ca="1"/>
        <v>13</v>
      </c>
      <c r="BS36" s="44">
        <f ca="1"/>
        <v>13</v>
      </c>
      <c r="BT36" s="44">
        <f ca="1"/>
        <v>18</v>
      </c>
      <c r="BU36" s="44">
        <f ca="1"/>
        <v>15</v>
      </c>
      <c r="BV36" s="44">
        <f ca="1"/>
        <v>13</v>
      </c>
      <c r="BW36" s="44">
        <f ca="1"/>
        <v>13</v>
      </c>
      <c r="BX36" s="44">
        <f ca="1"/>
        <v>11</v>
      </c>
      <c r="BY36" s="44">
        <f ca="1"/>
        <v>10</v>
      </c>
      <c r="BZ36" s="44">
        <f ca="1"/>
        <v>14</v>
      </c>
      <c r="CA36" s="44">
        <f ca="1"/>
        <v>13</v>
      </c>
      <c r="CB36" s="44">
        <f ca="1"/>
        <v>15</v>
      </c>
      <c r="CC36" s="44">
        <f ca="1"/>
        <v>13</v>
      </c>
      <c r="CD36" s="44">
        <f ca="1"/>
        <v>7</v>
      </c>
      <c r="CE36" s="44">
        <f ca="1"/>
        <v>15</v>
      </c>
      <c r="CF36" s="44">
        <f ca="1"/>
        <v>12</v>
      </c>
      <c r="CG36" s="44">
        <f ca="1"/>
        <v>19</v>
      </c>
      <c r="CH36" s="44">
        <f ca="1"/>
        <v>15</v>
      </c>
      <c r="CI36" s="47">
        <f ca="1"/>
        <v>291.30434782608694</v>
      </c>
      <c r="CJ36" s="48">
        <f ca="1"/>
        <v>2.2312384259259261E-2</v>
      </c>
      <c r="CK36" s="42">
        <f t="shared" ca="1" si="0"/>
        <v>0</v>
      </c>
      <c r="CM36" s="44">
        <v>35</v>
      </c>
      <c r="CN36" s="44" t="str">
        <f ca="1"/>
        <v>Bluh</v>
      </c>
      <c r="CO36" s="50" t="e" vm="15">
        <f ca="1"/>
        <v>#VALUE!</v>
      </c>
      <c r="CP36" s="44">
        <f ca="1"/>
        <v>0</v>
      </c>
      <c r="CQ36" s="48" t="e">
        <f ca="1"/>
        <v>#VALUE!</v>
      </c>
      <c r="CR36" s="47">
        <f ca="1"/>
        <v>265.21739130434781</v>
      </c>
    </row>
    <row r="37" spans="1:96">
      <c r="A37" s="44">
        <v>36</v>
      </c>
      <c r="B37" s="44" t="str">
        <v>Sumz</v>
      </c>
      <c r="C37" s="44">
        <v>18</v>
      </c>
      <c r="E37" s="44">
        <v>36</v>
      </c>
      <c r="F37" s="44" t="str">
        <v>Patrick</v>
      </c>
      <c r="G37" s="45">
        <v>10314</v>
      </c>
      <c r="H37" s="45">
        <v>12284</v>
      </c>
      <c r="I37" s="45">
        <v>10927</v>
      </c>
      <c r="J37" s="45">
        <v>14214</v>
      </c>
      <c r="K37" s="45">
        <v>12186</v>
      </c>
      <c r="L37" s="45">
        <v>11930</v>
      </c>
      <c r="M37" s="45">
        <v>10588</v>
      </c>
      <c r="N37" s="45">
        <v>13512</v>
      </c>
      <c r="O37" s="45">
        <v>15739</v>
      </c>
      <c r="P37" s="45">
        <v>13828</v>
      </c>
      <c r="Q37" s="45">
        <v>10803</v>
      </c>
      <c r="R37" s="45">
        <v>11940</v>
      </c>
      <c r="S37" s="45">
        <v>11418</v>
      </c>
      <c r="T37" s="45">
        <v>15134</v>
      </c>
      <c r="U37" s="45">
        <v>15768</v>
      </c>
      <c r="V37" s="45">
        <v>13774</v>
      </c>
      <c r="W37" s="45">
        <v>11090</v>
      </c>
      <c r="X37" s="45">
        <v>13183</v>
      </c>
      <c r="Y37" s="45">
        <v>11169</v>
      </c>
      <c r="Z37" s="45">
        <v>13512</v>
      </c>
      <c r="AA37" s="46">
        <f ca="1"/>
        <v>7.3078703703703706E-4</v>
      </c>
      <c r="AB37" s="46">
        <f ca="1"/>
        <v>9.5879629629629635E-4</v>
      </c>
      <c r="AC37" s="46">
        <f ca="1"/>
        <v>8.0173611111111114E-4</v>
      </c>
      <c r="AD37" s="46">
        <f ca="1"/>
        <v>1.1821759259259259E-3</v>
      </c>
      <c r="AE37" s="46">
        <f ca="1"/>
        <v>9.4745370370370372E-4</v>
      </c>
      <c r="AF37" s="46">
        <f ca="1"/>
        <v>9.1782407407407405E-4</v>
      </c>
      <c r="AG37" s="46">
        <f ca="1"/>
        <v>7.6250000000000005E-4</v>
      </c>
      <c r="AH37" s="46">
        <f ca="1"/>
        <v>1.100925925925926E-3</v>
      </c>
      <c r="AI37" s="46">
        <f ca="1"/>
        <v>1.3586805555555555E-3</v>
      </c>
      <c r="AJ37" s="46">
        <f ca="1"/>
        <v>1.1375000000000001E-3</v>
      </c>
      <c r="AK37" s="46">
        <f ca="1"/>
        <v>7.8738425925925927E-4</v>
      </c>
      <c r="AL37" s="46">
        <f ca="1"/>
        <v>9.1898148148148145E-4</v>
      </c>
      <c r="AM37" s="46">
        <f ca="1"/>
        <v>8.5856481481481482E-4</v>
      </c>
      <c r="AN37" s="46">
        <f ca="1"/>
        <v>1.2886574074074074E-3</v>
      </c>
      <c r="AO37" s="46">
        <f ca="1"/>
        <v>1.362037037037037E-3</v>
      </c>
      <c r="AP37" s="46">
        <f ca="1"/>
        <v>1.1312500000000001E-3</v>
      </c>
      <c r="AQ37" s="46">
        <f ca="1"/>
        <v>8.2060185185185187E-4</v>
      </c>
      <c r="AR37" s="46">
        <f ca="1"/>
        <v>1.0628472222222222E-3</v>
      </c>
      <c r="AS37" s="46">
        <f ca="1"/>
        <v>8.2974537037037034E-4</v>
      </c>
      <c r="AT37" s="46">
        <f ca="1"/>
        <v>1.100925925925926E-3</v>
      </c>
      <c r="AU37" s="44">
        <f ca="1"/>
        <v>17</v>
      </c>
      <c r="AV37" s="44">
        <f ca="1"/>
        <v>29</v>
      </c>
      <c r="AW37" s="44">
        <f ca="1"/>
        <v>18</v>
      </c>
      <c r="AX37" s="44">
        <f ca="1"/>
        <v>26</v>
      </c>
      <c r="AY37" s="44">
        <f ca="1"/>
        <v>19</v>
      </c>
      <c r="AZ37" s="44">
        <f ca="1"/>
        <v>42</v>
      </c>
      <c r="BA37" s="44">
        <f ca="1"/>
        <v>20</v>
      </c>
      <c r="BB37" s="44">
        <f ca="1"/>
        <v>23</v>
      </c>
      <c r="BC37" s="44">
        <f ca="1"/>
        <v>19</v>
      </c>
      <c r="BD37" s="44">
        <f ca="1"/>
        <v>18</v>
      </c>
      <c r="BE37" s="44">
        <f ca="1"/>
        <v>27</v>
      </c>
      <c r="BF37" s="44">
        <f ca="1"/>
        <v>24</v>
      </c>
      <c r="BG37" s="44">
        <f ca="1"/>
        <v>31</v>
      </c>
      <c r="BH37" s="44">
        <f ca="1"/>
        <v>19</v>
      </c>
      <c r="BI37" s="44">
        <f ca="1"/>
        <v>29</v>
      </c>
      <c r="BJ37" s="44">
        <f ca="1"/>
        <v>26</v>
      </c>
      <c r="BK37" s="44">
        <f ca="1"/>
        <v>18</v>
      </c>
      <c r="BL37" s="44">
        <f ca="1"/>
        <v>18</v>
      </c>
      <c r="BM37" s="44">
        <f ca="1"/>
        <v>23</v>
      </c>
      <c r="BN37" s="44">
        <f ca="1"/>
        <v>18</v>
      </c>
      <c r="BO37" s="44">
        <f ca="1"/>
        <v>30</v>
      </c>
      <c r="BP37" s="44">
        <f ca="1"/>
        <v>18</v>
      </c>
      <c r="BQ37" s="44">
        <f ca="1"/>
        <v>29</v>
      </c>
      <c r="BR37" s="44">
        <f ca="1"/>
        <v>21</v>
      </c>
      <c r="BS37" s="44">
        <f ca="1"/>
        <v>28</v>
      </c>
      <c r="BT37" s="44">
        <f ca="1"/>
        <v>5</v>
      </c>
      <c r="BU37" s="44">
        <f ca="1"/>
        <v>27</v>
      </c>
      <c r="BV37" s="44">
        <f ca="1"/>
        <v>24</v>
      </c>
      <c r="BW37" s="44">
        <f ca="1"/>
        <v>28</v>
      </c>
      <c r="BX37" s="44">
        <f ca="1"/>
        <v>29</v>
      </c>
      <c r="BY37" s="44">
        <f ca="1"/>
        <v>20</v>
      </c>
      <c r="BZ37" s="44">
        <f ca="1"/>
        <v>23</v>
      </c>
      <c r="CA37" s="44">
        <f ca="1"/>
        <v>16</v>
      </c>
      <c r="CB37" s="44">
        <f ca="1"/>
        <v>28</v>
      </c>
      <c r="CC37" s="44">
        <f ca="1"/>
        <v>18</v>
      </c>
      <c r="CD37" s="44">
        <f ca="1"/>
        <v>21</v>
      </c>
      <c r="CE37" s="44">
        <f ca="1"/>
        <v>29</v>
      </c>
      <c r="CF37" s="44">
        <f ca="1"/>
        <v>29</v>
      </c>
      <c r="CG37" s="44">
        <f ca="1"/>
        <v>24</v>
      </c>
      <c r="CH37" s="44">
        <f ca="1"/>
        <v>29</v>
      </c>
      <c r="CI37" s="47">
        <f ca="1"/>
        <v>517.39130434782612</v>
      </c>
      <c r="CJ37" s="48">
        <f ca="1"/>
        <v>2.0059374999999994E-2</v>
      </c>
      <c r="CK37" s="42">
        <f t="shared" ca="1" si="0"/>
        <v>0</v>
      </c>
      <c r="CM37" s="44">
        <v>36</v>
      </c>
      <c r="CN37" s="44" t="str">
        <f ca="1"/>
        <v>Miku</v>
      </c>
      <c r="CO37" s="50" t="e" vm="15">
        <f ca="1"/>
        <v>#VALUE!</v>
      </c>
      <c r="CP37" s="44">
        <f ca="1"/>
        <v>0</v>
      </c>
      <c r="CQ37" s="48" t="e">
        <f ca="1"/>
        <v>#VALUE!</v>
      </c>
      <c r="CR37" s="47">
        <f ca="1"/>
        <v>246.7391304347826</v>
      </c>
    </row>
    <row r="38" spans="1:96">
      <c r="A38" s="44">
        <v>37</v>
      </c>
      <c r="B38" s="44" t="str">
        <v>Mike</v>
      </c>
      <c r="C38" s="44">
        <v>12</v>
      </c>
      <c r="E38" s="44">
        <v>37</v>
      </c>
      <c r="F38" s="44" t="str">
        <v>Pie999</v>
      </c>
      <c r="G38" s="45">
        <v>11233</v>
      </c>
      <c r="H38" s="45">
        <v>13412</v>
      </c>
      <c r="I38" s="45">
        <v>11818</v>
      </c>
      <c r="J38" s="45">
        <v>14765</v>
      </c>
      <c r="K38" s="45">
        <v>12849</v>
      </c>
      <c r="L38" s="45">
        <v>11538</v>
      </c>
      <c r="M38" s="45">
        <v>11979</v>
      </c>
      <c r="N38" s="45">
        <v>15611</v>
      </c>
      <c r="O38" s="45">
        <v>21798</v>
      </c>
      <c r="P38" s="45">
        <v>15432</v>
      </c>
      <c r="Q38" s="45">
        <v>11995</v>
      </c>
      <c r="R38" s="45">
        <v>13175</v>
      </c>
      <c r="S38" s="45">
        <v>11637</v>
      </c>
      <c r="T38" s="45">
        <v>20777</v>
      </c>
      <c r="U38" s="45">
        <v>20889</v>
      </c>
      <c r="V38" s="45">
        <v>20533</v>
      </c>
      <c r="W38" s="45">
        <v>12262</v>
      </c>
      <c r="X38" s="45">
        <v>20734</v>
      </c>
      <c r="Y38" s="45">
        <v>13510</v>
      </c>
      <c r="Z38" s="45">
        <v>22497</v>
      </c>
      <c r="AA38" s="46">
        <f ca="1"/>
        <v>8.3715277777777781E-4</v>
      </c>
      <c r="AB38" s="46">
        <f ca="1"/>
        <v>1.0893518518518518E-3</v>
      </c>
      <c r="AC38" s="46">
        <f ca="1"/>
        <v>9.0486111111111106E-4</v>
      </c>
      <c r="AD38" s="46">
        <f ca="1"/>
        <v>1.245949074074074E-3</v>
      </c>
      <c r="AE38" s="46">
        <f ca="1"/>
        <v>1.0241898148148148E-3</v>
      </c>
      <c r="AF38" s="46">
        <f ca="1"/>
        <v>8.7245370370370374E-4</v>
      </c>
      <c r="AG38" s="46">
        <f ca="1"/>
        <v>9.2349537037037042E-4</v>
      </c>
      <c r="AH38" s="46">
        <f ca="1"/>
        <v>1.3438657407407407E-3</v>
      </c>
      <c r="AI38" s="46">
        <f ca="1"/>
        <v>1.5969907407407408E-3</v>
      </c>
      <c r="AJ38" s="46">
        <f ca="1"/>
        <v>1.3231481481481482E-3</v>
      </c>
      <c r="AK38" s="46">
        <f ca="1"/>
        <v>9.2534722222222226E-4</v>
      </c>
      <c r="AL38" s="46">
        <f ca="1"/>
        <v>1.0619212962962963E-3</v>
      </c>
      <c r="AM38" s="46">
        <f ca="1"/>
        <v>8.83912037037037E-4</v>
      </c>
      <c r="AN38" s="46">
        <f ca="1"/>
        <v>1.4788194444444445E-3</v>
      </c>
      <c r="AO38" s="46">
        <f ca="1"/>
        <v>1.4917824074074074E-3</v>
      </c>
      <c r="AP38" s="46">
        <f ca="1"/>
        <v>1.4505787037037037E-3</v>
      </c>
      <c r="AQ38" s="46">
        <f ca="1"/>
        <v>9.5624999999999996E-4</v>
      </c>
      <c r="AR38" s="46">
        <f ca="1"/>
        <v>1.4738425925925926E-3</v>
      </c>
      <c r="AS38" s="46">
        <f ca="1"/>
        <v>1.1006944444444445E-3</v>
      </c>
      <c r="AT38" s="46">
        <f ca="1"/>
        <v>1.6778935185185184E-3</v>
      </c>
      <c r="AU38" s="44">
        <f ca="1"/>
        <v>37</v>
      </c>
      <c r="AV38" s="44">
        <f ca="1"/>
        <v>36</v>
      </c>
      <c r="AW38" s="44">
        <f ca="1"/>
        <v>36</v>
      </c>
      <c r="AX38" s="44">
        <f ca="1"/>
        <v>33</v>
      </c>
      <c r="AY38" s="44">
        <f ca="1"/>
        <v>32</v>
      </c>
      <c r="AZ38" s="44">
        <f ca="1"/>
        <v>36</v>
      </c>
      <c r="BA38" s="44">
        <f ca="1"/>
        <v>36</v>
      </c>
      <c r="BB38" s="44">
        <f ca="1"/>
        <v>35</v>
      </c>
      <c r="BC38" s="44">
        <f ca="1"/>
        <v>37</v>
      </c>
      <c r="BD38" s="44">
        <f ca="1"/>
        <v>34</v>
      </c>
      <c r="BE38" s="44">
        <f ca="1"/>
        <v>40</v>
      </c>
      <c r="BF38" s="44">
        <f ca="1"/>
        <v>37</v>
      </c>
      <c r="BG38" s="44">
        <f ca="1"/>
        <v>36</v>
      </c>
      <c r="BH38" s="44">
        <f ca="1"/>
        <v>37</v>
      </c>
      <c r="BI38" s="44">
        <f ca="1"/>
        <v>37</v>
      </c>
      <c r="BJ38" s="44">
        <f ca="1"/>
        <v>42</v>
      </c>
      <c r="BK38" s="44">
        <f ca="1"/>
        <v>37</v>
      </c>
      <c r="BL38" s="44">
        <f ca="1"/>
        <v>43</v>
      </c>
      <c r="BM38" s="44">
        <f ca="1"/>
        <v>42</v>
      </c>
      <c r="BN38" s="44">
        <f ca="1"/>
        <v>40</v>
      </c>
      <c r="BO38" s="44">
        <f ca="1"/>
        <v>10</v>
      </c>
      <c r="BP38" s="44">
        <f ca="1"/>
        <v>11</v>
      </c>
      <c r="BQ38" s="44">
        <f ca="1"/>
        <v>11</v>
      </c>
      <c r="BR38" s="44">
        <f ca="1"/>
        <v>14</v>
      </c>
      <c r="BS38" s="44">
        <f ca="1"/>
        <v>15</v>
      </c>
      <c r="BT38" s="44">
        <f ca="1"/>
        <v>11</v>
      </c>
      <c r="BU38" s="44">
        <f ca="1"/>
        <v>11</v>
      </c>
      <c r="BV38" s="44">
        <f ca="1"/>
        <v>12</v>
      </c>
      <c r="BW38" s="44">
        <f ca="1"/>
        <v>10</v>
      </c>
      <c r="BX38" s="44">
        <f ca="1"/>
        <v>13</v>
      </c>
      <c r="BY38" s="44">
        <f ca="1"/>
        <v>7</v>
      </c>
      <c r="BZ38" s="44">
        <f ca="1"/>
        <v>10</v>
      </c>
      <c r="CA38" s="44">
        <f ca="1"/>
        <v>11</v>
      </c>
      <c r="CB38" s="44">
        <f ca="1"/>
        <v>10</v>
      </c>
      <c r="CC38" s="44">
        <f ca="1"/>
        <v>10</v>
      </c>
      <c r="CD38" s="44">
        <f ca="1"/>
        <v>5</v>
      </c>
      <c r="CE38" s="44">
        <f ca="1"/>
        <v>10</v>
      </c>
      <c r="CF38" s="44">
        <f ca="1"/>
        <v>4</v>
      </c>
      <c r="CG38" s="44">
        <f ca="1"/>
        <v>5</v>
      </c>
      <c r="CH38" s="44">
        <f ca="1"/>
        <v>7</v>
      </c>
      <c r="CI38" s="47">
        <f ca="1"/>
        <v>214.13043478260869</v>
      </c>
      <c r="CJ38" s="48">
        <f ca="1"/>
        <v>2.36625E-2</v>
      </c>
      <c r="CK38" s="42">
        <f t="shared" ca="1" si="0"/>
        <v>0</v>
      </c>
      <c r="CM38" s="44">
        <v>37</v>
      </c>
      <c r="CN38" s="44" t="str">
        <f ca="1"/>
        <v>Pie999</v>
      </c>
      <c r="CO38" s="50" t="e" vm="15">
        <f ca="1"/>
        <v>#VALUE!</v>
      </c>
      <c r="CP38" s="44">
        <f ca="1"/>
        <v>0</v>
      </c>
      <c r="CQ38" s="48" t="e">
        <f ca="1"/>
        <v>#VALUE!</v>
      </c>
      <c r="CR38" s="47">
        <f ca="1"/>
        <v>214.13043478260869</v>
      </c>
    </row>
    <row r="39" spans="1:96">
      <c r="A39" s="44">
        <v>38</v>
      </c>
      <c r="B39" s="44" t="str">
        <v>Patrick</v>
      </c>
      <c r="C39" s="44">
        <v>29</v>
      </c>
      <c r="E39" s="44">
        <v>38</v>
      </c>
      <c r="F39" s="44" t="str">
        <v>Rejemy</v>
      </c>
      <c r="G39" s="45">
        <v>10352</v>
      </c>
      <c r="H39" s="45">
        <v>12200</v>
      </c>
      <c r="I39" s="45">
        <v>10965</v>
      </c>
      <c r="J39" s="45">
        <v>13565</v>
      </c>
      <c r="K39" s="45">
        <v>12326</v>
      </c>
      <c r="L39" s="45">
        <v>10664</v>
      </c>
      <c r="M39" s="45">
        <v>10656</v>
      </c>
      <c r="N39" s="45">
        <v>14021</v>
      </c>
      <c r="O39" s="45">
        <v>15064</v>
      </c>
      <c r="P39" s="45">
        <v>13848</v>
      </c>
      <c r="Q39" s="45">
        <v>10095</v>
      </c>
      <c r="R39" s="45">
        <v>11826</v>
      </c>
      <c r="S39" s="45">
        <v>10352</v>
      </c>
      <c r="T39" s="45">
        <v>15725</v>
      </c>
      <c r="U39" s="45">
        <v>14907</v>
      </c>
      <c r="V39" s="45">
        <v>13729</v>
      </c>
      <c r="W39" s="45">
        <v>11663</v>
      </c>
      <c r="X39" s="45">
        <v>14533</v>
      </c>
      <c r="Y39" s="45">
        <v>10614</v>
      </c>
      <c r="Z39" s="45">
        <v>13470</v>
      </c>
      <c r="AA39" s="46">
        <f ca="1"/>
        <v>7.3518518518518518E-4</v>
      </c>
      <c r="AB39" s="46">
        <f ca="1"/>
        <v>9.4907407407407408E-4</v>
      </c>
      <c r="AC39" s="46">
        <f ca="1"/>
        <v>8.0613425925925926E-4</v>
      </c>
      <c r="AD39" s="46">
        <f ca="1"/>
        <v>1.1070601851851851E-3</v>
      </c>
      <c r="AE39" s="46">
        <f ca="1"/>
        <v>9.6365740740740743E-4</v>
      </c>
      <c r="AF39" s="46">
        <f ca="1"/>
        <v>7.7129629629629629E-4</v>
      </c>
      <c r="AG39" s="46">
        <f ca="1"/>
        <v>7.7037037037037037E-4</v>
      </c>
      <c r="AH39" s="46">
        <f ca="1"/>
        <v>1.159837962962963E-3</v>
      </c>
      <c r="AI39" s="46">
        <f ca="1"/>
        <v>1.2805555555555556E-3</v>
      </c>
      <c r="AJ39" s="46">
        <f ca="1"/>
        <v>1.1398148148148149E-3</v>
      </c>
      <c r="AK39" s="46">
        <f ca="1"/>
        <v>7.0543981481481477E-4</v>
      </c>
      <c r="AL39" s="46">
        <f ca="1"/>
        <v>9.0578703703703709E-4</v>
      </c>
      <c r="AM39" s="46">
        <f ca="1"/>
        <v>7.3518518518518518E-4</v>
      </c>
      <c r="AN39" s="46">
        <f ca="1"/>
        <v>1.3570601851851851E-3</v>
      </c>
      <c r="AO39" s="46">
        <f ca="1"/>
        <v>1.2623842592592593E-3</v>
      </c>
      <c r="AP39" s="46">
        <f ca="1"/>
        <v>1.1260416666666667E-3</v>
      </c>
      <c r="AQ39" s="46">
        <f ca="1"/>
        <v>8.8692129629629624E-4</v>
      </c>
      <c r="AR39" s="46">
        <f ca="1"/>
        <v>1.2190972222222223E-3</v>
      </c>
      <c r="AS39" s="46">
        <f ca="1"/>
        <v>7.6550925925925929E-4</v>
      </c>
      <c r="AT39" s="46">
        <f ca="1"/>
        <v>1.0960648148148149E-3</v>
      </c>
      <c r="AU39" s="44">
        <f ca="1"/>
        <v>20</v>
      </c>
      <c r="AV39" s="44">
        <f ca="1"/>
        <v>24</v>
      </c>
      <c r="AW39" s="44">
        <f ca="1"/>
        <v>20</v>
      </c>
      <c r="AX39" s="44">
        <f ca="1"/>
        <v>16</v>
      </c>
      <c r="AY39" s="44">
        <f ca="1"/>
        <v>21</v>
      </c>
      <c r="AZ39" s="44">
        <f ca="1"/>
        <v>26</v>
      </c>
      <c r="BA39" s="44">
        <f ca="1"/>
        <v>22</v>
      </c>
      <c r="BB39" s="44">
        <f ca="1"/>
        <v>29</v>
      </c>
      <c r="BC39" s="44">
        <f ca="1"/>
        <v>13</v>
      </c>
      <c r="BD39" s="44">
        <f ca="1"/>
        <v>21</v>
      </c>
      <c r="BE39" s="44">
        <f ca="1"/>
        <v>12</v>
      </c>
      <c r="BF39" s="44">
        <f ca="1"/>
        <v>21</v>
      </c>
      <c r="BG39" s="44">
        <f ca="1"/>
        <v>17</v>
      </c>
      <c r="BH39" s="44">
        <f ca="1"/>
        <v>28</v>
      </c>
      <c r="BI39" s="44">
        <f ca="1"/>
        <v>21</v>
      </c>
      <c r="BJ39" s="44">
        <f ca="1"/>
        <v>25</v>
      </c>
      <c r="BK39" s="44">
        <f ca="1"/>
        <v>33</v>
      </c>
      <c r="BL39" s="44">
        <f ca="1"/>
        <v>28</v>
      </c>
      <c r="BM39" s="44">
        <f ca="1"/>
        <v>14</v>
      </c>
      <c r="BN39" s="44">
        <f ca="1"/>
        <v>16</v>
      </c>
      <c r="BO39" s="44">
        <f ca="1"/>
        <v>27</v>
      </c>
      <c r="BP39" s="44">
        <f ca="1"/>
        <v>23</v>
      </c>
      <c r="BQ39" s="44">
        <f ca="1"/>
        <v>27</v>
      </c>
      <c r="BR39" s="44">
        <f ca="1"/>
        <v>31</v>
      </c>
      <c r="BS39" s="44">
        <f ca="1"/>
        <v>26</v>
      </c>
      <c r="BT39" s="44">
        <f ca="1"/>
        <v>21</v>
      </c>
      <c r="BU39" s="44">
        <f ca="1"/>
        <v>25</v>
      </c>
      <c r="BV39" s="44">
        <f ca="1"/>
        <v>18</v>
      </c>
      <c r="BW39" s="44">
        <f ca="1"/>
        <v>34</v>
      </c>
      <c r="BX39" s="44">
        <f ca="1"/>
        <v>26</v>
      </c>
      <c r="BY39" s="44">
        <f ca="1"/>
        <v>35</v>
      </c>
      <c r="BZ39" s="44">
        <f ca="1"/>
        <v>26</v>
      </c>
      <c r="CA39" s="44">
        <f ca="1"/>
        <v>30</v>
      </c>
      <c r="CB39" s="44">
        <f ca="1"/>
        <v>19</v>
      </c>
      <c r="CC39" s="44">
        <f ca="1"/>
        <v>26</v>
      </c>
      <c r="CD39" s="44">
        <f ca="1"/>
        <v>22</v>
      </c>
      <c r="CE39" s="44">
        <f ca="1"/>
        <v>14</v>
      </c>
      <c r="CF39" s="44">
        <f ca="1"/>
        <v>19</v>
      </c>
      <c r="CG39" s="44">
        <f ca="1"/>
        <v>33</v>
      </c>
      <c r="CH39" s="44">
        <f ca="1"/>
        <v>31</v>
      </c>
      <c r="CI39" s="47">
        <f ca="1"/>
        <v>557.60869565217388</v>
      </c>
      <c r="CJ39" s="48">
        <f ca="1"/>
        <v>1.9742476851851851E-2</v>
      </c>
      <c r="CK39" s="42">
        <f t="shared" ca="1" si="0"/>
        <v>0</v>
      </c>
      <c r="CM39" s="44">
        <v>38</v>
      </c>
      <c r="CN39" s="44" t="str">
        <f ca="1"/>
        <v>Cap</v>
      </c>
      <c r="CO39" s="50" t="e" vm="15">
        <f ca="1"/>
        <v>#VALUE!</v>
      </c>
      <c r="CP39" s="44">
        <f ca="1"/>
        <v>0</v>
      </c>
      <c r="CQ39" s="48" t="e">
        <f ca="1"/>
        <v>#VALUE!</v>
      </c>
      <c r="CR39" s="47">
        <f ca="1"/>
        <v>202.17391304347828</v>
      </c>
    </row>
    <row r="40" spans="1:96">
      <c r="A40" s="44">
        <v>39</v>
      </c>
      <c r="B40" s="44" t="str">
        <v>Pie999</v>
      </c>
      <c r="C40" s="44">
        <v>41</v>
      </c>
      <c r="E40" s="44">
        <v>39</v>
      </c>
      <c r="F40" s="44" t="str">
        <v>Sami</v>
      </c>
      <c r="G40" s="45">
        <v>5977</v>
      </c>
      <c r="H40" s="45">
        <v>11418</v>
      </c>
      <c r="I40" s="45">
        <v>10793</v>
      </c>
      <c r="J40" s="45">
        <v>13134</v>
      </c>
      <c r="K40" s="45">
        <v>11782</v>
      </c>
      <c r="L40" s="45">
        <v>5711</v>
      </c>
      <c r="M40" s="45">
        <v>10348</v>
      </c>
      <c r="N40" s="45">
        <v>12821</v>
      </c>
      <c r="O40" s="45">
        <v>14552</v>
      </c>
      <c r="P40" s="45">
        <v>13446</v>
      </c>
      <c r="Q40" s="45">
        <v>5279</v>
      </c>
      <c r="R40" s="45">
        <v>10686</v>
      </c>
      <c r="S40" s="45">
        <v>5757</v>
      </c>
      <c r="T40" s="45">
        <v>13366</v>
      </c>
      <c r="U40" s="45">
        <v>13595</v>
      </c>
      <c r="V40" s="45">
        <v>12330</v>
      </c>
      <c r="W40" s="45">
        <v>5838</v>
      </c>
      <c r="X40" s="45">
        <v>11778</v>
      </c>
      <c r="Y40" s="45">
        <v>5361</v>
      </c>
      <c r="Z40" s="45">
        <v>12917</v>
      </c>
      <c r="AA40" s="46">
        <f ca="1"/>
        <v>6.9178240740740745E-4</v>
      </c>
      <c r="AB40" s="46">
        <f ca="1"/>
        <v>8.5856481481481482E-4</v>
      </c>
      <c r="AC40" s="46">
        <f ca="1"/>
        <v>7.8622685185185187E-4</v>
      </c>
      <c r="AD40" s="46">
        <f ca="1"/>
        <v>1.0571759259259258E-3</v>
      </c>
      <c r="AE40" s="46">
        <f ca="1"/>
        <v>9.0069444444444442E-4</v>
      </c>
      <c r="AF40" s="46">
        <f ca="1"/>
        <v>6.6099537037037038E-4</v>
      </c>
      <c r="AG40" s="46">
        <f ca="1"/>
        <v>7.3472222222222222E-4</v>
      </c>
      <c r="AH40" s="46">
        <f ca="1"/>
        <v>1.0209490740740741E-3</v>
      </c>
      <c r="AI40" s="46">
        <f ca="1"/>
        <v>1.2212962962962963E-3</v>
      </c>
      <c r="AJ40" s="46">
        <f ca="1"/>
        <v>1.0932870370370371E-3</v>
      </c>
      <c r="AK40" s="46">
        <f ca="1"/>
        <v>6.1099537037037036E-4</v>
      </c>
      <c r="AL40" s="46">
        <f ca="1"/>
        <v>7.7384259259259257E-4</v>
      </c>
      <c r="AM40" s="46">
        <f ca="1"/>
        <v>6.6631944444444442E-4</v>
      </c>
      <c r="AN40" s="46">
        <f ca="1"/>
        <v>1.0840277777777777E-3</v>
      </c>
      <c r="AO40" s="46">
        <f ca="1"/>
        <v>1.1105324074074073E-3</v>
      </c>
      <c r="AP40" s="46">
        <f ca="1"/>
        <v>9.6412037037037039E-4</v>
      </c>
      <c r="AQ40" s="46">
        <f ca="1"/>
        <v>6.7569444444444448E-4</v>
      </c>
      <c r="AR40" s="46">
        <f ca="1"/>
        <v>9.0023148148148146E-4</v>
      </c>
      <c r="AS40" s="46">
        <f ca="1"/>
        <v>6.2048611111111115E-4</v>
      </c>
      <c r="AT40" s="46">
        <f ca="1"/>
        <v>1.0320601851851851E-3</v>
      </c>
      <c r="AU40" s="44">
        <f ca="1"/>
        <v>2</v>
      </c>
      <c r="AV40" s="44">
        <f ca="1"/>
        <v>5</v>
      </c>
      <c r="AW40" s="44">
        <f ca="1"/>
        <v>4</v>
      </c>
      <c r="AX40" s="44">
        <f ca="1"/>
        <v>6</v>
      </c>
      <c r="AY40" s="44">
        <f ca="1"/>
        <v>4</v>
      </c>
      <c r="AZ40" s="44">
        <f ca="1"/>
        <v>4</v>
      </c>
      <c r="BA40" s="44">
        <f ca="1"/>
        <v>2</v>
      </c>
      <c r="BB40" s="44">
        <f ca="1"/>
        <v>4</v>
      </c>
      <c r="BC40" s="44">
        <f ca="1"/>
        <v>5</v>
      </c>
      <c r="BD40" s="44">
        <f ca="1"/>
        <v>8</v>
      </c>
      <c r="BE40" s="44">
        <f ca="1"/>
        <v>1</v>
      </c>
      <c r="BF40" s="44">
        <f ca="1"/>
        <v>4</v>
      </c>
      <c r="BG40" s="44">
        <f ca="1"/>
        <v>6</v>
      </c>
      <c r="BH40" s="44">
        <f ca="1"/>
        <v>1</v>
      </c>
      <c r="BI40" s="44">
        <f ca="1"/>
        <v>3</v>
      </c>
      <c r="BJ40" s="44">
        <f ca="1"/>
        <v>8</v>
      </c>
      <c r="BK40" s="44">
        <f ca="1"/>
        <v>4</v>
      </c>
      <c r="BL40" s="44">
        <f ca="1"/>
        <v>3</v>
      </c>
      <c r="BM40" s="44">
        <f ca="1"/>
        <v>1</v>
      </c>
      <c r="BN40" s="44">
        <f ca="1"/>
        <v>3</v>
      </c>
      <c r="BO40" s="44">
        <f ca="1"/>
        <v>45</v>
      </c>
      <c r="BP40" s="44">
        <f ca="1"/>
        <v>42</v>
      </c>
      <c r="BQ40" s="44">
        <f ca="1"/>
        <v>43</v>
      </c>
      <c r="BR40" s="44">
        <f ca="1"/>
        <v>41</v>
      </c>
      <c r="BS40" s="44">
        <f ca="1"/>
        <v>43</v>
      </c>
      <c r="BT40" s="44">
        <f ca="1"/>
        <v>43</v>
      </c>
      <c r="BU40" s="44">
        <f ca="1"/>
        <v>45</v>
      </c>
      <c r="BV40" s="44">
        <f ca="1"/>
        <v>43</v>
      </c>
      <c r="BW40" s="44">
        <f ca="1"/>
        <v>42</v>
      </c>
      <c r="BX40" s="44">
        <f ca="1"/>
        <v>39</v>
      </c>
      <c r="BY40" s="44">
        <f ca="1"/>
        <v>46</v>
      </c>
      <c r="BZ40" s="44">
        <f ca="1"/>
        <v>43</v>
      </c>
      <c r="CA40" s="44">
        <f ca="1"/>
        <v>41</v>
      </c>
      <c r="CB40" s="44">
        <f ca="1"/>
        <v>46</v>
      </c>
      <c r="CC40" s="44">
        <f ca="1"/>
        <v>44</v>
      </c>
      <c r="CD40" s="44">
        <f ca="1"/>
        <v>39</v>
      </c>
      <c r="CE40" s="44">
        <f ca="1"/>
        <v>43</v>
      </c>
      <c r="CF40" s="44">
        <f ca="1"/>
        <v>44</v>
      </c>
      <c r="CG40" s="44">
        <f ca="1"/>
        <v>46</v>
      </c>
      <c r="CH40" s="44">
        <f ca="1"/>
        <v>44</v>
      </c>
      <c r="CI40" s="47">
        <f ca="1"/>
        <v>936.95652173913049</v>
      </c>
      <c r="CJ40" s="48">
        <f ca="1"/>
        <v>1.7464004629629631E-2</v>
      </c>
      <c r="CK40" s="42">
        <f t="shared" ca="1" si="0"/>
        <v>3</v>
      </c>
      <c r="CM40" s="44">
        <v>39</v>
      </c>
      <c r="CN40" s="44" t="str">
        <f ca="1"/>
        <v>L'escargot</v>
      </c>
      <c r="CO40" s="50" t="e" vm="15">
        <f ca="1"/>
        <v>#VALUE!</v>
      </c>
      <c r="CP40" s="44">
        <f ca="1"/>
        <v>0</v>
      </c>
      <c r="CQ40" s="48" t="e">
        <f ca="1"/>
        <v>#VALUE!</v>
      </c>
      <c r="CR40" s="47">
        <f ca="1"/>
        <v>197.82608695652175</v>
      </c>
    </row>
    <row r="41" spans="1:96">
      <c r="A41" s="44">
        <v>40</v>
      </c>
      <c r="B41" s="44" t="str">
        <v>Sami</v>
      </c>
      <c r="C41" s="44">
        <v>2</v>
      </c>
      <c r="E41" s="44">
        <v>40</v>
      </c>
      <c r="F41" s="44" t="str">
        <v>SDW</v>
      </c>
      <c r="G41" s="45">
        <v>12720</v>
      </c>
      <c r="H41" s="45">
        <v>21187</v>
      </c>
      <c r="I41" s="45">
        <v>14355</v>
      </c>
      <c r="J41" s="45">
        <v>24130</v>
      </c>
      <c r="K41" s="45">
        <v>20656</v>
      </c>
      <c r="L41" s="45">
        <v>13585</v>
      </c>
      <c r="M41" s="45">
        <v>15623</v>
      </c>
      <c r="N41" s="45">
        <v>24059</v>
      </c>
      <c r="O41" s="45">
        <v>31858</v>
      </c>
      <c r="P41" s="45">
        <v>22528</v>
      </c>
      <c r="Q41" s="45">
        <v>12075</v>
      </c>
      <c r="R41" s="45">
        <v>20976</v>
      </c>
      <c r="S41" s="45">
        <v>14716</v>
      </c>
      <c r="T41" s="45">
        <v>30152</v>
      </c>
      <c r="U41" s="45">
        <v>25444</v>
      </c>
      <c r="V41" s="45">
        <v>25131</v>
      </c>
      <c r="W41" s="45">
        <v>15171</v>
      </c>
      <c r="X41" s="45">
        <v>31736</v>
      </c>
      <c r="Y41" s="45">
        <v>20684</v>
      </c>
      <c r="Z41" s="45">
        <v>25647</v>
      </c>
      <c r="AA41" s="46">
        <f ca="1"/>
        <v>1.0092592592592592E-3</v>
      </c>
      <c r="AB41" s="46">
        <f ca="1"/>
        <v>1.5262731481481481E-3</v>
      </c>
      <c r="AC41" s="46">
        <f ca="1"/>
        <v>1.1984953703703704E-3</v>
      </c>
      <c r="AD41" s="46">
        <f ca="1"/>
        <v>1.8668981481481481E-3</v>
      </c>
      <c r="AE41" s="46">
        <f ca="1"/>
        <v>1.4648148148148148E-3</v>
      </c>
      <c r="AF41" s="46">
        <f ca="1"/>
        <v>1.1093749999999999E-3</v>
      </c>
      <c r="AG41" s="46">
        <f ca="1"/>
        <v>1.3452546296296296E-3</v>
      </c>
      <c r="AH41" s="46">
        <f ca="1"/>
        <v>1.8586805555555555E-3</v>
      </c>
      <c r="AI41" s="46">
        <f ca="1"/>
        <v>2.2983796296296298E-3</v>
      </c>
      <c r="AJ41" s="46">
        <f ca="1"/>
        <v>1.6814814814814815E-3</v>
      </c>
      <c r="AK41" s="46">
        <f ca="1"/>
        <v>9.3460648148148146E-4</v>
      </c>
      <c r="AL41" s="46">
        <f ca="1"/>
        <v>1.5018518518518519E-3</v>
      </c>
      <c r="AM41" s="46">
        <f ca="1"/>
        <v>1.2402777777777779E-3</v>
      </c>
      <c r="AN41" s="46">
        <f ca="1"/>
        <v>2.1009259259259258E-3</v>
      </c>
      <c r="AO41" s="46">
        <f ca="1"/>
        <v>2.0189814814814814E-3</v>
      </c>
      <c r="AP41" s="46">
        <f ca="1"/>
        <v>1.9827546296296295E-3</v>
      </c>
      <c r="AQ41" s="46">
        <f ca="1"/>
        <v>1.2929398148148149E-3</v>
      </c>
      <c r="AR41" s="46">
        <f ca="1"/>
        <v>2.2842592592592593E-3</v>
      </c>
      <c r="AS41" s="46">
        <f ca="1"/>
        <v>1.4680555555555556E-3</v>
      </c>
      <c r="AT41" s="46">
        <f ca="1"/>
        <v>2.0424768518518517E-3</v>
      </c>
      <c r="AU41" s="44">
        <f ca="1"/>
        <v>46</v>
      </c>
      <c r="AV41" s="44">
        <f ca="1"/>
        <v>47</v>
      </c>
      <c r="AW41" s="44">
        <f ca="1"/>
        <v>46</v>
      </c>
      <c r="AX41" s="44">
        <f ca="1"/>
        <v>47</v>
      </c>
      <c r="AY41" s="44">
        <f ca="1"/>
        <v>47</v>
      </c>
      <c r="AZ41" s="44">
        <f ca="1"/>
        <v>46</v>
      </c>
      <c r="BA41" s="44">
        <f ca="1"/>
        <v>47</v>
      </c>
      <c r="BB41" s="44">
        <f ca="1"/>
        <v>47</v>
      </c>
      <c r="BC41" s="44">
        <f ca="1"/>
        <v>47</v>
      </c>
      <c r="BD41" s="44">
        <f ca="1"/>
        <v>46</v>
      </c>
      <c r="BE41" s="44">
        <f ca="1"/>
        <v>41</v>
      </c>
      <c r="BF41" s="44">
        <f ca="1"/>
        <v>47</v>
      </c>
      <c r="BG41" s="44">
        <f ca="1"/>
        <v>47</v>
      </c>
      <c r="BH41" s="44">
        <f ca="1"/>
        <v>47</v>
      </c>
      <c r="BI41" s="44">
        <f ca="1"/>
        <v>47</v>
      </c>
      <c r="BJ41" s="44">
        <f ca="1"/>
        <v>47</v>
      </c>
      <c r="BK41" s="44">
        <f ca="1"/>
        <v>47</v>
      </c>
      <c r="BL41" s="44">
        <f ca="1"/>
        <v>47</v>
      </c>
      <c r="BM41" s="44">
        <f ca="1"/>
        <v>46</v>
      </c>
      <c r="BN41" s="44">
        <f ca="1"/>
        <v>46</v>
      </c>
      <c r="BO41" s="44">
        <f ca="1"/>
        <v>1</v>
      </c>
      <c r="BP41" s="44">
        <f ca="1"/>
        <v>0</v>
      </c>
      <c r="BQ41" s="44">
        <f ca="1"/>
        <v>1</v>
      </c>
      <c r="BR41" s="44">
        <f ca="1"/>
        <v>0</v>
      </c>
      <c r="BS41" s="44">
        <f ca="1"/>
        <v>0</v>
      </c>
      <c r="BT41" s="44">
        <f ca="1"/>
        <v>1</v>
      </c>
      <c r="BU41" s="44">
        <f ca="1"/>
        <v>0</v>
      </c>
      <c r="BV41" s="44">
        <f ca="1"/>
        <v>0</v>
      </c>
      <c r="BW41" s="44">
        <f ca="1"/>
        <v>0</v>
      </c>
      <c r="BX41" s="44">
        <f ca="1"/>
        <v>1</v>
      </c>
      <c r="BY41" s="44">
        <f ca="1"/>
        <v>6</v>
      </c>
      <c r="BZ41" s="44">
        <f ca="1"/>
        <v>0</v>
      </c>
      <c r="CA41" s="44">
        <f ca="1"/>
        <v>0</v>
      </c>
      <c r="CB41" s="44">
        <f ca="1"/>
        <v>0</v>
      </c>
      <c r="CC41" s="44">
        <f ca="1"/>
        <v>0</v>
      </c>
      <c r="CD41" s="44">
        <f ca="1"/>
        <v>0</v>
      </c>
      <c r="CE41" s="44">
        <f ca="1"/>
        <v>0</v>
      </c>
      <c r="CF41" s="44">
        <f ca="1"/>
        <v>0</v>
      </c>
      <c r="CG41" s="44">
        <f ca="1"/>
        <v>1</v>
      </c>
      <c r="CH41" s="44">
        <f ca="1"/>
        <v>1</v>
      </c>
      <c r="CI41" s="47">
        <f ca="1"/>
        <v>13.043478260869565</v>
      </c>
      <c r="CJ41" s="48">
        <f ca="1"/>
        <v>3.222604166666667E-2</v>
      </c>
      <c r="CK41" s="42">
        <f t="shared" ca="1" si="0"/>
        <v>0</v>
      </c>
      <c r="CM41" s="44">
        <v>40</v>
      </c>
      <c r="CN41" s="44" t="str">
        <f ca="1"/>
        <v>Oni</v>
      </c>
      <c r="CO41" s="50" t="e" vm="15">
        <f ca="1"/>
        <v>#VALUE!</v>
      </c>
      <c r="CP41" s="44">
        <f ca="1"/>
        <v>0</v>
      </c>
      <c r="CQ41" s="48" t="e">
        <f ca="1"/>
        <v>#VALUE!</v>
      </c>
      <c r="CR41" s="47">
        <f ca="1"/>
        <v>165.21739130434781</v>
      </c>
    </row>
    <row r="42" spans="1:96">
      <c r="A42" s="44">
        <v>41</v>
      </c>
      <c r="B42" s="44" t="str">
        <v>Narnet</v>
      </c>
      <c r="C42" s="44">
        <v>27</v>
      </c>
      <c r="E42" s="44">
        <v>41</v>
      </c>
      <c r="F42" s="44" t="str">
        <v>Sjors</v>
      </c>
      <c r="G42" s="45">
        <v>10769</v>
      </c>
      <c r="H42" s="45">
        <v>12119</v>
      </c>
      <c r="I42" s="45">
        <v>10903</v>
      </c>
      <c r="J42" s="45">
        <v>13985</v>
      </c>
      <c r="K42" s="45">
        <v>12119</v>
      </c>
      <c r="L42" s="45">
        <v>10513</v>
      </c>
      <c r="M42" s="45">
        <v>10574</v>
      </c>
      <c r="N42" s="45">
        <v>13319</v>
      </c>
      <c r="O42" s="45">
        <v>15914</v>
      </c>
      <c r="P42" s="45">
        <v>13595</v>
      </c>
      <c r="Q42" s="45">
        <v>10381</v>
      </c>
      <c r="R42" s="45">
        <v>12294</v>
      </c>
      <c r="S42" s="45">
        <v>10099</v>
      </c>
      <c r="T42" s="45">
        <v>15114</v>
      </c>
      <c r="U42" s="45">
        <v>14881</v>
      </c>
      <c r="V42" s="45">
        <v>15484</v>
      </c>
      <c r="W42" s="45">
        <v>11090</v>
      </c>
      <c r="X42" s="45">
        <v>13762</v>
      </c>
      <c r="Y42" s="45">
        <v>11085</v>
      </c>
      <c r="Z42" s="45">
        <v>13422</v>
      </c>
      <c r="AA42" s="46">
        <f ca="1"/>
        <v>7.834490740740741E-4</v>
      </c>
      <c r="AB42" s="46">
        <f ca="1"/>
        <v>9.3969907407407403E-4</v>
      </c>
      <c r="AC42" s="46">
        <f ca="1"/>
        <v>7.9895833333333338E-4</v>
      </c>
      <c r="AD42" s="46">
        <f ca="1"/>
        <v>1.1556712962962964E-3</v>
      </c>
      <c r="AE42" s="46">
        <f ca="1"/>
        <v>9.3969907407407403E-4</v>
      </c>
      <c r="AF42" s="46">
        <f ca="1"/>
        <v>7.5381944444444444E-4</v>
      </c>
      <c r="AG42" s="46">
        <f ca="1"/>
        <v>7.6087962962962958E-4</v>
      </c>
      <c r="AH42" s="46">
        <f ca="1"/>
        <v>1.0785879629629631E-3</v>
      </c>
      <c r="AI42" s="46">
        <f ca="1"/>
        <v>1.3789351851851851E-3</v>
      </c>
      <c r="AJ42" s="46">
        <f ca="1"/>
        <v>1.1105324074074073E-3</v>
      </c>
      <c r="AK42" s="46">
        <f ca="1"/>
        <v>7.3854166666666664E-4</v>
      </c>
      <c r="AL42" s="46">
        <f ca="1"/>
        <v>9.5995370370370375E-4</v>
      </c>
      <c r="AM42" s="46">
        <f ca="1"/>
        <v>7.0590277777777773E-4</v>
      </c>
      <c r="AN42" s="46">
        <f ca="1"/>
        <v>1.2863425925925926E-3</v>
      </c>
      <c r="AO42" s="46">
        <f ca="1"/>
        <v>1.2593750000000001E-3</v>
      </c>
      <c r="AP42" s="46">
        <f ca="1"/>
        <v>1.3291666666666666E-3</v>
      </c>
      <c r="AQ42" s="46">
        <f ca="1"/>
        <v>8.2060185185185187E-4</v>
      </c>
      <c r="AR42" s="46">
        <f ca="1"/>
        <v>1.1298611111111112E-3</v>
      </c>
      <c r="AS42" s="46">
        <f ca="1"/>
        <v>8.2002314814814817E-4</v>
      </c>
      <c r="AT42" s="46">
        <f ca="1"/>
        <v>1.0905092592592592E-3</v>
      </c>
      <c r="AU42" s="44">
        <f ca="1"/>
        <v>30</v>
      </c>
      <c r="AV42" s="44">
        <f ca="1"/>
        <v>19</v>
      </c>
      <c r="AW42" s="44">
        <f ca="1"/>
        <v>15</v>
      </c>
      <c r="AX42" s="44">
        <f ca="1"/>
        <v>24</v>
      </c>
      <c r="AY42" s="44">
        <f ca="1"/>
        <v>16</v>
      </c>
      <c r="AZ42" s="44">
        <f ca="1"/>
        <v>18</v>
      </c>
      <c r="BA42" s="44">
        <f ca="1"/>
        <v>19</v>
      </c>
      <c r="BB42" s="44">
        <f ca="1"/>
        <v>17</v>
      </c>
      <c r="BC42" s="44">
        <f ca="1"/>
        <v>27</v>
      </c>
      <c r="BD42" s="44">
        <f ca="1"/>
        <v>12</v>
      </c>
      <c r="BE42" s="44">
        <f ca="1"/>
        <v>18</v>
      </c>
      <c r="BF42" s="44">
        <f ca="1"/>
        <v>30</v>
      </c>
      <c r="BG42" s="44">
        <f ca="1"/>
        <v>13</v>
      </c>
      <c r="BH42" s="44">
        <f ca="1"/>
        <v>18</v>
      </c>
      <c r="BI42" s="44">
        <f ca="1"/>
        <v>20</v>
      </c>
      <c r="BJ42" s="44">
        <f ca="1"/>
        <v>38</v>
      </c>
      <c r="BK42" s="44">
        <f ca="1"/>
        <v>18</v>
      </c>
      <c r="BL42" s="44">
        <f ca="1"/>
        <v>24</v>
      </c>
      <c r="BM42" s="44">
        <f ca="1"/>
        <v>22</v>
      </c>
      <c r="BN42" s="44">
        <f ca="1"/>
        <v>14</v>
      </c>
      <c r="BO42" s="44">
        <f ca="1"/>
        <v>17</v>
      </c>
      <c r="BP42" s="44">
        <f ca="1"/>
        <v>28</v>
      </c>
      <c r="BQ42" s="44">
        <f ca="1"/>
        <v>32</v>
      </c>
      <c r="BR42" s="44">
        <f ca="1"/>
        <v>23</v>
      </c>
      <c r="BS42" s="44">
        <f ca="1"/>
        <v>31</v>
      </c>
      <c r="BT42" s="44">
        <f ca="1"/>
        <v>29</v>
      </c>
      <c r="BU42" s="44">
        <f ca="1"/>
        <v>28</v>
      </c>
      <c r="BV42" s="44">
        <f ca="1"/>
        <v>30</v>
      </c>
      <c r="BW42" s="44">
        <f ca="1"/>
        <v>20</v>
      </c>
      <c r="BX42" s="44">
        <f ca="1"/>
        <v>35</v>
      </c>
      <c r="BY42" s="44">
        <f ca="1"/>
        <v>29</v>
      </c>
      <c r="BZ42" s="44">
        <f ca="1"/>
        <v>17</v>
      </c>
      <c r="CA42" s="44">
        <f ca="1"/>
        <v>34</v>
      </c>
      <c r="CB42" s="44">
        <f ca="1"/>
        <v>29</v>
      </c>
      <c r="CC42" s="44">
        <f ca="1"/>
        <v>27</v>
      </c>
      <c r="CD42" s="44">
        <f ca="1"/>
        <v>9</v>
      </c>
      <c r="CE42" s="44">
        <f ca="1"/>
        <v>29</v>
      </c>
      <c r="CF42" s="44">
        <f ca="1"/>
        <v>23</v>
      </c>
      <c r="CG42" s="44">
        <f ca="1"/>
        <v>25</v>
      </c>
      <c r="CH42" s="44">
        <f ca="1"/>
        <v>33</v>
      </c>
      <c r="CI42" s="47">
        <f ca="1"/>
        <v>573.91304347826087</v>
      </c>
      <c r="CJ42" s="48">
        <f ca="1"/>
        <v>1.9840509259259259E-2</v>
      </c>
      <c r="CK42" s="42">
        <f t="shared" ca="1" si="0"/>
        <v>0</v>
      </c>
      <c r="CM42" s="44">
        <v>41</v>
      </c>
      <c r="CN42" s="44" t="str">
        <f ca="1"/>
        <v>Ale</v>
      </c>
      <c r="CO42" s="50" t="e" vm="20">
        <f ca="1"/>
        <v>#VALUE!</v>
      </c>
      <c r="CP42" s="44">
        <f ca="1"/>
        <v>0</v>
      </c>
      <c r="CQ42" s="48" t="e">
        <f ca="1"/>
        <v>#VALUE!</v>
      </c>
      <c r="CR42" s="47">
        <f ca="1"/>
        <v>153.2608695652174</v>
      </c>
    </row>
    <row r="43" spans="1:96">
      <c r="A43" s="44">
        <v>42</v>
      </c>
      <c r="B43" s="44" t="str">
        <v>Sjors</v>
      </c>
      <c r="C43" s="44">
        <v>25</v>
      </c>
      <c r="E43" s="44">
        <v>42</v>
      </c>
      <c r="F43" s="44" t="str">
        <v>Sumz</v>
      </c>
      <c r="G43" s="45">
        <v>10186</v>
      </c>
      <c r="H43" s="45">
        <v>11689</v>
      </c>
      <c r="I43" s="45">
        <v>11128</v>
      </c>
      <c r="J43" s="45">
        <v>13605</v>
      </c>
      <c r="K43" s="45">
        <v>11894</v>
      </c>
      <c r="L43" s="45">
        <v>10169</v>
      </c>
      <c r="M43" s="45">
        <v>10521</v>
      </c>
      <c r="N43" s="45">
        <v>13689</v>
      </c>
      <c r="O43" s="45">
        <v>15888</v>
      </c>
      <c r="P43" s="45">
        <v>13959</v>
      </c>
      <c r="Q43" s="45">
        <v>10748</v>
      </c>
      <c r="R43" s="45">
        <v>11416</v>
      </c>
      <c r="S43" s="45">
        <v>10704</v>
      </c>
      <c r="T43" s="45">
        <v>15036</v>
      </c>
      <c r="U43" s="45">
        <v>15145</v>
      </c>
      <c r="V43" s="45">
        <v>12662</v>
      </c>
      <c r="W43" s="45">
        <v>10893</v>
      </c>
      <c r="X43" s="45">
        <v>12230</v>
      </c>
      <c r="Y43" s="45">
        <v>10592</v>
      </c>
      <c r="Z43" s="45">
        <v>15631</v>
      </c>
      <c r="AA43" s="46">
        <f ca="1"/>
        <v>7.1597222222222223E-4</v>
      </c>
      <c r="AB43" s="46">
        <f ca="1"/>
        <v>8.8993055555555559E-4</v>
      </c>
      <c r="AC43" s="46">
        <f ca="1"/>
        <v>8.25E-4</v>
      </c>
      <c r="AD43" s="46">
        <f ca="1"/>
        <v>1.1116898148148149E-3</v>
      </c>
      <c r="AE43" s="46">
        <f ca="1"/>
        <v>9.1365740740740741E-4</v>
      </c>
      <c r="AF43" s="46">
        <f ca="1"/>
        <v>7.1400462962962965E-4</v>
      </c>
      <c r="AG43" s="46">
        <f ca="1"/>
        <v>7.5474537037037036E-4</v>
      </c>
      <c r="AH43" s="46">
        <f ca="1"/>
        <v>1.1214120370370371E-3</v>
      </c>
      <c r="AI43" s="46">
        <f ca="1"/>
        <v>1.3759259259259258E-3</v>
      </c>
      <c r="AJ43" s="46">
        <f ca="1"/>
        <v>1.1526620370370371E-3</v>
      </c>
      <c r="AK43" s="46">
        <f ca="1"/>
        <v>7.8101851851851856E-4</v>
      </c>
      <c r="AL43" s="46">
        <f ca="1"/>
        <v>8.5833333333333334E-4</v>
      </c>
      <c r="AM43" s="46">
        <f ca="1"/>
        <v>7.7592592592592589E-4</v>
      </c>
      <c r="AN43" s="46">
        <f ca="1"/>
        <v>1.2773148148148149E-3</v>
      </c>
      <c r="AO43" s="46">
        <f ca="1"/>
        <v>1.2899305555555554E-3</v>
      </c>
      <c r="AP43" s="46">
        <f ca="1"/>
        <v>1.0025462962962963E-3</v>
      </c>
      <c r="AQ43" s="46">
        <f ca="1"/>
        <v>7.9780092592592598E-4</v>
      </c>
      <c r="AR43" s="46">
        <f ca="1"/>
        <v>9.5254629629629628E-4</v>
      </c>
      <c r="AS43" s="46">
        <f ca="1"/>
        <v>7.6296296296296301E-4</v>
      </c>
      <c r="AT43" s="46">
        <f ca="1"/>
        <v>1.3461805555555555E-3</v>
      </c>
      <c r="AU43" s="44">
        <f ca="1"/>
        <v>10</v>
      </c>
      <c r="AV43" s="44">
        <f ca="1"/>
        <v>14</v>
      </c>
      <c r="AW43" s="44">
        <f ca="1"/>
        <v>26</v>
      </c>
      <c r="AX43" s="44">
        <f ca="1"/>
        <v>17</v>
      </c>
      <c r="AY43" s="44">
        <f ca="1"/>
        <v>6</v>
      </c>
      <c r="AZ43" s="44">
        <f ca="1"/>
        <v>10</v>
      </c>
      <c r="BA43" s="44">
        <f ca="1"/>
        <v>12</v>
      </c>
      <c r="BB43" s="44">
        <f ca="1"/>
        <v>27</v>
      </c>
      <c r="BC43" s="44">
        <f ca="1"/>
        <v>25</v>
      </c>
      <c r="BD43" s="44">
        <f ca="1"/>
        <v>23</v>
      </c>
      <c r="BE43" s="44">
        <f ca="1"/>
        <v>25</v>
      </c>
      <c r="BF43" s="44">
        <f ca="1"/>
        <v>15</v>
      </c>
      <c r="BG43" s="44">
        <f ca="1"/>
        <v>26</v>
      </c>
      <c r="BH43" s="44">
        <f ca="1"/>
        <v>17</v>
      </c>
      <c r="BI43" s="44">
        <f ca="1"/>
        <v>23</v>
      </c>
      <c r="BJ43" s="44">
        <f ca="1"/>
        <v>12</v>
      </c>
      <c r="BK43" s="44">
        <f ca="1"/>
        <v>16</v>
      </c>
      <c r="BL43" s="44">
        <f ca="1"/>
        <v>8</v>
      </c>
      <c r="BM43" s="44">
        <f ca="1"/>
        <v>13</v>
      </c>
      <c r="BN43" s="44">
        <f ca="1"/>
        <v>33</v>
      </c>
      <c r="BO43" s="44">
        <f ca="1"/>
        <v>37</v>
      </c>
      <c r="BP43" s="44">
        <f ca="1"/>
        <v>33</v>
      </c>
      <c r="BQ43" s="44">
        <f ca="1"/>
        <v>21</v>
      </c>
      <c r="BR43" s="44">
        <f ca="1"/>
        <v>30</v>
      </c>
      <c r="BS43" s="44">
        <f ca="1"/>
        <v>41</v>
      </c>
      <c r="BT43" s="44">
        <f ca="1"/>
        <v>37</v>
      </c>
      <c r="BU43" s="44">
        <f ca="1"/>
        <v>35</v>
      </c>
      <c r="BV43" s="44">
        <f ca="1"/>
        <v>20</v>
      </c>
      <c r="BW43" s="44">
        <f ca="1"/>
        <v>22</v>
      </c>
      <c r="BX43" s="44">
        <f ca="1"/>
        <v>24</v>
      </c>
      <c r="BY43" s="44">
        <f ca="1"/>
        <v>22</v>
      </c>
      <c r="BZ43" s="44">
        <f ca="1"/>
        <v>32</v>
      </c>
      <c r="CA43" s="44">
        <f ca="1"/>
        <v>21</v>
      </c>
      <c r="CB43" s="44">
        <f ca="1"/>
        <v>30</v>
      </c>
      <c r="CC43" s="44">
        <f ca="1"/>
        <v>24</v>
      </c>
      <c r="CD43" s="44">
        <f ca="1"/>
        <v>35</v>
      </c>
      <c r="CE43" s="44">
        <f ca="1"/>
        <v>31</v>
      </c>
      <c r="CF43" s="44">
        <f ca="1"/>
        <v>39</v>
      </c>
      <c r="CG43" s="44">
        <f ca="1"/>
        <v>34</v>
      </c>
      <c r="CH43" s="44">
        <f ca="1"/>
        <v>14</v>
      </c>
      <c r="CI43" s="47">
        <f ca="1"/>
        <v>632.60869565217388</v>
      </c>
      <c r="CJ43" s="48">
        <f ca="1"/>
        <v>1.9419560185185182E-2</v>
      </c>
      <c r="CK43" s="42">
        <f t="shared" ca="1" si="0"/>
        <v>0</v>
      </c>
      <c r="CM43" s="44">
        <v>42</v>
      </c>
      <c r="CN43" s="44" t="str">
        <f ca="1"/>
        <v>Chachamaxx</v>
      </c>
      <c r="CO43" s="50" t="e" vm="15">
        <f ca="1"/>
        <v>#VALUE!</v>
      </c>
      <c r="CP43" s="44">
        <f ca="1"/>
        <v>0</v>
      </c>
      <c r="CQ43" s="48" t="e">
        <f ca="1"/>
        <v>#VALUE!</v>
      </c>
      <c r="CR43" s="47">
        <f ca="1"/>
        <v>135.86956521739128</v>
      </c>
    </row>
    <row r="44" spans="1:96">
      <c r="A44" s="44">
        <v>43</v>
      </c>
      <c r="B44" s="44" t="str">
        <v>Jarmou</v>
      </c>
      <c r="C44" s="44">
        <v>9</v>
      </c>
      <c r="E44" s="44">
        <v>43</v>
      </c>
      <c r="F44" s="44" t="str">
        <v>Takashi</v>
      </c>
      <c r="G44" s="45">
        <v>10129</v>
      </c>
      <c r="H44" s="45">
        <v>11651</v>
      </c>
      <c r="I44" s="45">
        <v>11189</v>
      </c>
      <c r="J44" s="45">
        <v>13100</v>
      </c>
      <c r="K44" s="45">
        <v>12724</v>
      </c>
      <c r="L44" s="45">
        <v>5615</v>
      </c>
      <c r="M44" s="45">
        <v>10385</v>
      </c>
      <c r="N44" s="45">
        <v>12913</v>
      </c>
      <c r="O44" s="45">
        <v>14513</v>
      </c>
      <c r="P44" s="45">
        <v>12897</v>
      </c>
      <c r="Q44" s="45">
        <v>5792</v>
      </c>
      <c r="R44" s="45">
        <v>10815</v>
      </c>
      <c r="S44" s="45">
        <v>5384</v>
      </c>
      <c r="T44" s="45">
        <v>14003</v>
      </c>
      <c r="U44" s="45">
        <v>13930</v>
      </c>
      <c r="V44" s="45">
        <v>11977</v>
      </c>
      <c r="W44" s="45">
        <v>10065</v>
      </c>
      <c r="X44" s="45">
        <v>11858</v>
      </c>
      <c r="Y44" s="45">
        <v>5802</v>
      </c>
      <c r="Z44" s="45">
        <v>13766</v>
      </c>
      <c r="AA44" s="46">
        <f ca="1"/>
        <v>7.0937500000000004E-4</v>
      </c>
      <c r="AB44" s="46">
        <f ca="1"/>
        <v>8.8553240740740736E-4</v>
      </c>
      <c r="AC44" s="46">
        <f ca="1"/>
        <v>8.3206018518518514E-4</v>
      </c>
      <c r="AD44" s="46">
        <f ca="1"/>
        <v>1.0532407407407407E-3</v>
      </c>
      <c r="AE44" s="46">
        <f ca="1"/>
        <v>1.0097222222222222E-3</v>
      </c>
      <c r="AF44" s="46">
        <f ca="1"/>
        <v>6.4988425925925923E-4</v>
      </c>
      <c r="AG44" s="46">
        <f ca="1"/>
        <v>7.390046296296296E-4</v>
      </c>
      <c r="AH44" s="46">
        <f ca="1"/>
        <v>1.0315972222222222E-3</v>
      </c>
      <c r="AI44" s="46">
        <f ca="1"/>
        <v>1.2167824074074073E-3</v>
      </c>
      <c r="AJ44" s="46">
        <f ca="1"/>
        <v>1.0297453703703703E-3</v>
      </c>
      <c r="AK44" s="46">
        <f ca="1"/>
        <v>6.7037037037037033E-4</v>
      </c>
      <c r="AL44" s="46">
        <f ca="1"/>
        <v>7.8877314814814815E-4</v>
      </c>
      <c r="AM44" s="46">
        <f ca="1"/>
        <v>6.2314814814814817E-4</v>
      </c>
      <c r="AN44" s="46">
        <f ca="1"/>
        <v>1.1577546296296297E-3</v>
      </c>
      <c r="AO44" s="46">
        <f ca="1"/>
        <v>1.1493055555555555E-3</v>
      </c>
      <c r="AP44" s="46">
        <f ca="1"/>
        <v>9.2326388888888894E-4</v>
      </c>
      <c r="AQ44" s="46">
        <f ca="1"/>
        <v>7.0196759259259257E-4</v>
      </c>
      <c r="AR44" s="46">
        <f ca="1"/>
        <v>9.0949074074074077E-4</v>
      </c>
      <c r="AS44" s="46">
        <f ca="1"/>
        <v>6.7152777777777773E-4</v>
      </c>
      <c r="AT44" s="46">
        <f ca="1"/>
        <v>1.1303240740740742E-3</v>
      </c>
      <c r="AU44" s="44">
        <f ca="1"/>
        <v>6</v>
      </c>
      <c r="AV44" s="44">
        <f ca="1"/>
        <v>13</v>
      </c>
      <c r="AW44" s="44">
        <f ca="1"/>
        <v>28</v>
      </c>
      <c r="AX44" s="44">
        <f ca="1"/>
        <v>5</v>
      </c>
      <c r="AY44" s="44">
        <f ca="1"/>
        <v>30</v>
      </c>
      <c r="AZ44" s="44">
        <f ca="1"/>
        <v>3</v>
      </c>
      <c r="BA44" s="44">
        <f ca="1"/>
        <v>5</v>
      </c>
      <c r="BB44" s="44">
        <f ca="1"/>
        <v>5</v>
      </c>
      <c r="BC44" s="44">
        <f ca="1"/>
        <v>3</v>
      </c>
      <c r="BD44" s="44">
        <f ca="1"/>
        <v>1</v>
      </c>
      <c r="BE44" s="44">
        <f ca="1"/>
        <v>7</v>
      </c>
      <c r="BF44" s="44">
        <f ca="1"/>
        <v>6</v>
      </c>
      <c r="BG44" s="44">
        <f ca="1"/>
        <v>1</v>
      </c>
      <c r="BH44" s="44">
        <f ca="1"/>
        <v>6</v>
      </c>
      <c r="BI44" s="44">
        <f ca="1"/>
        <v>6</v>
      </c>
      <c r="BJ44" s="44">
        <f ca="1"/>
        <v>2</v>
      </c>
      <c r="BK44" s="44">
        <f ca="1"/>
        <v>6</v>
      </c>
      <c r="BL44" s="44">
        <f ca="1"/>
        <v>5</v>
      </c>
      <c r="BM44" s="44">
        <f ca="1"/>
        <v>3</v>
      </c>
      <c r="BN44" s="44">
        <f ca="1"/>
        <v>22</v>
      </c>
      <c r="BO44" s="44">
        <f ca="1"/>
        <v>41</v>
      </c>
      <c r="BP44" s="44">
        <f ca="1"/>
        <v>34</v>
      </c>
      <c r="BQ44" s="44">
        <f ca="1"/>
        <v>19</v>
      </c>
      <c r="BR44" s="44">
        <f ca="1"/>
        <v>42</v>
      </c>
      <c r="BS44" s="44">
        <f ca="1"/>
        <v>17</v>
      </c>
      <c r="BT44" s="44">
        <f ca="1"/>
        <v>44</v>
      </c>
      <c r="BU44" s="44">
        <f ca="1"/>
        <v>42</v>
      </c>
      <c r="BV44" s="44">
        <f ca="1"/>
        <v>42</v>
      </c>
      <c r="BW44" s="44">
        <f ca="1"/>
        <v>44</v>
      </c>
      <c r="BX44" s="44">
        <f ca="1"/>
        <v>46</v>
      </c>
      <c r="BY44" s="44">
        <f ca="1"/>
        <v>40</v>
      </c>
      <c r="BZ44" s="44">
        <f ca="1"/>
        <v>41</v>
      </c>
      <c r="CA44" s="44">
        <f ca="1"/>
        <v>46</v>
      </c>
      <c r="CB44" s="44">
        <f ca="1"/>
        <v>41</v>
      </c>
      <c r="CC44" s="44">
        <f ca="1"/>
        <v>41</v>
      </c>
      <c r="CD44" s="44">
        <f ca="1"/>
        <v>45</v>
      </c>
      <c r="CE44" s="44">
        <f ca="1"/>
        <v>41</v>
      </c>
      <c r="CF44" s="44">
        <f ca="1"/>
        <v>42</v>
      </c>
      <c r="CG44" s="44">
        <f ca="1"/>
        <v>44</v>
      </c>
      <c r="CH44" s="44">
        <f ca="1"/>
        <v>25</v>
      </c>
      <c r="CI44" s="47">
        <f ca="1"/>
        <v>844.56521739130437</v>
      </c>
      <c r="CJ44" s="48">
        <f ca="1"/>
        <v>1.7882870370370372E-2</v>
      </c>
      <c r="CK44" s="42">
        <f t="shared" ca="1" si="0"/>
        <v>2</v>
      </c>
      <c r="CM44" s="44">
        <v>43</v>
      </c>
      <c r="CN44" s="44" t="str">
        <f ca="1"/>
        <v>BigMountain</v>
      </c>
      <c r="CO44" s="50" t="e" vm="15">
        <f ca="1"/>
        <v>#VALUE!</v>
      </c>
      <c r="CP44" s="44">
        <f ca="1"/>
        <v>0</v>
      </c>
      <c r="CQ44" s="48" t="e">
        <f ca="1"/>
        <v>#VALUE!</v>
      </c>
      <c r="CR44" s="47">
        <f ca="1"/>
        <v>126.08695652173913</v>
      </c>
    </row>
    <row r="45" spans="1:96">
      <c r="A45" s="44">
        <v>44</v>
      </c>
      <c r="B45" s="44" t="str">
        <v>Takashi</v>
      </c>
      <c r="C45" s="44">
        <v>11</v>
      </c>
      <c r="E45" s="44">
        <v>44</v>
      </c>
      <c r="F45" s="44" t="str">
        <v>Thibault</v>
      </c>
      <c r="G45" s="45">
        <v>10218</v>
      </c>
      <c r="H45" s="45">
        <v>11747</v>
      </c>
      <c r="I45" s="45">
        <v>10861</v>
      </c>
      <c r="J45" s="45">
        <v>13498</v>
      </c>
      <c r="K45" s="45">
        <v>12543</v>
      </c>
      <c r="L45" s="45">
        <v>10535</v>
      </c>
      <c r="M45" s="45">
        <v>10531</v>
      </c>
      <c r="N45" s="45">
        <v>13167</v>
      </c>
      <c r="O45" s="45">
        <v>15050</v>
      </c>
      <c r="P45" s="45">
        <v>13836</v>
      </c>
      <c r="Q45" s="45">
        <v>10750</v>
      </c>
      <c r="R45" s="45">
        <v>12481</v>
      </c>
      <c r="S45" s="45">
        <v>10308</v>
      </c>
      <c r="T45" s="45">
        <v>15358</v>
      </c>
      <c r="U45" s="45">
        <v>14558</v>
      </c>
      <c r="V45" s="45">
        <v>13832</v>
      </c>
      <c r="W45" s="45">
        <v>10716</v>
      </c>
      <c r="X45" s="45">
        <v>13916</v>
      </c>
      <c r="Y45" s="45">
        <v>10978</v>
      </c>
      <c r="Z45" s="45">
        <v>14401</v>
      </c>
      <c r="AA45" s="46">
        <f ca="1"/>
        <v>7.1967592592592591E-4</v>
      </c>
      <c r="AB45" s="46">
        <f ca="1"/>
        <v>8.9664351851851851E-4</v>
      </c>
      <c r="AC45" s="46">
        <f ca="1"/>
        <v>7.9409722222222219E-4</v>
      </c>
      <c r="AD45" s="46">
        <f ca="1"/>
        <v>1.0993055555555556E-3</v>
      </c>
      <c r="AE45" s="46">
        <f ca="1"/>
        <v>9.8877314814814813E-4</v>
      </c>
      <c r="AF45" s="46">
        <f ca="1"/>
        <v>7.5636574074074072E-4</v>
      </c>
      <c r="AG45" s="46">
        <f ca="1"/>
        <v>7.5590277777777776E-4</v>
      </c>
      <c r="AH45" s="46">
        <f ca="1"/>
        <v>1.0609953703703703E-3</v>
      </c>
      <c r="AI45" s="46">
        <f ca="1"/>
        <v>1.2789351851851853E-3</v>
      </c>
      <c r="AJ45" s="46">
        <f ca="1"/>
        <v>1.138425925925926E-3</v>
      </c>
      <c r="AK45" s="46">
        <f ca="1"/>
        <v>7.8125000000000004E-4</v>
      </c>
      <c r="AL45" s="46">
        <f ca="1"/>
        <v>9.8159722222222225E-4</v>
      </c>
      <c r="AM45" s="46">
        <f ca="1"/>
        <v>7.3009259259259262E-4</v>
      </c>
      <c r="AN45" s="46">
        <f ca="1"/>
        <v>1.3145833333333334E-3</v>
      </c>
      <c r="AO45" s="46">
        <f ca="1"/>
        <v>1.2219907407407407E-3</v>
      </c>
      <c r="AP45" s="46">
        <f ca="1"/>
        <v>1.137962962962963E-3</v>
      </c>
      <c r="AQ45" s="46">
        <f ca="1"/>
        <v>7.7731481481481477E-4</v>
      </c>
      <c r="AR45" s="46">
        <f ca="1"/>
        <v>1.1476851851851852E-3</v>
      </c>
      <c r="AS45" s="46">
        <f ca="1"/>
        <v>8.0763888888888888E-4</v>
      </c>
      <c r="AT45" s="46">
        <f ca="1"/>
        <v>1.2038194444444444E-3</v>
      </c>
      <c r="AU45" s="44">
        <f ca="1"/>
        <v>12</v>
      </c>
      <c r="AV45" s="44">
        <f ca="1"/>
        <v>16</v>
      </c>
      <c r="AW45" s="44">
        <f ca="1"/>
        <v>11</v>
      </c>
      <c r="AX45" s="44">
        <f ca="1"/>
        <v>15</v>
      </c>
      <c r="AY45" s="44">
        <f ca="1"/>
        <v>25</v>
      </c>
      <c r="AZ45" s="44">
        <f ca="1"/>
        <v>19</v>
      </c>
      <c r="BA45" s="44">
        <f ca="1"/>
        <v>14</v>
      </c>
      <c r="BB45" s="44">
        <f ca="1"/>
        <v>13</v>
      </c>
      <c r="BC45" s="44">
        <f ca="1"/>
        <v>12</v>
      </c>
      <c r="BD45" s="44">
        <f ca="1"/>
        <v>19</v>
      </c>
      <c r="BE45" s="44">
        <f ca="1"/>
        <v>26</v>
      </c>
      <c r="BF45" s="44">
        <f ca="1"/>
        <v>31</v>
      </c>
      <c r="BG45" s="44">
        <f ca="1"/>
        <v>15</v>
      </c>
      <c r="BH45" s="44">
        <f ca="1"/>
        <v>23</v>
      </c>
      <c r="BI45" s="44">
        <f ca="1"/>
        <v>16</v>
      </c>
      <c r="BJ45" s="44">
        <f ca="1"/>
        <v>27</v>
      </c>
      <c r="BK45" s="44">
        <f ca="1"/>
        <v>13</v>
      </c>
      <c r="BL45" s="44">
        <f ca="1"/>
        <v>25</v>
      </c>
      <c r="BM45" s="44">
        <f ca="1"/>
        <v>21</v>
      </c>
      <c r="BN45" s="44">
        <f ca="1"/>
        <v>29</v>
      </c>
      <c r="BO45" s="44">
        <f ca="1"/>
        <v>35</v>
      </c>
      <c r="BP45" s="44">
        <f ca="1"/>
        <v>31</v>
      </c>
      <c r="BQ45" s="44">
        <f ca="1"/>
        <v>36</v>
      </c>
      <c r="BR45" s="44">
        <f ca="1"/>
        <v>32</v>
      </c>
      <c r="BS45" s="44">
        <f ca="1"/>
        <v>22</v>
      </c>
      <c r="BT45" s="44">
        <f ca="1"/>
        <v>28</v>
      </c>
      <c r="BU45" s="44">
        <f ca="1"/>
        <v>33</v>
      </c>
      <c r="BV45" s="44">
        <f ca="1"/>
        <v>34</v>
      </c>
      <c r="BW45" s="44">
        <f ca="1"/>
        <v>35</v>
      </c>
      <c r="BX45" s="44">
        <f ca="1"/>
        <v>28</v>
      </c>
      <c r="BY45" s="44">
        <f ca="1"/>
        <v>21</v>
      </c>
      <c r="BZ45" s="44">
        <f ca="1"/>
        <v>16</v>
      </c>
      <c r="CA45" s="44">
        <f ca="1"/>
        <v>32</v>
      </c>
      <c r="CB45" s="44">
        <f ca="1"/>
        <v>24</v>
      </c>
      <c r="CC45" s="44">
        <f ca="1"/>
        <v>31</v>
      </c>
      <c r="CD45" s="44">
        <f ca="1"/>
        <v>20</v>
      </c>
      <c r="CE45" s="44">
        <f ca="1"/>
        <v>34</v>
      </c>
      <c r="CF45" s="44">
        <f ca="1"/>
        <v>22</v>
      </c>
      <c r="CG45" s="44">
        <f ca="1"/>
        <v>26</v>
      </c>
      <c r="CH45" s="44">
        <f ca="1"/>
        <v>18</v>
      </c>
      <c r="CI45" s="47">
        <f ca="1"/>
        <v>606.52173913043475</v>
      </c>
      <c r="CJ45" s="48">
        <f ca="1"/>
        <v>1.9593055555555558E-2</v>
      </c>
      <c r="CK45" s="42">
        <f t="shared" ca="1" si="0"/>
        <v>0</v>
      </c>
      <c r="CM45" s="44">
        <v>44</v>
      </c>
      <c r="CN45" s="44" t="str">
        <f ca="1"/>
        <v>Danny</v>
      </c>
      <c r="CO45" s="50" t="e" vm="21">
        <f ca="1"/>
        <v>#VALUE!</v>
      </c>
      <c r="CP45" s="44">
        <f ca="1"/>
        <v>0</v>
      </c>
      <c r="CQ45" s="48" t="e">
        <f ca="1"/>
        <v>#VALUE!</v>
      </c>
      <c r="CR45" s="47">
        <f ca="1"/>
        <v>110.8695652173913</v>
      </c>
    </row>
    <row r="46" spans="1:96">
      <c r="A46" s="44">
        <v>45</v>
      </c>
      <c r="B46" s="44" t="str">
        <v>Thibault</v>
      </c>
      <c r="C46" s="44">
        <v>16</v>
      </c>
      <c r="E46" s="44">
        <v>45</v>
      </c>
      <c r="F46" s="44" t="str">
        <v>tif</v>
      </c>
      <c r="G46" s="45">
        <v>10344</v>
      </c>
      <c r="H46" s="45">
        <v>12537</v>
      </c>
      <c r="I46" s="45">
        <v>10899</v>
      </c>
      <c r="J46" s="45">
        <v>13645</v>
      </c>
      <c r="K46" s="45">
        <v>12228</v>
      </c>
      <c r="L46" s="45">
        <v>10624</v>
      </c>
      <c r="M46" s="45">
        <v>11156</v>
      </c>
      <c r="N46" s="45">
        <v>13345</v>
      </c>
      <c r="O46" s="45">
        <v>15804</v>
      </c>
      <c r="P46" s="45">
        <v>13840</v>
      </c>
      <c r="Q46" s="45">
        <v>11249</v>
      </c>
      <c r="R46" s="45">
        <v>12210</v>
      </c>
      <c r="S46" s="45">
        <v>10762</v>
      </c>
      <c r="T46" s="45">
        <v>14614</v>
      </c>
      <c r="U46" s="45">
        <v>15416</v>
      </c>
      <c r="V46" s="45">
        <v>13354</v>
      </c>
      <c r="W46" s="45">
        <v>11458</v>
      </c>
      <c r="X46" s="45">
        <v>14539</v>
      </c>
      <c r="Y46" s="45">
        <v>10809</v>
      </c>
      <c r="Z46" s="45">
        <v>13743</v>
      </c>
      <c r="AA46" s="46">
        <f ca="1"/>
        <v>7.3425925925925926E-4</v>
      </c>
      <c r="AB46" s="46">
        <f ca="1"/>
        <v>9.8807870370370369E-4</v>
      </c>
      <c r="AC46" s="46">
        <f ca="1"/>
        <v>7.9849537037037042E-4</v>
      </c>
      <c r="AD46" s="46">
        <f ca="1"/>
        <v>1.1163194444444445E-3</v>
      </c>
      <c r="AE46" s="46">
        <f ca="1"/>
        <v>9.523148148148148E-4</v>
      </c>
      <c r="AF46" s="46">
        <f ca="1"/>
        <v>7.6666666666666669E-4</v>
      </c>
      <c r="AG46" s="46">
        <f ca="1"/>
        <v>8.2824074074074072E-4</v>
      </c>
      <c r="AH46" s="46">
        <f ca="1"/>
        <v>1.0815972222222223E-3</v>
      </c>
      <c r="AI46" s="46">
        <f ca="1"/>
        <v>1.3662037037037037E-3</v>
      </c>
      <c r="AJ46" s="46">
        <f ca="1"/>
        <v>1.1388888888888889E-3</v>
      </c>
      <c r="AK46" s="46">
        <f ca="1"/>
        <v>8.3900462962962965E-4</v>
      </c>
      <c r="AL46" s="46">
        <f ca="1"/>
        <v>9.5023148148148148E-4</v>
      </c>
      <c r="AM46" s="46">
        <f ca="1"/>
        <v>7.8263888888888892E-4</v>
      </c>
      <c r="AN46" s="46">
        <f ca="1"/>
        <v>1.2284722222222222E-3</v>
      </c>
      <c r="AO46" s="46">
        <f ca="1"/>
        <v>1.3212962962962963E-3</v>
      </c>
      <c r="AP46" s="46">
        <f ca="1"/>
        <v>1.0826388888888888E-3</v>
      </c>
      <c r="AQ46" s="46">
        <f ca="1"/>
        <v>8.6319444444444443E-4</v>
      </c>
      <c r="AR46" s="46">
        <f ca="1"/>
        <v>1.2197916666666668E-3</v>
      </c>
      <c r="AS46" s="46">
        <f ca="1"/>
        <v>7.8807870370370371E-4</v>
      </c>
      <c r="AT46" s="46">
        <f ca="1"/>
        <v>1.127662037037037E-3</v>
      </c>
      <c r="AU46" s="44">
        <f ca="1"/>
        <v>18</v>
      </c>
      <c r="AV46" s="44">
        <f ca="1"/>
        <v>31</v>
      </c>
      <c r="AW46" s="44">
        <f ca="1"/>
        <v>14</v>
      </c>
      <c r="AX46" s="44">
        <f ca="1"/>
        <v>18</v>
      </c>
      <c r="AY46" s="44">
        <f ca="1"/>
        <v>20</v>
      </c>
      <c r="AZ46" s="44">
        <f ca="1"/>
        <v>25</v>
      </c>
      <c r="BA46" s="44">
        <f ca="1"/>
        <v>29</v>
      </c>
      <c r="BB46" s="44">
        <f ca="1"/>
        <v>18</v>
      </c>
      <c r="BC46" s="44">
        <f ca="1"/>
        <v>22</v>
      </c>
      <c r="BD46" s="44">
        <f ca="1"/>
        <v>20</v>
      </c>
      <c r="BE46" s="44">
        <f ca="1"/>
        <v>33</v>
      </c>
      <c r="BF46" s="44">
        <f ca="1"/>
        <v>29</v>
      </c>
      <c r="BG46" s="44">
        <f ca="1"/>
        <v>28</v>
      </c>
      <c r="BH46" s="44">
        <f ca="1"/>
        <v>12</v>
      </c>
      <c r="BI46" s="44">
        <f ca="1"/>
        <v>25</v>
      </c>
      <c r="BJ46" s="44">
        <f ca="1"/>
        <v>21</v>
      </c>
      <c r="BK46" s="44">
        <f ca="1"/>
        <v>28</v>
      </c>
      <c r="BL46" s="44">
        <f ca="1"/>
        <v>30</v>
      </c>
      <c r="BM46" s="44">
        <f ca="1"/>
        <v>19</v>
      </c>
      <c r="BN46" s="44">
        <f ca="1"/>
        <v>20</v>
      </c>
      <c r="BO46" s="44">
        <f ca="1"/>
        <v>29</v>
      </c>
      <c r="BP46" s="44">
        <f ca="1"/>
        <v>16</v>
      </c>
      <c r="BQ46" s="44">
        <f ca="1"/>
        <v>33</v>
      </c>
      <c r="BR46" s="44">
        <f ca="1"/>
        <v>29</v>
      </c>
      <c r="BS46" s="44">
        <f ca="1"/>
        <v>27</v>
      </c>
      <c r="BT46" s="44">
        <f ca="1"/>
        <v>22</v>
      </c>
      <c r="BU46" s="44">
        <f ca="1"/>
        <v>18</v>
      </c>
      <c r="BV46" s="44">
        <f ca="1"/>
        <v>29</v>
      </c>
      <c r="BW46" s="44">
        <f ca="1"/>
        <v>25</v>
      </c>
      <c r="BX46" s="44">
        <f ca="1"/>
        <v>27</v>
      </c>
      <c r="BY46" s="44">
        <f ca="1"/>
        <v>14</v>
      </c>
      <c r="BZ46" s="44">
        <f ca="1"/>
        <v>18</v>
      </c>
      <c r="CA46" s="44">
        <f ca="1"/>
        <v>19</v>
      </c>
      <c r="CB46" s="44">
        <f ca="1"/>
        <v>35</v>
      </c>
      <c r="CC46" s="44">
        <f ca="1"/>
        <v>22</v>
      </c>
      <c r="CD46" s="44">
        <f ca="1"/>
        <v>26</v>
      </c>
      <c r="CE46" s="44">
        <f ca="1"/>
        <v>19</v>
      </c>
      <c r="CF46" s="44">
        <f ca="1"/>
        <v>17</v>
      </c>
      <c r="CG46" s="44">
        <f ca="1"/>
        <v>28</v>
      </c>
      <c r="CH46" s="44">
        <f ca="1"/>
        <v>27</v>
      </c>
      <c r="CI46" s="47">
        <f ca="1"/>
        <v>521.73913043478262</v>
      </c>
      <c r="CJ46" s="48">
        <f ca="1"/>
        <v>1.9974074074074075E-2</v>
      </c>
      <c r="CK46" s="42">
        <f t="shared" ca="1" si="0"/>
        <v>0</v>
      </c>
      <c r="CM46" s="44">
        <v>45</v>
      </c>
      <c r="CN46" s="44" t="str">
        <f ca="1"/>
        <v>Ju2a</v>
      </c>
      <c r="CO46" s="50" t="e" vm="15">
        <f ca="1"/>
        <v>#VALUE!</v>
      </c>
      <c r="CP46" s="44">
        <f ca="1"/>
        <v>0</v>
      </c>
      <c r="CQ46" s="48" t="e">
        <f ca="1"/>
        <v>#VALUE!</v>
      </c>
      <c r="CR46" s="47">
        <f ca="1"/>
        <v>66.304347826086953</v>
      </c>
    </row>
    <row r="47" spans="1:96">
      <c r="A47" s="44">
        <v>46</v>
      </c>
      <c r="B47" s="44" t="str">
        <v>Ours</v>
      </c>
      <c r="C47" s="44">
        <v>36</v>
      </c>
      <c r="E47" s="44">
        <v>46</v>
      </c>
      <c r="F47" s="44" t="str">
        <v>Zarkov</v>
      </c>
      <c r="G47" s="45">
        <v>10346</v>
      </c>
      <c r="H47" s="45">
        <v>11790</v>
      </c>
      <c r="I47" s="45">
        <v>11353</v>
      </c>
      <c r="J47" s="45">
        <v>14596</v>
      </c>
      <c r="K47" s="45">
        <v>12511</v>
      </c>
      <c r="L47" s="45">
        <v>10413</v>
      </c>
      <c r="M47" s="45">
        <v>10541</v>
      </c>
      <c r="N47" s="45">
        <v>13251</v>
      </c>
      <c r="O47" s="45">
        <v>14865</v>
      </c>
      <c r="P47" s="45">
        <v>14459</v>
      </c>
      <c r="Q47" s="45">
        <v>10467</v>
      </c>
      <c r="R47" s="45">
        <v>11776</v>
      </c>
      <c r="S47" s="45">
        <v>10362</v>
      </c>
      <c r="T47" s="45">
        <v>20065</v>
      </c>
      <c r="U47" s="45">
        <v>15458</v>
      </c>
      <c r="V47" s="45">
        <v>13201</v>
      </c>
      <c r="W47" s="45">
        <v>11062</v>
      </c>
      <c r="X47" s="45">
        <v>12441</v>
      </c>
      <c r="Y47" s="45">
        <v>10668</v>
      </c>
      <c r="Z47" s="45">
        <v>13478</v>
      </c>
      <c r="AA47" s="46">
        <f ca="1"/>
        <v>7.3449074074074074E-4</v>
      </c>
      <c r="AB47" s="46">
        <f ca="1"/>
        <v>9.0162037037037034E-4</v>
      </c>
      <c r="AC47" s="46">
        <f ca="1"/>
        <v>8.5104166666666661E-4</v>
      </c>
      <c r="AD47" s="46">
        <f ca="1"/>
        <v>1.2263888888888888E-3</v>
      </c>
      <c r="AE47" s="46">
        <f ca="1"/>
        <v>9.8506944444444445E-4</v>
      </c>
      <c r="AF47" s="46">
        <f ca="1"/>
        <v>7.4224537037037032E-4</v>
      </c>
      <c r="AG47" s="46">
        <f ca="1"/>
        <v>7.5706018518518516E-4</v>
      </c>
      <c r="AH47" s="46">
        <f ca="1"/>
        <v>1.0707175925925925E-3</v>
      </c>
      <c r="AI47" s="46">
        <f ca="1"/>
        <v>1.2575231481481482E-3</v>
      </c>
      <c r="AJ47" s="46">
        <f ca="1"/>
        <v>1.2105324074074073E-3</v>
      </c>
      <c r="AK47" s="46">
        <f ca="1"/>
        <v>7.484953703703704E-4</v>
      </c>
      <c r="AL47" s="46">
        <f ca="1"/>
        <v>8.9999999999999998E-4</v>
      </c>
      <c r="AM47" s="46">
        <f ca="1"/>
        <v>7.3634259259259258E-4</v>
      </c>
      <c r="AN47" s="46">
        <f ca="1"/>
        <v>1.3964120370370369E-3</v>
      </c>
      <c r="AO47" s="46">
        <f ca="1"/>
        <v>1.3261574074074074E-3</v>
      </c>
      <c r="AP47" s="46">
        <f ca="1"/>
        <v>1.0649305555555555E-3</v>
      </c>
      <c r="AQ47" s="46">
        <f ca="1"/>
        <v>8.1736111111111115E-4</v>
      </c>
      <c r="AR47" s="46">
        <f ca="1"/>
        <v>9.7696759259259264E-4</v>
      </c>
      <c r="AS47" s="46">
        <f ca="1"/>
        <v>7.7175925925925925E-4</v>
      </c>
      <c r="AT47" s="46">
        <f ca="1"/>
        <v>1.0969907407407408E-3</v>
      </c>
      <c r="AU47" s="44">
        <f ca="1"/>
        <v>19</v>
      </c>
      <c r="AV47" s="44">
        <f ca="1"/>
        <v>17</v>
      </c>
      <c r="AW47" s="44">
        <f ca="1"/>
        <v>31</v>
      </c>
      <c r="AX47" s="44">
        <f ca="1"/>
        <v>30</v>
      </c>
      <c r="AY47" s="44">
        <f ca="1"/>
        <v>24</v>
      </c>
      <c r="AZ47" s="44">
        <f ca="1"/>
        <v>16</v>
      </c>
      <c r="BA47" s="44">
        <f ca="1"/>
        <v>16</v>
      </c>
      <c r="BB47" s="44">
        <f ca="1"/>
        <v>15</v>
      </c>
      <c r="BC47" s="44">
        <f ca="1"/>
        <v>9</v>
      </c>
      <c r="BD47" s="44">
        <f ca="1"/>
        <v>28</v>
      </c>
      <c r="BE47" s="44">
        <f ca="1"/>
        <v>20</v>
      </c>
      <c r="BF47" s="44">
        <f ca="1"/>
        <v>19</v>
      </c>
      <c r="BG47" s="44">
        <f ca="1"/>
        <v>18</v>
      </c>
      <c r="BH47" s="44">
        <f ca="1"/>
        <v>31</v>
      </c>
      <c r="BI47" s="44">
        <f ca="1"/>
        <v>26</v>
      </c>
      <c r="BJ47" s="44">
        <f ca="1"/>
        <v>20</v>
      </c>
      <c r="BK47" s="44">
        <f ca="1"/>
        <v>17</v>
      </c>
      <c r="BL47" s="44">
        <f ca="1"/>
        <v>10</v>
      </c>
      <c r="BM47" s="44">
        <f ca="1"/>
        <v>16</v>
      </c>
      <c r="BN47" s="44">
        <f ca="1"/>
        <v>17</v>
      </c>
      <c r="BO47" s="44">
        <f ca="1"/>
        <v>28</v>
      </c>
      <c r="BP47" s="44">
        <f ca="1"/>
        <v>30</v>
      </c>
      <c r="BQ47" s="44">
        <f ca="1"/>
        <v>16</v>
      </c>
      <c r="BR47" s="44">
        <f ca="1"/>
        <v>17</v>
      </c>
      <c r="BS47" s="44">
        <f ca="1"/>
        <v>23</v>
      </c>
      <c r="BT47" s="44">
        <f ca="1"/>
        <v>31</v>
      </c>
      <c r="BU47" s="44">
        <f ca="1"/>
        <v>31</v>
      </c>
      <c r="BV47" s="44">
        <f ca="1"/>
        <v>32</v>
      </c>
      <c r="BW47" s="44">
        <f ca="1"/>
        <v>38</v>
      </c>
      <c r="BX47" s="44">
        <f ca="1"/>
        <v>19</v>
      </c>
      <c r="BY47" s="44">
        <f ca="1"/>
        <v>27</v>
      </c>
      <c r="BZ47" s="44">
        <f ca="1"/>
        <v>28</v>
      </c>
      <c r="CA47" s="44">
        <f ca="1"/>
        <v>29</v>
      </c>
      <c r="CB47" s="44">
        <f ca="1"/>
        <v>16</v>
      </c>
      <c r="CC47" s="44">
        <f ca="1"/>
        <v>21</v>
      </c>
      <c r="CD47" s="44">
        <f ca="1"/>
        <v>27</v>
      </c>
      <c r="CE47" s="44">
        <f ca="1"/>
        <v>30</v>
      </c>
      <c r="CF47" s="44">
        <f ca="1"/>
        <v>37</v>
      </c>
      <c r="CG47" s="44">
        <f ca="1"/>
        <v>31</v>
      </c>
      <c r="CH47" s="44">
        <f ca="1"/>
        <v>30</v>
      </c>
      <c r="CI47" s="47">
        <f ca="1"/>
        <v>588.04347826086951</v>
      </c>
      <c r="CJ47" s="48">
        <f ca="1"/>
        <v>1.9572106481481482E-2</v>
      </c>
      <c r="CK47" s="42">
        <f t="shared" ca="1" si="0"/>
        <v>0</v>
      </c>
      <c r="CM47" s="44">
        <v>46</v>
      </c>
      <c r="CN47" s="44" t="str">
        <f ca="1"/>
        <v>Lio</v>
      </c>
      <c r="CO47" s="50" t="e" vm="17">
        <f ca="1"/>
        <v>#VALUE!</v>
      </c>
      <c r="CP47" s="44">
        <f ca="1"/>
        <v>0</v>
      </c>
      <c r="CQ47" s="48" t="e">
        <f ca="1"/>
        <v>#VALUE!</v>
      </c>
      <c r="CR47" s="47">
        <f ca="1"/>
        <v>20.652173913043477</v>
      </c>
    </row>
    <row r="48" spans="1:96">
      <c r="A48" s="44">
        <v>47</v>
      </c>
      <c r="B48" s="44" t="str">
        <v>SDW</v>
      </c>
      <c r="C48" s="44">
        <v>47</v>
      </c>
      <c r="E48" s="44">
        <v>47</v>
      </c>
      <c r="F48" s="44" t="str">
        <v>Zip</v>
      </c>
      <c r="G48" s="45">
        <v>11239</v>
      </c>
      <c r="H48" s="45">
        <v>12445</v>
      </c>
      <c r="I48" s="45">
        <v>11024</v>
      </c>
      <c r="J48" s="45">
        <v>14471</v>
      </c>
      <c r="K48" s="45">
        <v>12666</v>
      </c>
      <c r="L48" s="45">
        <v>11297</v>
      </c>
      <c r="M48" s="45">
        <v>11221</v>
      </c>
      <c r="N48" s="45">
        <v>14248</v>
      </c>
      <c r="O48" s="45">
        <v>20769</v>
      </c>
      <c r="P48" s="45">
        <v>14688</v>
      </c>
      <c r="Q48" s="45">
        <v>10972</v>
      </c>
      <c r="R48" s="45">
        <v>12178</v>
      </c>
      <c r="S48" s="45">
        <v>11297</v>
      </c>
      <c r="T48" s="45">
        <v>20021</v>
      </c>
      <c r="U48" s="45">
        <v>15484</v>
      </c>
      <c r="V48" s="45">
        <v>13886</v>
      </c>
      <c r="W48" s="45">
        <v>11884</v>
      </c>
      <c r="X48" s="45">
        <v>14915</v>
      </c>
      <c r="Y48" s="45">
        <v>11985</v>
      </c>
      <c r="Z48" s="45">
        <v>13583</v>
      </c>
      <c r="AA48" s="46">
        <f ca="1"/>
        <v>8.3784722222222225E-4</v>
      </c>
      <c r="AB48" s="46">
        <f ca="1"/>
        <v>9.774305555555556E-4</v>
      </c>
      <c r="AC48" s="46">
        <f ca="1"/>
        <v>8.1296296296296292E-4</v>
      </c>
      <c r="AD48" s="46">
        <f ca="1"/>
        <v>1.2119212962962962E-3</v>
      </c>
      <c r="AE48" s="46">
        <f ca="1"/>
        <v>1.0030092592592593E-3</v>
      </c>
      <c r="AF48" s="46">
        <f ca="1"/>
        <v>8.4456018518518517E-4</v>
      </c>
      <c r="AG48" s="46">
        <f ca="1"/>
        <v>8.3576388888888893E-4</v>
      </c>
      <c r="AH48" s="46">
        <f ca="1"/>
        <v>1.1861111111111111E-3</v>
      </c>
      <c r="AI48" s="46">
        <f ca="1"/>
        <v>1.4778935185185186E-3</v>
      </c>
      <c r="AJ48" s="46">
        <f ca="1"/>
        <v>1.2370370370370371E-3</v>
      </c>
      <c r="AK48" s="46">
        <f ca="1"/>
        <v>8.0694444444444444E-4</v>
      </c>
      <c r="AL48" s="46">
        <f ca="1"/>
        <v>9.465277777777778E-4</v>
      </c>
      <c r="AM48" s="46">
        <f ca="1"/>
        <v>8.4456018518518517E-4</v>
      </c>
      <c r="AN48" s="46">
        <f ca="1"/>
        <v>1.3913194444444444E-3</v>
      </c>
      <c r="AO48" s="46">
        <f ca="1"/>
        <v>1.3291666666666666E-3</v>
      </c>
      <c r="AP48" s="46">
        <f ca="1"/>
        <v>1.144212962962963E-3</v>
      </c>
      <c r="AQ48" s="46">
        <f ca="1"/>
        <v>9.1250000000000001E-4</v>
      </c>
      <c r="AR48" s="46">
        <f ca="1"/>
        <v>1.2633101851851852E-3</v>
      </c>
      <c r="AS48" s="46">
        <f ca="1"/>
        <v>9.2418981481481486E-4</v>
      </c>
      <c r="AT48" s="46">
        <f ca="1"/>
        <v>1.1091435185185184E-3</v>
      </c>
      <c r="AU48" s="44">
        <f ca="1"/>
        <v>38</v>
      </c>
      <c r="AV48" s="44">
        <f ca="1"/>
        <v>30</v>
      </c>
      <c r="AW48" s="44">
        <f ca="1"/>
        <v>23</v>
      </c>
      <c r="AX48" s="44">
        <f ca="1"/>
        <v>29</v>
      </c>
      <c r="AY48" s="44">
        <f ca="1"/>
        <v>28</v>
      </c>
      <c r="AZ48" s="44">
        <f ca="1"/>
        <v>33</v>
      </c>
      <c r="BA48" s="44">
        <f ca="1"/>
        <v>30</v>
      </c>
      <c r="BB48" s="44">
        <f ca="1"/>
        <v>31</v>
      </c>
      <c r="BC48" s="44">
        <f ca="1"/>
        <v>31</v>
      </c>
      <c r="BD48" s="44">
        <f ca="1"/>
        <v>30</v>
      </c>
      <c r="BE48" s="44">
        <f ca="1"/>
        <v>29</v>
      </c>
      <c r="BF48" s="44">
        <f ca="1"/>
        <v>27</v>
      </c>
      <c r="BG48" s="44">
        <f ca="1"/>
        <v>30</v>
      </c>
      <c r="BH48" s="44">
        <f ca="1"/>
        <v>30</v>
      </c>
      <c r="BI48" s="44">
        <f ca="1"/>
        <v>27</v>
      </c>
      <c r="BJ48" s="44">
        <f ca="1"/>
        <v>28</v>
      </c>
      <c r="BK48" s="44">
        <f ca="1"/>
        <v>34</v>
      </c>
      <c r="BL48" s="44">
        <f ca="1"/>
        <v>34</v>
      </c>
      <c r="BM48" s="44">
        <f ca="1"/>
        <v>30</v>
      </c>
      <c r="BN48" s="44">
        <f ca="1"/>
        <v>19</v>
      </c>
      <c r="BO48" s="44">
        <f ca="1"/>
        <v>9</v>
      </c>
      <c r="BP48" s="44">
        <f ca="1"/>
        <v>17</v>
      </c>
      <c r="BQ48" s="44">
        <f ca="1"/>
        <v>24</v>
      </c>
      <c r="BR48" s="44">
        <f ca="1"/>
        <v>18</v>
      </c>
      <c r="BS48" s="44">
        <f ca="1"/>
        <v>19</v>
      </c>
      <c r="BT48" s="44">
        <f ca="1"/>
        <v>14</v>
      </c>
      <c r="BU48" s="44">
        <f ca="1"/>
        <v>17</v>
      </c>
      <c r="BV48" s="44">
        <f ca="1"/>
        <v>16</v>
      </c>
      <c r="BW48" s="44">
        <f ca="1"/>
        <v>16</v>
      </c>
      <c r="BX48" s="44">
        <f ca="1"/>
        <v>17</v>
      </c>
      <c r="BY48" s="44">
        <f ca="1"/>
        <v>18</v>
      </c>
      <c r="BZ48" s="44">
        <f ca="1"/>
        <v>20</v>
      </c>
      <c r="CA48" s="44">
        <f ca="1"/>
        <v>17</v>
      </c>
      <c r="CB48" s="44">
        <f ca="1"/>
        <v>17</v>
      </c>
      <c r="CC48" s="44">
        <f ca="1"/>
        <v>20</v>
      </c>
      <c r="CD48" s="44">
        <f ca="1"/>
        <v>19</v>
      </c>
      <c r="CE48" s="44">
        <f ca="1"/>
        <v>13</v>
      </c>
      <c r="CF48" s="44">
        <f ca="1"/>
        <v>13</v>
      </c>
      <c r="CG48" s="44">
        <f ca="1"/>
        <v>17</v>
      </c>
      <c r="CH48" s="44">
        <f ca="1"/>
        <v>28</v>
      </c>
      <c r="CI48" s="47">
        <f ca="1"/>
        <v>379.3478260869565</v>
      </c>
      <c r="CJ48" s="48">
        <f ca="1"/>
        <v>2.1096412037037039E-2</v>
      </c>
      <c r="CK48" s="42">
        <f t="shared" ca="1" si="0"/>
        <v>0</v>
      </c>
      <c r="CM48" s="44">
        <v>47</v>
      </c>
      <c r="CN48" s="44" t="str">
        <f ca="1"/>
        <v>SDW</v>
      </c>
      <c r="CO48" s="50" t="e" vm="15">
        <f ca="1"/>
        <v>#VALUE!</v>
      </c>
      <c r="CP48" s="44">
        <f ca="1"/>
        <v>0</v>
      </c>
      <c r="CQ48" s="48" t="e">
        <f ca="1"/>
        <v>#VALUE!</v>
      </c>
      <c r="CR48" s="47">
        <f ca="1"/>
        <v>13.043478260869565</v>
      </c>
    </row>
  </sheetData>
  <sheetProtection selectLockedCells="1"/>
  <phoneticPr fontId="1" type="noConversion"/>
  <conditionalFormatting sqref="A2:A65 E2:E65 CM2:CM65">
    <cfRule type="notContainsBlanks" dxfId="237" priority="4">
      <formula>LEN(TRIM(A2))&gt;0</formula>
    </cfRule>
  </conditionalFormatting>
  <conditionalFormatting sqref="B2:C65 F2:F65 CI2:CJ65 CN2:CR65">
    <cfRule type="notContainsBlanks" dxfId="236" priority="6">
      <formula>LEN(TRIM(B2))&gt;0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C19DB-56E7-4FFC-84D2-65D5CE5C6BB8}">
  <sheetPr codeName="Sheet3">
    <tabColor rgb="FFFFFF00"/>
  </sheetPr>
  <dimension ref="A1:TD26"/>
  <sheetViews>
    <sheetView tabSelected="1" zoomScaleNormal="100" workbookViewId="0">
      <selection activeCell="E19" sqref="E19"/>
    </sheetView>
  </sheetViews>
  <sheetFormatPr defaultColWidth="5.7109375" defaultRowHeight="20.100000000000001" customHeight="1"/>
  <cols>
    <col min="1" max="1" width="3.28515625" style="1" bestFit="1" customWidth="1"/>
    <col min="2" max="2" width="11.42578125" style="1" bestFit="1" customWidth="1"/>
    <col min="3" max="3" width="4.7109375" style="1" bestFit="1" customWidth="1"/>
    <col min="4" max="4" width="4.85546875" style="1" bestFit="1" customWidth="1"/>
    <col min="5" max="5" width="9.7109375" style="52" bestFit="1" customWidth="1"/>
    <col min="6" max="6" width="2.140625" style="1" customWidth="1"/>
    <col min="7" max="7" width="3.28515625" style="1" bestFit="1" customWidth="1"/>
    <col min="8" max="8" width="11.42578125" style="1" bestFit="1" customWidth="1"/>
    <col min="9" max="9" width="5.7109375" style="1" customWidth="1"/>
    <col min="10" max="10" width="9.28515625" style="12" bestFit="1" customWidth="1"/>
    <col min="11" max="11" width="5" style="1" bestFit="1" customWidth="1"/>
    <col min="12" max="12" width="4.7109375" style="1" bestFit="1" customWidth="1"/>
    <col min="13" max="13" width="5.7109375" style="2" customWidth="1"/>
    <col min="14" max="14" width="3.28515625" style="8" bestFit="1" customWidth="1"/>
    <col min="15" max="15" width="11.42578125" style="1" bestFit="1" customWidth="1"/>
    <col min="16" max="16" width="4.7109375" style="1" bestFit="1" customWidth="1"/>
    <col min="17" max="17" width="4.85546875" style="1" bestFit="1" customWidth="1"/>
    <col min="18" max="18" width="6.7109375" style="1" bestFit="1" customWidth="1"/>
    <col min="19" max="19" width="2.140625" style="1" customWidth="1"/>
    <col min="20" max="20" width="3.28515625" style="1" bestFit="1" customWidth="1"/>
    <col min="21" max="21" width="11.42578125" style="1" bestFit="1" customWidth="1"/>
    <col min="22" max="22" width="5.7109375" style="1" customWidth="1"/>
    <col min="23" max="23" width="9.28515625" style="1" bestFit="1" customWidth="1"/>
    <col min="24" max="24" width="5" style="1" bestFit="1" customWidth="1"/>
    <col min="25" max="25" width="4.7109375" style="1" bestFit="1" customWidth="1"/>
    <col min="26" max="26" width="5.7109375" style="2" customWidth="1"/>
    <col min="27" max="27" width="3.28515625" style="8" bestFit="1" customWidth="1"/>
    <col min="28" max="28" width="11.42578125" style="1" bestFit="1" customWidth="1"/>
    <col min="29" max="29" width="4.7109375" style="1" bestFit="1" customWidth="1"/>
    <col min="30" max="30" width="4.85546875" style="1" bestFit="1" customWidth="1"/>
    <col min="31" max="31" width="6.7109375" style="1" bestFit="1" customWidth="1"/>
    <col min="32" max="32" width="2.140625" style="1" customWidth="1"/>
    <col min="33" max="33" width="3.28515625" style="1" bestFit="1" customWidth="1"/>
    <col min="34" max="34" width="11.42578125" style="1" bestFit="1" customWidth="1"/>
    <col min="35" max="35" width="5.7109375" style="1" customWidth="1"/>
    <col min="36" max="36" width="9.28515625" style="1" bestFit="1" customWidth="1"/>
    <col min="37" max="37" width="5" style="1" bestFit="1" customWidth="1"/>
    <col min="38" max="38" width="4.7109375" style="8" bestFit="1" customWidth="1"/>
    <col min="39" max="39" width="5.7109375" style="2" customWidth="1"/>
    <col min="40" max="40" width="3.28515625" style="1" bestFit="1" customWidth="1"/>
    <col min="41" max="41" width="11.42578125" style="1" bestFit="1" customWidth="1"/>
    <col min="42" max="42" width="4.7109375" style="1" bestFit="1" customWidth="1"/>
    <col min="43" max="43" width="4.85546875" style="1" bestFit="1" customWidth="1"/>
    <col min="44" max="44" width="6.7109375" style="1" bestFit="1" customWidth="1"/>
    <col min="45" max="45" width="2.140625" style="1" customWidth="1"/>
    <col min="46" max="46" width="3.28515625" style="1" bestFit="1" customWidth="1"/>
    <col min="47" max="47" width="11.42578125" style="1" bestFit="1" customWidth="1"/>
    <col min="48" max="48" width="5.7109375" style="1" customWidth="1"/>
    <col min="49" max="49" width="9.28515625" style="8" bestFit="1" customWidth="1"/>
    <col min="50" max="50" width="5" style="1" bestFit="1" customWidth="1"/>
    <col min="51" max="51" width="4.7109375" style="1" bestFit="1" customWidth="1"/>
    <col min="52" max="52" width="5.7109375" style="2" customWidth="1"/>
    <col min="53" max="53" width="3.28515625" style="1" bestFit="1" customWidth="1"/>
    <col min="54" max="54" width="11.42578125" style="1" bestFit="1" customWidth="1"/>
    <col min="55" max="55" width="4.7109375" style="1" bestFit="1" customWidth="1"/>
    <col min="56" max="56" width="4.85546875" style="1" bestFit="1" customWidth="1"/>
    <col min="57" max="57" width="6.7109375" style="1" bestFit="1" customWidth="1"/>
    <col min="58" max="58" width="2.140625" style="1" customWidth="1"/>
    <col min="59" max="59" width="3.28515625" style="1" bestFit="1" customWidth="1"/>
    <col min="60" max="60" width="11.42578125" style="8" bestFit="1" customWidth="1"/>
    <col min="61" max="61" width="5.7109375" style="1" customWidth="1"/>
    <col min="62" max="62" width="9.28515625" style="1" bestFit="1" customWidth="1"/>
    <col min="63" max="63" width="5" style="1" bestFit="1" customWidth="1"/>
    <col min="64" max="64" width="4.7109375" style="1" bestFit="1" customWidth="1"/>
    <col min="65" max="65" width="5.7109375" style="2" customWidth="1"/>
    <col min="66" max="66" width="3.28515625" style="1" bestFit="1" customWidth="1"/>
    <col min="67" max="67" width="11.42578125" style="1" bestFit="1" customWidth="1"/>
    <col min="68" max="68" width="4.7109375" style="1" bestFit="1" customWidth="1"/>
    <col min="69" max="69" width="4.85546875" style="1" bestFit="1" customWidth="1"/>
    <col min="70" max="70" width="6.7109375" style="1" bestFit="1" customWidth="1"/>
    <col min="71" max="71" width="2.140625" style="8" customWidth="1"/>
    <col min="72" max="72" width="3.28515625" style="1" bestFit="1" customWidth="1"/>
    <col min="73" max="73" width="11.42578125" style="1" bestFit="1" customWidth="1"/>
    <col min="74" max="74" width="5.7109375" style="1" customWidth="1"/>
    <col min="75" max="75" width="9.28515625" style="1" bestFit="1" customWidth="1"/>
    <col min="76" max="76" width="5" style="1" bestFit="1" customWidth="1"/>
    <col min="77" max="77" width="4.7109375" style="1" bestFit="1" customWidth="1"/>
    <col min="78" max="78" width="5.7109375" style="2" customWidth="1"/>
    <col min="79" max="79" width="3.28515625" style="1" bestFit="1" customWidth="1"/>
    <col min="80" max="80" width="11.42578125" style="1" bestFit="1" customWidth="1"/>
    <col min="81" max="81" width="4.7109375" style="1" bestFit="1" customWidth="1"/>
    <col min="82" max="82" width="4.85546875" style="8" bestFit="1" customWidth="1"/>
    <col min="83" max="83" width="6.7109375" style="1" bestFit="1" customWidth="1"/>
    <col min="84" max="84" width="2.140625" style="1" customWidth="1"/>
    <col min="85" max="85" width="3.28515625" style="1" bestFit="1" customWidth="1"/>
    <col min="86" max="86" width="11.42578125" style="1" bestFit="1" customWidth="1"/>
    <col min="87" max="87" width="5.7109375" style="1" customWidth="1"/>
    <col min="88" max="88" width="9.28515625" style="1" bestFit="1" customWidth="1"/>
    <col min="89" max="89" width="5" style="1" bestFit="1" customWidth="1"/>
    <col min="90" max="90" width="4.7109375" style="1" bestFit="1" customWidth="1"/>
    <col min="91" max="91" width="5.7109375" style="2" customWidth="1"/>
    <col min="92" max="92" width="3.28515625" style="1" bestFit="1" customWidth="1"/>
    <col min="93" max="93" width="11.42578125" style="8" bestFit="1" customWidth="1"/>
    <col min="94" max="94" width="4.7109375" style="1" bestFit="1" customWidth="1"/>
    <col min="95" max="95" width="4.85546875" style="1" bestFit="1" customWidth="1"/>
    <col min="96" max="96" width="6.7109375" style="1" bestFit="1" customWidth="1"/>
    <col min="97" max="97" width="2.140625" style="1" customWidth="1"/>
    <col min="98" max="98" width="3.28515625" style="1" bestFit="1" customWidth="1"/>
    <col min="99" max="99" width="11.42578125" style="1" bestFit="1" customWidth="1"/>
    <col min="100" max="100" width="5.7109375" style="1" customWidth="1"/>
    <col min="101" max="101" width="9.28515625" style="1" bestFit="1" customWidth="1"/>
    <col min="102" max="102" width="5" style="1" bestFit="1" customWidth="1"/>
    <col min="103" max="103" width="4.7109375" style="1" bestFit="1" customWidth="1"/>
    <col min="104" max="104" width="5.7109375" style="2" customWidth="1"/>
    <col min="105" max="105" width="3.28515625" style="1" bestFit="1" customWidth="1"/>
    <col min="106" max="106" width="11.42578125" style="1" bestFit="1" customWidth="1"/>
    <col min="107" max="107" width="4.7109375" style="1" bestFit="1" customWidth="1"/>
    <col min="108" max="108" width="4.85546875" style="1" bestFit="1" customWidth="1"/>
    <col min="109" max="109" width="6.7109375" style="1" bestFit="1" customWidth="1"/>
    <col min="110" max="110" width="2.140625" style="1" customWidth="1"/>
    <col min="111" max="111" width="3.28515625" style="1" bestFit="1" customWidth="1"/>
    <col min="112" max="112" width="11.42578125" style="1" bestFit="1" customWidth="1"/>
    <col min="113" max="113" width="5.7109375" style="1" customWidth="1"/>
    <col min="114" max="114" width="9.28515625" style="1" bestFit="1" customWidth="1"/>
    <col min="115" max="115" width="5" style="8" bestFit="1" customWidth="1"/>
    <col min="116" max="116" width="4.7109375" style="1" bestFit="1" customWidth="1"/>
    <col min="117" max="117" width="5.7109375" style="2" customWidth="1"/>
    <col min="118" max="118" width="3.28515625" style="1" bestFit="1" customWidth="1"/>
    <col min="119" max="119" width="11.42578125" style="1" bestFit="1" customWidth="1"/>
    <col min="120" max="120" width="4.7109375" style="1" bestFit="1" customWidth="1"/>
    <col min="121" max="121" width="4.85546875" style="1" bestFit="1" customWidth="1"/>
    <col min="122" max="122" width="6.7109375" style="1" bestFit="1" customWidth="1"/>
    <col min="123" max="123" width="2.140625" style="1" customWidth="1"/>
    <col min="124" max="124" width="3.28515625" style="1" bestFit="1" customWidth="1"/>
    <col min="125" max="125" width="11.42578125" style="1" bestFit="1" customWidth="1"/>
    <col min="126" max="126" width="5.7109375" style="8" customWidth="1"/>
    <col min="127" max="127" width="9.28515625" style="1" bestFit="1" customWidth="1"/>
    <col min="128" max="128" width="5" style="1" bestFit="1" customWidth="1"/>
    <col min="129" max="129" width="4.7109375" style="1" bestFit="1" customWidth="1"/>
    <col min="130" max="130" width="5.7109375" style="2" customWidth="1"/>
    <col min="131" max="131" width="3.28515625" style="1" bestFit="1" customWidth="1"/>
    <col min="132" max="132" width="11.42578125" style="1" bestFit="1" customWidth="1"/>
    <col min="133" max="133" width="4.7109375" style="1" bestFit="1" customWidth="1"/>
    <col min="134" max="134" width="4.85546875" style="1" bestFit="1" customWidth="1"/>
    <col min="135" max="135" width="6.7109375" style="1" bestFit="1" customWidth="1"/>
    <col min="136" max="136" width="2.140625" style="1" customWidth="1"/>
    <col min="137" max="137" width="3.28515625" style="8" bestFit="1" customWidth="1"/>
    <col min="138" max="138" width="11.42578125" style="1" bestFit="1" customWidth="1"/>
    <col min="139" max="139" width="5.7109375" style="1" customWidth="1"/>
    <col min="140" max="140" width="9.28515625" style="1" bestFit="1" customWidth="1"/>
    <col min="141" max="141" width="5" style="1" bestFit="1" customWidth="1"/>
    <col min="142" max="142" width="4.7109375" style="1" bestFit="1" customWidth="1"/>
    <col min="143" max="143" width="5.7109375" style="2" customWidth="1"/>
    <col min="144" max="144" width="3.28515625" style="1" bestFit="1" customWidth="1"/>
    <col min="145" max="145" width="11.42578125" style="1" bestFit="1" customWidth="1"/>
    <col min="146" max="146" width="4.7109375" style="1" bestFit="1" customWidth="1"/>
    <col min="147" max="147" width="4.85546875" style="1" bestFit="1" customWidth="1"/>
    <col min="148" max="148" width="6.7109375" style="8" bestFit="1" customWidth="1"/>
    <col min="149" max="149" width="2.140625" style="1" customWidth="1"/>
    <col min="150" max="150" width="3.28515625" style="1" bestFit="1" customWidth="1"/>
    <col min="151" max="151" width="11.42578125" style="1" bestFit="1" customWidth="1"/>
    <col min="152" max="152" width="5.7109375" style="1" customWidth="1"/>
    <col min="153" max="153" width="9.28515625" style="1" bestFit="1" customWidth="1"/>
    <col min="154" max="154" width="5" style="1" bestFit="1" customWidth="1"/>
    <col min="155" max="155" width="4.7109375" style="1" bestFit="1" customWidth="1"/>
    <col min="156" max="156" width="5.7109375" style="2" customWidth="1"/>
    <col min="157" max="157" width="3.28515625" style="1" bestFit="1" customWidth="1"/>
    <col min="158" max="158" width="11.42578125" style="1" bestFit="1" customWidth="1"/>
    <col min="159" max="159" width="4.7109375" style="8" bestFit="1" customWidth="1"/>
    <col min="160" max="160" width="4.85546875" style="1" bestFit="1" customWidth="1"/>
    <col min="161" max="161" width="6.7109375" style="1" bestFit="1" customWidth="1"/>
    <col min="162" max="162" width="2.140625" style="1" customWidth="1"/>
    <col min="163" max="163" width="3.28515625" style="1" bestFit="1" customWidth="1"/>
    <col min="164" max="164" width="11.42578125" style="1" bestFit="1" customWidth="1"/>
    <col min="165" max="165" width="5.7109375" style="1" customWidth="1"/>
    <col min="166" max="166" width="9.28515625" style="1" bestFit="1" customWidth="1"/>
    <col min="167" max="167" width="5" style="1" bestFit="1" customWidth="1"/>
    <col min="168" max="168" width="4.7109375" style="1" bestFit="1" customWidth="1"/>
    <col min="169" max="169" width="5.7109375" style="2" customWidth="1"/>
    <col min="170" max="170" width="3.28515625" style="8" bestFit="1" customWidth="1"/>
    <col min="171" max="171" width="11.42578125" style="1" bestFit="1" customWidth="1"/>
    <col min="172" max="172" width="4.7109375" style="1" bestFit="1" customWidth="1"/>
    <col min="173" max="173" width="4.85546875" style="1" bestFit="1" customWidth="1"/>
    <col min="174" max="174" width="6.7109375" style="1" bestFit="1" customWidth="1"/>
    <col min="175" max="175" width="2.140625" style="1" customWidth="1"/>
    <col min="176" max="176" width="3.28515625" style="1" bestFit="1" customWidth="1"/>
    <col min="177" max="177" width="11.42578125" style="1" bestFit="1" customWidth="1"/>
    <col min="178" max="178" width="5.7109375" style="1" customWidth="1"/>
    <col min="179" max="179" width="9.28515625" style="1" bestFit="1" customWidth="1"/>
    <col min="180" max="180" width="5" style="1" bestFit="1" customWidth="1"/>
    <col min="181" max="181" width="4.7109375" style="8" bestFit="1" customWidth="1"/>
    <col min="182" max="182" width="5.7109375" style="2" customWidth="1"/>
    <col min="183" max="183" width="3.28515625" style="1" bestFit="1" customWidth="1"/>
    <col min="184" max="184" width="11.42578125" style="1" bestFit="1" customWidth="1"/>
    <col min="185" max="185" width="4.7109375" style="1" bestFit="1" customWidth="1"/>
    <col min="186" max="186" width="4.85546875" style="1" bestFit="1" customWidth="1"/>
    <col min="187" max="187" width="6.7109375" style="1" bestFit="1" customWidth="1"/>
    <col min="188" max="188" width="2.140625" style="1" customWidth="1"/>
    <col min="189" max="189" width="3.28515625" style="1" bestFit="1" customWidth="1"/>
    <col min="190" max="190" width="11.42578125" style="1" bestFit="1" customWidth="1"/>
    <col min="191" max="191" width="5.7109375" style="1" customWidth="1"/>
    <col min="192" max="192" width="9.28515625" style="8" bestFit="1" customWidth="1"/>
    <col min="193" max="193" width="5" style="1" bestFit="1" customWidth="1"/>
    <col min="194" max="194" width="4.7109375" style="1" bestFit="1" customWidth="1"/>
    <col min="195" max="195" width="5.7109375" style="2" customWidth="1"/>
    <col min="196" max="196" width="3.28515625" style="1" bestFit="1" customWidth="1"/>
    <col min="197" max="197" width="11.42578125" style="1" bestFit="1" customWidth="1"/>
    <col min="198" max="198" width="4.7109375" style="1" bestFit="1" customWidth="1"/>
    <col min="199" max="199" width="4.85546875" style="1" bestFit="1" customWidth="1"/>
    <col min="200" max="200" width="6.7109375" style="1" bestFit="1" customWidth="1"/>
    <col min="201" max="201" width="2.140625" style="1" customWidth="1"/>
    <col min="202" max="202" width="3.28515625" style="1" bestFit="1" customWidth="1"/>
    <col min="203" max="203" width="11.42578125" style="8" bestFit="1" customWidth="1"/>
    <col min="204" max="204" width="5.7109375" style="1" customWidth="1"/>
    <col min="205" max="205" width="9.28515625" style="1" bestFit="1" customWidth="1"/>
    <col min="206" max="206" width="5" style="1" bestFit="1" customWidth="1"/>
    <col min="207" max="207" width="4.7109375" style="1" bestFit="1" customWidth="1"/>
    <col min="208" max="208" width="5.7109375" style="2" customWidth="1"/>
    <col min="209" max="209" width="3.28515625" style="1" bestFit="1" customWidth="1"/>
    <col min="210" max="210" width="11.42578125" style="1" bestFit="1" customWidth="1"/>
    <col min="211" max="211" width="4.7109375" style="1" bestFit="1" customWidth="1"/>
    <col min="212" max="212" width="4.85546875" style="1" bestFit="1" customWidth="1"/>
    <col min="213" max="213" width="6.7109375" style="1" bestFit="1" customWidth="1"/>
    <col min="214" max="214" width="2.140625" style="8" customWidth="1"/>
    <col min="215" max="215" width="3.28515625" style="1" bestFit="1" customWidth="1"/>
    <col min="216" max="216" width="11.42578125" style="1" bestFit="1" customWidth="1"/>
    <col min="217" max="217" width="5.7109375" style="1" customWidth="1"/>
    <col min="218" max="218" width="9.28515625" style="1" bestFit="1" customWidth="1"/>
    <col min="219" max="219" width="5" style="1" bestFit="1" customWidth="1"/>
    <col min="220" max="220" width="4.7109375" style="1" bestFit="1" customWidth="1"/>
    <col min="221" max="221" width="5.7109375" style="2" customWidth="1"/>
    <col min="222" max="222" width="3.28515625" style="1" bestFit="1" customWidth="1"/>
    <col min="223" max="223" width="11.42578125" style="1" bestFit="1" customWidth="1"/>
    <col min="224" max="224" width="4.7109375" style="1" bestFit="1" customWidth="1"/>
    <col min="225" max="225" width="4.85546875" style="8" bestFit="1" customWidth="1"/>
    <col min="226" max="226" width="6.7109375" style="1" bestFit="1" customWidth="1"/>
    <col min="227" max="227" width="2.140625" style="1" customWidth="1"/>
    <col min="228" max="228" width="3.28515625" style="1" bestFit="1" customWidth="1"/>
    <col min="229" max="229" width="11.42578125" style="1" bestFit="1" customWidth="1"/>
    <col min="230" max="230" width="5.7109375" style="1" customWidth="1"/>
    <col min="231" max="231" width="9.28515625" style="1" bestFit="1" customWidth="1"/>
    <col min="232" max="232" width="5" style="1" bestFit="1" customWidth="1"/>
    <col min="233" max="233" width="4.7109375" style="1" bestFit="1" customWidth="1"/>
    <col min="234" max="234" width="5.7109375" style="2" customWidth="1"/>
    <col min="235" max="235" width="3.28515625" style="1" bestFit="1" customWidth="1"/>
    <col min="236" max="236" width="11.42578125" style="8" bestFit="1" customWidth="1"/>
    <col min="237" max="237" width="4.7109375" style="1" bestFit="1" customWidth="1"/>
    <col min="238" max="238" width="4.85546875" style="1" bestFit="1" customWidth="1"/>
    <col min="239" max="239" width="6.7109375" style="1" bestFit="1" customWidth="1"/>
    <col min="240" max="240" width="2.140625" style="1" customWidth="1"/>
    <col min="241" max="241" width="3.28515625" style="1" bestFit="1" customWidth="1"/>
    <col min="242" max="242" width="11.42578125" style="1" bestFit="1" customWidth="1"/>
    <col min="243" max="243" width="5.7109375" style="1" customWidth="1"/>
    <col min="244" max="244" width="9.28515625" style="1" bestFit="1" customWidth="1"/>
    <col min="245" max="245" width="5" style="1" bestFit="1" customWidth="1"/>
    <col min="246" max="246" width="4.7109375" style="1" bestFit="1" customWidth="1"/>
    <col min="247" max="247" width="5.7109375" style="2" customWidth="1"/>
    <col min="248" max="248" width="3.28515625" style="1" bestFit="1" customWidth="1"/>
    <col min="249" max="249" width="11.42578125" style="1" bestFit="1" customWidth="1"/>
    <col min="250" max="250" width="4.7109375" style="1" bestFit="1" customWidth="1"/>
    <col min="251" max="251" width="4.85546875" style="1" bestFit="1" customWidth="1"/>
    <col min="252" max="252" width="5.5703125" style="1" bestFit="1" customWidth="1"/>
    <col min="253" max="253" width="2.140625" style="1" customWidth="1"/>
    <col min="254" max="254" width="3.28515625" style="1" bestFit="1" customWidth="1"/>
    <col min="255" max="255" width="11.42578125" style="1" bestFit="1" customWidth="1"/>
    <col min="256" max="256" width="5.7109375" style="1" customWidth="1"/>
    <col min="257" max="257" width="9.28515625" style="1" bestFit="1" customWidth="1"/>
    <col min="258" max="258" width="5" style="8" bestFit="1" customWidth="1"/>
    <col min="259" max="259" width="4.7109375" style="1" bestFit="1" customWidth="1"/>
    <col min="260" max="260" width="5.7109375" style="2" customWidth="1"/>
    <col min="261" max="261" width="3.28515625" style="1" bestFit="1" customWidth="1"/>
    <col min="262" max="262" width="11.42578125" style="1" bestFit="1" customWidth="1"/>
    <col min="263" max="263" width="4.7109375" style="1" bestFit="1" customWidth="1"/>
    <col min="264" max="264" width="4.85546875" style="1" bestFit="1" customWidth="1"/>
    <col min="265" max="265" width="6.7109375" style="1" bestFit="1" customWidth="1"/>
    <col min="266" max="266" width="2.140625" style="1" customWidth="1"/>
    <col min="267" max="267" width="3.28515625" style="1" bestFit="1" customWidth="1"/>
    <col min="268" max="268" width="11.42578125" style="1" bestFit="1" customWidth="1"/>
    <col min="269" max="269" width="5.7109375" style="8" customWidth="1"/>
    <col min="270" max="270" width="9.28515625" style="1" bestFit="1" customWidth="1"/>
    <col min="271" max="271" width="5" style="1" bestFit="1" customWidth="1"/>
    <col min="272" max="272" width="4.7109375" style="1" bestFit="1" customWidth="1"/>
    <col min="273" max="273" width="5.7109375" style="2" customWidth="1"/>
    <col min="274" max="274" width="3.28515625" style="1" bestFit="1" customWidth="1"/>
    <col min="275" max="275" width="11.42578125" style="1" bestFit="1" customWidth="1"/>
    <col min="276" max="276" width="4.7109375" style="1" bestFit="1" customWidth="1"/>
    <col min="277" max="277" width="4.85546875" style="1" bestFit="1" customWidth="1"/>
    <col min="278" max="278" width="6.7109375" style="1" bestFit="1" customWidth="1"/>
    <col min="279" max="279" width="2.140625" style="1" customWidth="1"/>
    <col min="280" max="280" width="3.28515625" style="8" bestFit="1" customWidth="1"/>
    <col min="281" max="281" width="11.42578125" style="1" bestFit="1" customWidth="1"/>
    <col min="282" max="282" width="5.7109375" style="1" customWidth="1"/>
    <col min="283" max="283" width="9.28515625" style="1" bestFit="1" customWidth="1"/>
    <col min="284" max="284" width="5" style="1" bestFit="1" customWidth="1"/>
    <col min="285" max="285" width="4.7109375" style="1" bestFit="1" customWidth="1"/>
    <col min="286" max="286" width="5.7109375" style="2" customWidth="1"/>
    <col min="287" max="287" width="3.28515625" style="1" bestFit="1" customWidth="1"/>
    <col min="288" max="288" width="11.42578125" style="1" bestFit="1" customWidth="1"/>
    <col min="289" max="289" width="4.7109375" style="1" bestFit="1" customWidth="1"/>
    <col min="290" max="290" width="4.85546875" style="1" bestFit="1" customWidth="1"/>
    <col min="291" max="291" width="6.7109375" style="8" bestFit="1" customWidth="1"/>
    <col min="292" max="292" width="2.140625" style="1" customWidth="1"/>
    <col min="293" max="293" width="3.28515625" style="1" bestFit="1" customWidth="1"/>
    <col min="294" max="294" width="11.42578125" style="1" bestFit="1" customWidth="1"/>
    <col min="295" max="295" width="5.7109375" style="1" customWidth="1"/>
    <col min="296" max="296" width="9.28515625" style="1" bestFit="1" customWidth="1"/>
    <col min="297" max="297" width="5" style="1" bestFit="1" customWidth="1"/>
    <col min="298" max="298" width="4.7109375" style="1" bestFit="1" customWidth="1"/>
    <col min="299" max="299" width="5.7109375" style="2" customWidth="1"/>
    <col min="300" max="300" width="3.28515625" style="1" bestFit="1" customWidth="1"/>
    <col min="301" max="301" width="11.42578125" style="1" bestFit="1" customWidth="1"/>
    <col min="302" max="302" width="4.7109375" style="8" bestFit="1" customWidth="1"/>
    <col min="303" max="303" width="4.85546875" style="1" bestFit="1" customWidth="1"/>
    <col min="304" max="304" width="6.7109375" style="1" bestFit="1" customWidth="1"/>
    <col min="305" max="305" width="2.140625" style="1" customWidth="1"/>
    <col min="306" max="306" width="3.28515625" style="1" bestFit="1" customWidth="1"/>
    <col min="307" max="307" width="11.42578125" style="1" bestFit="1" customWidth="1"/>
    <col min="308" max="308" width="5.7109375" style="1" customWidth="1"/>
    <col min="309" max="309" width="9.28515625" style="1" bestFit="1" customWidth="1"/>
    <col min="310" max="310" width="5" style="1" bestFit="1" customWidth="1"/>
    <col min="311" max="311" width="4.7109375" style="1" bestFit="1" customWidth="1"/>
    <col min="312" max="312" width="5.7109375" style="2" customWidth="1"/>
    <col min="313" max="313" width="3.28515625" style="8" bestFit="1" customWidth="1"/>
    <col min="314" max="314" width="11.42578125" style="1" bestFit="1" customWidth="1"/>
    <col min="315" max="315" width="4.7109375" style="1" bestFit="1" customWidth="1"/>
    <col min="316" max="316" width="4.85546875" style="1" bestFit="1" customWidth="1"/>
    <col min="317" max="317" width="6.7109375" style="1" bestFit="1" customWidth="1"/>
    <col min="318" max="318" width="2.140625" style="1" customWidth="1"/>
    <col min="319" max="319" width="3.28515625" style="1" bestFit="1" customWidth="1"/>
    <col min="320" max="320" width="11.42578125" style="1" bestFit="1" customWidth="1"/>
    <col min="321" max="321" width="5.7109375" style="1" customWidth="1"/>
    <col min="322" max="322" width="9.28515625" style="1" bestFit="1" customWidth="1"/>
    <col min="323" max="323" width="5" style="1" bestFit="1" customWidth="1"/>
    <col min="324" max="324" width="4.7109375" style="8" bestFit="1" customWidth="1"/>
    <col min="325" max="325" width="5.7109375" style="2" customWidth="1"/>
    <col min="326" max="326" width="3.28515625" style="1" bestFit="1" customWidth="1"/>
    <col min="327" max="327" width="11.42578125" style="1" bestFit="1" customWidth="1"/>
    <col min="328" max="328" width="4.7109375" style="1" bestFit="1" customWidth="1"/>
    <col min="329" max="329" width="4.85546875" style="1" bestFit="1" customWidth="1"/>
    <col min="330" max="330" width="5.5703125" style="1" bestFit="1" customWidth="1"/>
    <col min="331" max="331" width="2.140625" style="1" customWidth="1"/>
    <col min="332" max="332" width="3.28515625" style="1" bestFit="1" customWidth="1"/>
    <col min="333" max="333" width="11.42578125" style="1" bestFit="1" customWidth="1"/>
    <col min="334" max="334" width="5.7109375" style="1" customWidth="1"/>
    <col min="335" max="335" width="9.28515625" style="8" bestFit="1" customWidth="1"/>
    <col min="336" max="336" width="5" style="1" bestFit="1" customWidth="1"/>
    <col min="337" max="337" width="4.7109375" style="1" bestFit="1" customWidth="1"/>
    <col min="338" max="338" width="5.7109375" style="2" customWidth="1"/>
    <col min="339" max="339" width="3.28515625" style="1" bestFit="1" customWidth="1"/>
    <col min="340" max="340" width="11.42578125" style="1" bestFit="1" customWidth="1"/>
    <col min="341" max="341" width="4.7109375" style="1" bestFit="1" customWidth="1"/>
    <col min="342" max="342" width="4.85546875" style="1" bestFit="1" customWidth="1"/>
    <col min="343" max="343" width="6.7109375" style="1" bestFit="1" customWidth="1"/>
    <col min="344" max="344" width="2.140625" style="1" customWidth="1"/>
    <col min="345" max="345" width="3.28515625" style="1" bestFit="1" customWidth="1"/>
    <col min="346" max="346" width="11.42578125" style="8" bestFit="1" customWidth="1"/>
    <col min="347" max="347" width="5.7109375" style="1" customWidth="1"/>
    <col min="348" max="348" width="9.28515625" style="1" bestFit="1" customWidth="1"/>
    <col min="349" max="349" width="5" style="1" bestFit="1" customWidth="1"/>
    <col min="350" max="350" width="4.7109375" style="1" bestFit="1" customWidth="1"/>
    <col min="351" max="351" width="5.7109375" style="2" customWidth="1"/>
    <col min="352" max="352" width="3.28515625" style="1" bestFit="1" customWidth="1"/>
    <col min="353" max="353" width="11.42578125" style="1" bestFit="1" customWidth="1"/>
    <col min="354" max="354" width="4.7109375" style="1" bestFit="1" customWidth="1"/>
    <col min="355" max="355" width="4.85546875" style="1" bestFit="1" customWidth="1"/>
    <col min="356" max="356" width="6.7109375" style="1" bestFit="1" customWidth="1"/>
    <col min="357" max="357" width="2.140625" style="8" customWidth="1"/>
    <col min="358" max="358" width="3.28515625" style="1" bestFit="1" customWidth="1"/>
    <col min="359" max="359" width="11.42578125" style="1" bestFit="1" customWidth="1"/>
    <col min="360" max="360" width="5.7109375" style="1" customWidth="1"/>
    <col min="361" max="361" width="9.28515625" style="1" bestFit="1" customWidth="1"/>
    <col min="362" max="362" width="5" style="1" bestFit="1" customWidth="1"/>
    <col min="363" max="363" width="4.7109375" style="1" bestFit="1" customWidth="1"/>
    <col min="364" max="364" width="5.7109375" style="2" customWidth="1"/>
    <col min="365" max="365" width="3.28515625" style="1" bestFit="1" customWidth="1"/>
    <col min="366" max="366" width="11.42578125" style="1" bestFit="1" customWidth="1"/>
    <col min="367" max="367" width="4.7109375" style="1" bestFit="1" customWidth="1"/>
    <col min="368" max="368" width="4.85546875" style="8" bestFit="1" customWidth="1"/>
    <col min="369" max="369" width="6.7109375" style="1" bestFit="1" customWidth="1"/>
    <col min="370" max="370" width="2.140625" style="1" customWidth="1"/>
    <col min="371" max="371" width="3.28515625" style="1" bestFit="1" customWidth="1"/>
    <col min="372" max="372" width="11.42578125" style="1" bestFit="1" customWidth="1"/>
    <col min="373" max="373" width="5.7109375" style="1" customWidth="1"/>
    <col min="374" max="374" width="9.28515625" style="1" bestFit="1" customWidth="1"/>
    <col min="375" max="375" width="5" style="1" bestFit="1" customWidth="1"/>
    <col min="376" max="376" width="4.7109375" style="1" bestFit="1" customWidth="1"/>
    <col min="377" max="377" width="5.7109375" style="2" customWidth="1"/>
    <col min="378" max="378" width="3.28515625" style="1" bestFit="1" customWidth="1"/>
    <col min="379" max="379" width="11.42578125" style="8" bestFit="1" customWidth="1"/>
    <col min="380" max="380" width="4.7109375" style="1" bestFit="1" customWidth="1"/>
    <col min="381" max="381" width="4.85546875" style="1" bestFit="1" customWidth="1"/>
    <col min="382" max="382" width="5.5703125" style="1" bestFit="1" customWidth="1"/>
    <col min="383" max="383" width="2.140625" style="1" customWidth="1"/>
    <col min="384" max="384" width="3.28515625" style="1" bestFit="1" customWidth="1"/>
    <col min="385" max="385" width="11.42578125" style="1" bestFit="1" customWidth="1"/>
    <col min="386" max="386" width="5.7109375" style="1" customWidth="1"/>
    <col min="387" max="387" width="9.28515625" style="1" bestFit="1" customWidth="1"/>
    <col min="388" max="388" width="5" style="1" bestFit="1" customWidth="1"/>
    <col min="389" max="389" width="4.7109375" style="1" bestFit="1" customWidth="1"/>
    <col min="390" max="390" width="5.7109375" style="2" customWidth="1"/>
    <col min="391" max="391" width="3.28515625" style="1" bestFit="1" customWidth="1"/>
    <col min="392" max="392" width="11.42578125" style="1" bestFit="1" customWidth="1"/>
    <col min="393" max="393" width="4.7109375" style="1" bestFit="1" customWidth="1"/>
    <col min="394" max="394" width="4.85546875" style="1" bestFit="1" customWidth="1"/>
    <col min="395" max="395" width="5.5703125" style="1" bestFit="1" customWidth="1"/>
    <col min="396" max="396" width="2.140625" style="1" customWidth="1"/>
    <col min="397" max="397" width="3.28515625" style="1" bestFit="1" customWidth="1"/>
    <col min="398" max="398" width="11.42578125" style="1" bestFit="1" customWidth="1"/>
    <col min="399" max="399" width="5.7109375" style="1" customWidth="1"/>
    <col min="400" max="400" width="9.28515625" style="1" bestFit="1" customWidth="1"/>
    <col min="401" max="401" width="5" style="8" bestFit="1" customWidth="1"/>
    <col min="402" max="402" width="4.7109375" style="1" bestFit="1" customWidth="1"/>
    <col min="403" max="403" width="5.7109375" style="2" customWidth="1"/>
    <col min="404" max="404" width="3.28515625" style="1" bestFit="1" customWidth="1"/>
    <col min="405" max="405" width="11.42578125" style="1" bestFit="1" customWidth="1"/>
    <col min="406" max="406" width="4.7109375" style="1" bestFit="1" customWidth="1"/>
    <col min="407" max="407" width="4.85546875" style="1" bestFit="1" customWidth="1"/>
    <col min="408" max="408" width="5.5703125" style="1" bestFit="1" customWidth="1"/>
    <col min="409" max="409" width="2.140625" style="1" customWidth="1"/>
    <col min="410" max="410" width="3.28515625" style="1" bestFit="1" customWidth="1"/>
    <col min="411" max="411" width="11.42578125" style="1" bestFit="1" customWidth="1"/>
    <col min="412" max="412" width="5.7109375" style="8" customWidth="1"/>
    <col min="413" max="413" width="9.28515625" style="1" bestFit="1" customWidth="1"/>
    <col min="414" max="414" width="5" style="1" bestFit="1" customWidth="1"/>
    <col min="415" max="415" width="4.7109375" style="1" bestFit="1" customWidth="1"/>
    <col min="416" max="416" width="5.7109375" style="2" customWidth="1"/>
    <col min="417" max="417" width="3.28515625" style="1" bestFit="1" customWidth="1"/>
    <col min="418" max="418" width="11.42578125" style="1" bestFit="1" customWidth="1"/>
    <col min="419" max="419" width="4.7109375" style="1" bestFit="1" customWidth="1"/>
    <col min="420" max="420" width="4.85546875" style="1" bestFit="1" customWidth="1"/>
    <col min="421" max="421" width="5.5703125" style="1" bestFit="1" customWidth="1"/>
    <col min="422" max="422" width="2.140625" style="1" customWidth="1"/>
    <col min="423" max="423" width="3.28515625" style="8" bestFit="1" customWidth="1"/>
    <col min="424" max="424" width="11.42578125" style="1" bestFit="1" customWidth="1"/>
    <col min="425" max="425" width="5.7109375" style="1" customWidth="1"/>
    <col min="426" max="426" width="9.28515625" style="1" bestFit="1" customWidth="1"/>
    <col min="427" max="427" width="5" style="1" bestFit="1" customWidth="1"/>
    <col min="428" max="428" width="4.7109375" style="1" bestFit="1" customWidth="1"/>
    <col min="429" max="429" width="5.7109375" style="2" customWidth="1"/>
    <col min="430" max="430" width="3.28515625" style="1" bestFit="1" customWidth="1"/>
    <col min="431" max="431" width="11.42578125" style="1" bestFit="1" customWidth="1"/>
    <col min="432" max="432" width="4.7109375" style="1" bestFit="1" customWidth="1"/>
    <col min="433" max="433" width="4.85546875" style="1" bestFit="1" customWidth="1"/>
    <col min="434" max="434" width="5.5703125" style="8" bestFit="1" customWidth="1"/>
    <col min="435" max="435" width="2.42578125" style="1" customWidth="1"/>
    <col min="436" max="436" width="3.28515625" style="1" bestFit="1" customWidth="1"/>
    <col min="437" max="437" width="11.42578125" style="1" bestFit="1" customWidth="1"/>
    <col min="438" max="438" width="5.7109375" style="1" customWidth="1"/>
    <col min="439" max="439" width="9.28515625" style="1" bestFit="1" customWidth="1"/>
    <col min="440" max="440" width="5" style="1" bestFit="1" customWidth="1"/>
    <col min="441" max="441" width="4.7109375" style="1" bestFit="1" customWidth="1"/>
    <col min="442" max="442" width="5.7109375" style="2" customWidth="1"/>
    <col min="443" max="443" width="3.28515625" style="1" bestFit="1" customWidth="1"/>
    <col min="444" max="444" width="11.42578125" style="1" bestFit="1" customWidth="1"/>
    <col min="445" max="445" width="4.7109375" style="1" bestFit="1" customWidth="1"/>
    <col min="446" max="446" width="4.85546875" style="1" bestFit="1" customWidth="1"/>
    <col min="447" max="447" width="5.5703125" style="1" bestFit="1" customWidth="1"/>
    <col min="448" max="448" width="2.140625" style="1" customWidth="1"/>
    <col min="449" max="449" width="3.28515625" style="1" bestFit="1" customWidth="1"/>
    <col min="450" max="450" width="11.42578125" style="1" bestFit="1" customWidth="1"/>
    <col min="451" max="451" width="5.7109375" style="1" customWidth="1"/>
    <col min="452" max="452" width="9.28515625" style="1" bestFit="1" customWidth="1"/>
    <col min="453" max="453" width="5" style="1" bestFit="1" customWidth="1"/>
    <col min="454" max="454" width="4.7109375" style="1" bestFit="1" customWidth="1"/>
    <col min="455" max="455" width="5.7109375" style="2" customWidth="1"/>
    <col min="456" max="456" width="3.28515625" style="1" bestFit="1" customWidth="1"/>
    <col min="457" max="457" width="11.42578125" style="1" bestFit="1" customWidth="1"/>
    <col min="458" max="458" width="4.7109375" style="1" bestFit="1" customWidth="1"/>
    <col min="459" max="459" width="4.85546875" style="1" bestFit="1" customWidth="1"/>
    <col min="460" max="460" width="5.5703125" style="1" bestFit="1" customWidth="1"/>
    <col min="461" max="461" width="2.140625" style="1" customWidth="1"/>
    <col min="462" max="462" width="3.28515625" style="1" bestFit="1" customWidth="1"/>
    <col min="463" max="463" width="11.42578125" style="1" bestFit="1" customWidth="1"/>
    <col min="464" max="464" width="5.7109375" style="1" customWidth="1"/>
    <col min="465" max="465" width="9.28515625" style="1" bestFit="1" customWidth="1"/>
    <col min="466" max="466" width="5" style="1" bestFit="1" customWidth="1"/>
    <col min="467" max="467" width="4.7109375" style="1" bestFit="1" customWidth="1"/>
    <col min="468" max="468" width="5.7109375" style="2" customWidth="1"/>
    <col min="469" max="469" width="3.28515625" style="1" bestFit="1" customWidth="1"/>
    <col min="470" max="470" width="11.42578125" style="1" bestFit="1" customWidth="1"/>
    <col min="471" max="471" width="4.7109375" style="1" bestFit="1" customWidth="1"/>
    <col min="472" max="472" width="4.85546875" style="1" bestFit="1" customWidth="1"/>
    <col min="473" max="473" width="5.5703125" style="1" bestFit="1" customWidth="1"/>
    <col min="474" max="474" width="2.140625" style="1" customWidth="1"/>
    <col min="475" max="475" width="3.28515625" style="1" bestFit="1" customWidth="1"/>
    <col min="476" max="476" width="11.42578125" style="1" bestFit="1" customWidth="1"/>
    <col min="477" max="477" width="5.7109375" style="1" customWidth="1"/>
    <col min="478" max="478" width="9.28515625" style="1" bestFit="1" customWidth="1"/>
    <col min="479" max="479" width="5" style="1" bestFit="1" customWidth="1"/>
    <col min="480" max="480" width="4.7109375" style="1" bestFit="1" customWidth="1"/>
    <col min="481" max="481" width="5.7109375" style="2" customWidth="1"/>
    <col min="482" max="482" width="3.28515625" style="1" bestFit="1" customWidth="1"/>
    <col min="483" max="483" width="11.42578125" style="1" bestFit="1" customWidth="1"/>
    <col min="484" max="484" width="4.7109375" style="1" bestFit="1" customWidth="1"/>
    <col min="485" max="485" width="4.85546875" style="1" bestFit="1" customWidth="1"/>
    <col min="486" max="486" width="5.5703125" style="1" bestFit="1" customWidth="1"/>
    <col min="487" max="487" width="2.140625" style="1" customWidth="1"/>
    <col min="488" max="488" width="3.28515625" style="1" bestFit="1" customWidth="1"/>
    <col min="489" max="489" width="11.42578125" style="1" bestFit="1" customWidth="1"/>
    <col min="490" max="490" width="5.7109375" style="1" customWidth="1"/>
    <col min="491" max="491" width="9.28515625" style="1" bestFit="1" customWidth="1"/>
    <col min="492" max="492" width="5" style="1" bestFit="1" customWidth="1"/>
    <col min="493" max="493" width="4.7109375" style="1" bestFit="1" customWidth="1"/>
    <col min="494" max="494" width="5.7109375" style="2" customWidth="1"/>
    <col min="495" max="495" width="3.28515625" style="1" bestFit="1" customWidth="1"/>
    <col min="496" max="496" width="11.42578125" style="1" bestFit="1" customWidth="1"/>
    <col min="497" max="497" width="4.7109375" style="1" bestFit="1" customWidth="1"/>
    <col min="498" max="498" width="4.85546875" style="1" bestFit="1" customWidth="1"/>
    <col min="499" max="499" width="5.5703125" style="1" bestFit="1" customWidth="1"/>
    <col min="500" max="500" width="2.140625" style="1" customWidth="1"/>
    <col min="501" max="501" width="3.28515625" style="1" bestFit="1" customWidth="1"/>
    <col min="502" max="502" width="11.42578125" style="1" bestFit="1" customWidth="1"/>
    <col min="503" max="503" width="5.7109375" style="1" customWidth="1"/>
    <col min="504" max="504" width="9.28515625" style="1" bestFit="1" customWidth="1"/>
    <col min="505" max="505" width="5" style="1" bestFit="1" customWidth="1"/>
    <col min="506" max="506" width="4.7109375" style="1" bestFit="1" customWidth="1"/>
    <col min="507" max="507" width="5.7109375" style="2" customWidth="1"/>
    <col min="508" max="508" width="3.28515625" style="1" bestFit="1" customWidth="1"/>
    <col min="509" max="509" width="11.42578125" style="1" bestFit="1" customWidth="1"/>
    <col min="510" max="510" width="4.7109375" style="1" bestFit="1" customWidth="1"/>
    <col min="511" max="511" width="4.85546875" style="1" bestFit="1" customWidth="1"/>
    <col min="512" max="512" width="5.5703125" style="1" bestFit="1" customWidth="1"/>
    <col min="513" max="513" width="2.140625" style="1" customWidth="1"/>
    <col min="514" max="514" width="3.28515625" style="1" bestFit="1" customWidth="1"/>
    <col min="515" max="515" width="11.42578125" style="1" bestFit="1" customWidth="1"/>
    <col min="516" max="516" width="5.7109375" style="1" customWidth="1"/>
    <col min="517" max="517" width="9.28515625" style="1" bestFit="1" customWidth="1"/>
    <col min="518" max="518" width="5" style="1" bestFit="1" customWidth="1"/>
    <col min="519" max="519" width="4.7109375" style="1" bestFit="1" customWidth="1"/>
    <col min="520" max="520" width="5.7109375" style="2" customWidth="1"/>
    <col min="521" max="521" width="3.28515625" style="1" bestFit="1" customWidth="1"/>
    <col min="522" max="522" width="11.42578125" style="1" bestFit="1" customWidth="1"/>
    <col min="523" max="523" width="5.7109375" style="1" customWidth="1"/>
    <col min="524" max="524" width="6.5703125" style="1" bestFit="1" customWidth="1"/>
    <col min="525" max="16384" width="5.7109375" style="1"/>
  </cols>
  <sheetData>
    <row r="1" spans="1:524" ht="20.100000000000001" customHeight="1">
      <c r="A1" s="66" t="s">
        <v>225</v>
      </c>
      <c r="B1" s="66"/>
      <c r="C1" s="66"/>
      <c r="D1" s="66"/>
      <c r="E1" s="66"/>
      <c r="G1" s="66" t="s">
        <v>226</v>
      </c>
      <c r="H1" s="66"/>
      <c r="I1" s="66"/>
      <c r="J1" s="66"/>
      <c r="K1" s="66" t="s">
        <v>227</v>
      </c>
      <c r="L1" s="66"/>
      <c r="N1" s="66" t="s">
        <v>228</v>
      </c>
      <c r="O1" s="66"/>
      <c r="P1" s="66"/>
      <c r="Q1" s="66"/>
      <c r="R1" s="66"/>
      <c r="T1" s="66" t="s">
        <v>229</v>
      </c>
      <c r="U1" s="66"/>
      <c r="V1" s="66"/>
      <c r="W1" s="66"/>
      <c r="X1" s="66" t="s">
        <v>227</v>
      </c>
      <c r="Y1" s="66"/>
      <c r="AA1" s="66" t="s">
        <v>230</v>
      </c>
      <c r="AB1" s="66"/>
      <c r="AC1" s="66"/>
      <c r="AD1" s="66"/>
      <c r="AE1" s="66"/>
      <c r="AG1" s="66" t="s">
        <v>231</v>
      </c>
      <c r="AH1" s="66"/>
      <c r="AI1" s="66"/>
      <c r="AJ1" s="66"/>
      <c r="AK1" s="66" t="s">
        <v>227</v>
      </c>
      <c r="AL1" s="66"/>
      <c r="AN1" s="66" t="s">
        <v>232</v>
      </c>
      <c r="AO1" s="66"/>
      <c r="AP1" s="66"/>
      <c r="AQ1" s="66"/>
      <c r="AR1" s="66"/>
      <c r="AT1" s="66" t="s">
        <v>233</v>
      </c>
      <c r="AU1" s="66"/>
      <c r="AV1" s="66"/>
      <c r="AW1" s="66"/>
      <c r="AX1" s="66" t="s">
        <v>227</v>
      </c>
      <c r="AY1" s="66"/>
      <c r="BA1" s="66" t="s">
        <v>234</v>
      </c>
      <c r="BB1" s="66"/>
      <c r="BC1" s="66"/>
      <c r="BD1" s="66"/>
      <c r="BE1" s="66"/>
      <c r="BG1" s="66" t="s">
        <v>235</v>
      </c>
      <c r="BH1" s="66"/>
      <c r="BI1" s="66"/>
      <c r="BJ1" s="66"/>
      <c r="BK1" s="66" t="s">
        <v>227</v>
      </c>
      <c r="BL1" s="66"/>
      <c r="BN1" s="66" t="s">
        <v>236</v>
      </c>
      <c r="BO1" s="66"/>
      <c r="BP1" s="66"/>
      <c r="BQ1" s="66"/>
      <c r="BR1" s="66"/>
      <c r="BS1" s="1"/>
      <c r="BT1" s="66" t="s">
        <v>237</v>
      </c>
      <c r="BU1" s="66"/>
      <c r="BV1" s="66"/>
      <c r="BW1" s="66"/>
      <c r="BX1" s="66" t="s">
        <v>227</v>
      </c>
      <c r="BY1" s="66"/>
      <c r="CA1" s="66" t="s">
        <v>238</v>
      </c>
      <c r="CB1" s="66"/>
      <c r="CC1" s="66"/>
      <c r="CD1" s="66"/>
      <c r="CE1" s="66"/>
      <c r="CG1" s="66" t="s">
        <v>239</v>
      </c>
      <c r="CH1" s="66"/>
      <c r="CI1" s="66"/>
      <c r="CJ1" s="66"/>
      <c r="CK1" s="66" t="s">
        <v>227</v>
      </c>
      <c r="CL1" s="66"/>
      <c r="CN1" s="66" t="s">
        <v>240</v>
      </c>
      <c r="CO1" s="66"/>
      <c r="CP1" s="66"/>
      <c r="CQ1" s="66"/>
      <c r="CR1" s="66"/>
      <c r="CT1" s="66" t="s">
        <v>241</v>
      </c>
      <c r="CU1" s="66"/>
      <c r="CV1" s="66"/>
      <c r="CW1" s="66"/>
      <c r="CX1" s="66" t="s">
        <v>227</v>
      </c>
      <c r="CY1" s="66"/>
      <c r="DA1" s="66" t="s">
        <v>242</v>
      </c>
      <c r="DB1" s="66"/>
      <c r="DC1" s="66"/>
      <c r="DD1" s="66"/>
      <c r="DE1" s="66"/>
      <c r="DG1" s="66" t="s">
        <v>243</v>
      </c>
      <c r="DH1" s="66"/>
      <c r="DI1" s="66"/>
      <c r="DJ1" s="66"/>
      <c r="DK1" s="66" t="s">
        <v>227</v>
      </c>
      <c r="DL1" s="66"/>
      <c r="DN1" s="66" t="s">
        <v>244</v>
      </c>
      <c r="DO1" s="66"/>
      <c r="DP1" s="66"/>
      <c r="DQ1" s="66"/>
      <c r="DR1" s="66"/>
      <c r="DT1" s="66" t="s">
        <v>245</v>
      </c>
      <c r="DU1" s="66"/>
      <c r="DV1" s="66"/>
      <c r="DW1" s="66"/>
      <c r="DX1" s="66" t="s">
        <v>227</v>
      </c>
      <c r="DY1" s="66"/>
      <c r="EA1" s="66" t="s">
        <v>246</v>
      </c>
      <c r="EB1" s="66"/>
      <c r="EC1" s="66"/>
      <c r="ED1" s="66"/>
      <c r="EE1" s="66"/>
      <c r="EG1" s="66" t="s">
        <v>247</v>
      </c>
      <c r="EH1" s="66"/>
      <c r="EI1" s="66"/>
      <c r="EJ1" s="66"/>
      <c r="EK1" s="66" t="s">
        <v>227</v>
      </c>
      <c r="EL1" s="66"/>
      <c r="EN1" s="66" t="s">
        <v>248</v>
      </c>
      <c r="EO1" s="66"/>
      <c r="EP1" s="66"/>
      <c r="EQ1" s="66"/>
      <c r="ER1" s="66"/>
      <c r="ET1" s="66" t="s">
        <v>249</v>
      </c>
      <c r="EU1" s="66"/>
      <c r="EV1" s="66"/>
      <c r="EW1" s="66"/>
      <c r="EX1" s="66" t="s">
        <v>227</v>
      </c>
      <c r="EY1" s="66"/>
      <c r="FA1" s="66" t="s">
        <v>250</v>
      </c>
      <c r="FB1" s="66"/>
      <c r="FC1" s="66"/>
      <c r="FD1" s="66"/>
      <c r="FE1" s="66"/>
      <c r="FG1" s="66" t="s">
        <v>251</v>
      </c>
      <c r="FH1" s="66"/>
      <c r="FI1" s="66"/>
      <c r="FJ1" s="66"/>
      <c r="FK1" s="66" t="s">
        <v>227</v>
      </c>
      <c r="FL1" s="66"/>
      <c r="FN1" s="66" t="s">
        <v>252</v>
      </c>
      <c r="FO1" s="66"/>
      <c r="FP1" s="66"/>
      <c r="FQ1" s="66"/>
      <c r="FR1" s="66"/>
      <c r="FT1" s="66" t="s">
        <v>253</v>
      </c>
      <c r="FU1" s="66"/>
      <c r="FV1" s="66"/>
      <c r="FW1" s="66"/>
      <c r="FX1" s="66" t="s">
        <v>227</v>
      </c>
      <c r="FY1" s="66"/>
      <c r="GA1" s="66" t="s">
        <v>254</v>
      </c>
      <c r="GB1" s="66"/>
      <c r="GC1" s="66"/>
      <c r="GD1" s="66"/>
      <c r="GE1" s="66"/>
      <c r="GG1" s="66" t="s">
        <v>255</v>
      </c>
      <c r="GH1" s="66"/>
      <c r="GI1" s="66"/>
      <c r="GJ1" s="66"/>
      <c r="GK1" s="66" t="s">
        <v>227</v>
      </c>
      <c r="GL1" s="66"/>
      <c r="GN1" s="66" t="s">
        <v>256</v>
      </c>
      <c r="GO1" s="66"/>
      <c r="GP1" s="66"/>
      <c r="GQ1" s="66"/>
      <c r="GR1" s="66"/>
      <c r="GT1" s="66" t="s">
        <v>257</v>
      </c>
      <c r="GU1" s="66"/>
      <c r="GV1" s="66"/>
      <c r="GW1" s="66"/>
      <c r="GX1" s="66" t="s">
        <v>227</v>
      </c>
      <c r="GY1" s="66"/>
      <c r="HA1" s="66" t="s">
        <v>258</v>
      </c>
      <c r="HB1" s="66"/>
      <c r="HC1" s="66"/>
      <c r="HD1" s="66"/>
      <c r="HE1" s="66"/>
      <c r="HF1" s="1"/>
      <c r="HG1" s="66" t="s">
        <v>259</v>
      </c>
      <c r="HH1" s="66"/>
      <c r="HI1" s="66"/>
      <c r="HJ1" s="66"/>
      <c r="HK1" s="66" t="s">
        <v>227</v>
      </c>
      <c r="HL1" s="66"/>
      <c r="HN1" s="66" t="s">
        <v>260</v>
      </c>
      <c r="HO1" s="66"/>
      <c r="HP1" s="66"/>
      <c r="HQ1" s="66"/>
      <c r="HR1" s="66"/>
      <c r="HT1" s="66" t="s">
        <v>261</v>
      </c>
      <c r="HU1" s="66"/>
      <c r="HV1" s="66"/>
      <c r="HW1" s="66"/>
      <c r="HX1" s="66" t="s">
        <v>227</v>
      </c>
      <c r="HY1" s="66"/>
      <c r="IA1" s="66" t="s">
        <v>262</v>
      </c>
      <c r="IB1" s="66"/>
      <c r="IC1" s="66"/>
      <c r="ID1" s="66"/>
      <c r="IE1" s="66"/>
      <c r="IG1" s="66" t="s">
        <v>263</v>
      </c>
      <c r="IH1" s="66"/>
      <c r="II1" s="66"/>
      <c r="IJ1" s="66"/>
      <c r="IK1" s="66" t="s">
        <v>227</v>
      </c>
      <c r="IL1" s="66"/>
      <c r="IN1" s="66" t="s">
        <v>264</v>
      </c>
      <c r="IO1" s="66"/>
      <c r="IP1" s="66"/>
      <c r="IQ1" s="66"/>
      <c r="IR1" s="66"/>
      <c r="IT1" s="66" t="s">
        <v>265</v>
      </c>
      <c r="IU1" s="66"/>
      <c r="IV1" s="66"/>
      <c r="IW1" s="66"/>
      <c r="IX1" s="66" t="s">
        <v>227</v>
      </c>
      <c r="IY1" s="66"/>
      <c r="JA1" s="66" t="s">
        <v>266</v>
      </c>
      <c r="JB1" s="66"/>
      <c r="JC1" s="66"/>
      <c r="JD1" s="66"/>
      <c r="JE1" s="66"/>
      <c r="JG1" s="66" t="s">
        <v>267</v>
      </c>
      <c r="JH1" s="66"/>
      <c r="JI1" s="66"/>
      <c r="JJ1" s="66"/>
      <c r="JK1" s="66" t="s">
        <v>227</v>
      </c>
      <c r="JL1" s="66"/>
      <c r="JN1" s="66" t="s">
        <v>268</v>
      </c>
      <c r="JO1" s="66"/>
      <c r="JP1" s="66"/>
      <c r="JQ1" s="66"/>
      <c r="JR1" s="66"/>
      <c r="JT1" s="66" t="s">
        <v>269</v>
      </c>
      <c r="JU1" s="66"/>
      <c r="JV1" s="66"/>
      <c r="JW1" s="66"/>
      <c r="JX1" s="66" t="s">
        <v>227</v>
      </c>
      <c r="JY1" s="66"/>
      <c r="KA1" s="66" t="s">
        <v>270</v>
      </c>
      <c r="KB1" s="66"/>
      <c r="KC1" s="66"/>
      <c r="KD1" s="66"/>
      <c r="KE1" s="66"/>
      <c r="KG1" s="66" t="s">
        <v>271</v>
      </c>
      <c r="KH1" s="66"/>
      <c r="KI1" s="66"/>
      <c r="KJ1" s="66"/>
      <c r="KK1" s="66" t="s">
        <v>227</v>
      </c>
      <c r="KL1" s="66"/>
      <c r="KN1" s="66" t="s">
        <v>272</v>
      </c>
      <c r="KO1" s="66"/>
      <c r="KP1" s="66"/>
      <c r="KQ1" s="66"/>
      <c r="KR1" s="66"/>
      <c r="KT1" s="66" t="s">
        <v>273</v>
      </c>
      <c r="KU1" s="66"/>
      <c r="KV1" s="66"/>
      <c r="KW1" s="66"/>
      <c r="KX1" s="66" t="s">
        <v>227</v>
      </c>
      <c r="KY1" s="66"/>
      <c r="LA1" s="66" t="s">
        <v>274</v>
      </c>
      <c r="LB1" s="66"/>
      <c r="LC1" s="66"/>
      <c r="LD1" s="66"/>
      <c r="LE1" s="66"/>
      <c r="LG1" s="66" t="s">
        <v>275</v>
      </c>
      <c r="LH1" s="66"/>
      <c r="LI1" s="66"/>
      <c r="LJ1" s="66"/>
      <c r="LK1" s="66" t="s">
        <v>227</v>
      </c>
      <c r="LL1" s="66"/>
      <c r="LN1" s="66" t="s">
        <v>276</v>
      </c>
      <c r="LO1" s="66"/>
      <c r="LP1" s="66"/>
      <c r="LQ1" s="66"/>
      <c r="LR1" s="66"/>
      <c r="LT1" s="66" t="s">
        <v>277</v>
      </c>
      <c r="LU1" s="66"/>
      <c r="LV1" s="66"/>
      <c r="LW1" s="66"/>
      <c r="LX1" s="66" t="s">
        <v>227</v>
      </c>
      <c r="LY1" s="66"/>
      <c r="MA1" s="66" t="s">
        <v>278</v>
      </c>
      <c r="MB1" s="66"/>
      <c r="MC1" s="66"/>
      <c r="MD1" s="66"/>
      <c r="ME1" s="66"/>
      <c r="MG1" s="66" t="s">
        <v>279</v>
      </c>
      <c r="MH1" s="66"/>
      <c r="MI1" s="66"/>
      <c r="MJ1" s="66"/>
      <c r="MK1" s="66" t="s">
        <v>227</v>
      </c>
      <c r="ML1" s="66"/>
      <c r="MN1" s="66" t="s">
        <v>280</v>
      </c>
      <c r="MO1" s="66"/>
      <c r="MP1" s="66"/>
      <c r="MQ1" s="66"/>
      <c r="MR1" s="66"/>
      <c r="MS1" s="1"/>
      <c r="MT1" s="66" t="s">
        <v>281</v>
      </c>
      <c r="MU1" s="66"/>
      <c r="MV1" s="66"/>
      <c r="MW1" s="66"/>
      <c r="MX1" s="66" t="s">
        <v>227</v>
      </c>
      <c r="MY1" s="66"/>
      <c r="NA1" s="66" t="s">
        <v>282</v>
      </c>
      <c r="NB1" s="66"/>
      <c r="NC1" s="66"/>
      <c r="ND1" s="66"/>
      <c r="NE1" s="66"/>
      <c r="NG1" s="66" t="s">
        <v>283</v>
      </c>
      <c r="NH1" s="66"/>
      <c r="NI1" s="66"/>
      <c r="NJ1" s="66"/>
      <c r="NK1" s="66" t="s">
        <v>227</v>
      </c>
      <c r="NL1" s="66"/>
      <c r="NN1" s="66" t="s">
        <v>284</v>
      </c>
      <c r="NO1" s="66"/>
      <c r="NP1" s="66"/>
      <c r="NQ1" s="66"/>
      <c r="NR1" s="66"/>
      <c r="NT1" s="66" t="s">
        <v>285</v>
      </c>
      <c r="NU1" s="66"/>
      <c r="NV1" s="66"/>
      <c r="NW1" s="66"/>
      <c r="NX1" s="66" t="s">
        <v>227</v>
      </c>
      <c r="NY1" s="66"/>
      <c r="OA1" s="66" t="s">
        <v>286</v>
      </c>
      <c r="OB1" s="66"/>
      <c r="OC1" s="66"/>
      <c r="OD1" s="66"/>
      <c r="OE1" s="66"/>
      <c r="OG1" s="66" t="s">
        <v>287</v>
      </c>
      <c r="OH1" s="66"/>
      <c r="OI1" s="66"/>
      <c r="OJ1" s="66"/>
      <c r="OK1" s="66" t="s">
        <v>227</v>
      </c>
      <c r="OL1" s="66"/>
      <c r="ON1" s="66" t="s">
        <v>288</v>
      </c>
      <c r="OO1" s="66"/>
      <c r="OP1" s="66"/>
      <c r="OQ1" s="66"/>
      <c r="OR1" s="66"/>
      <c r="OT1" s="66" t="s">
        <v>289</v>
      </c>
      <c r="OU1" s="66"/>
      <c r="OV1" s="66"/>
      <c r="OW1" s="66"/>
      <c r="OX1" s="66" t="s">
        <v>227</v>
      </c>
      <c r="OY1" s="66"/>
      <c r="PA1" s="66" t="s">
        <v>290</v>
      </c>
      <c r="PB1" s="66"/>
      <c r="PC1" s="66"/>
      <c r="PD1" s="66"/>
      <c r="PE1" s="66"/>
      <c r="PG1" s="66" t="s">
        <v>291</v>
      </c>
      <c r="PH1" s="66"/>
      <c r="PI1" s="66"/>
      <c r="PJ1" s="66"/>
      <c r="PK1" s="66" t="s">
        <v>227</v>
      </c>
      <c r="PL1" s="66"/>
      <c r="PN1" s="66" t="s">
        <v>292</v>
      </c>
      <c r="PO1" s="66"/>
      <c r="PP1" s="66"/>
      <c r="PQ1" s="66"/>
      <c r="PR1" s="66"/>
      <c r="PT1" s="66" t="s">
        <v>293</v>
      </c>
      <c r="PU1" s="66"/>
      <c r="PV1" s="66"/>
      <c r="PW1" s="66"/>
      <c r="PX1" s="66" t="s">
        <v>227</v>
      </c>
      <c r="PY1" s="66"/>
      <c r="QA1" s="66" t="s">
        <v>294</v>
      </c>
      <c r="QB1" s="66"/>
      <c r="QC1" s="66"/>
      <c r="QD1" s="66"/>
      <c r="QE1" s="66"/>
      <c r="QG1" s="66" t="s">
        <v>295</v>
      </c>
      <c r="QH1" s="66"/>
      <c r="QI1" s="66"/>
      <c r="QJ1" s="66"/>
      <c r="QK1" s="66" t="s">
        <v>227</v>
      </c>
      <c r="QL1" s="66"/>
      <c r="QN1" s="66" t="s">
        <v>296</v>
      </c>
      <c r="QO1" s="66"/>
      <c r="QP1" s="66"/>
      <c r="QQ1" s="66"/>
      <c r="QR1" s="66"/>
      <c r="QT1" s="66" t="s">
        <v>297</v>
      </c>
      <c r="QU1" s="66"/>
      <c r="QV1" s="66"/>
      <c r="QW1" s="66"/>
      <c r="QX1" s="66" t="s">
        <v>227</v>
      </c>
      <c r="QY1" s="66"/>
      <c r="RA1" s="66" t="s">
        <v>298</v>
      </c>
      <c r="RB1" s="66"/>
      <c r="RC1" s="66"/>
      <c r="RD1" s="66"/>
      <c r="RE1" s="66"/>
      <c r="RG1" s="66" t="s">
        <v>299</v>
      </c>
      <c r="RH1" s="66"/>
      <c r="RI1" s="66"/>
      <c r="RJ1" s="66"/>
      <c r="RK1" s="66" t="s">
        <v>227</v>
      </c>
      <c r="RL1" s="66"/>
      <c r="RN1" s="66" t="s">
        <v>300</v>
      </c>
      <c r="RO1" s="66"/>
      <c r="RP1" s="66"/>
      <c r="RQ1" s="66"/>
      <c r="RR1" s="66"/>
      <c r="RT1" s="66" t="s">
        <v>301</v>
      </c>
      <c r="RU1" s="66"/>
      <c r="RV1" s="66"/>
      <c r="RW1" s="66"/>
      <c r="RX1" s="66" t="s">
        <v>227</v>
      </c>
      <c r="RY1" s="66"/>
      <c r="SA1" s="66" t="s">
        <v>302</v>
      </c>
      <c r="SB1" s="66"/>
      <c r="SC1" s="66"/>
      <c r="SD1" s="66"/>
      <c r="SE1" s="66"/>
      <c r="SG1" s="66" t="s">
        <v>303</v>
      </c>
      <c r="SH1" s="66"/>
      <c r="SI1" s="66"/>
      <c r="SJ1" s="66"/>
      <c r="SK1" s="66" t="s">
        <v>227</v>
      </c>
      <c r="SL1" s="66"/>
      <c r="SN1" s="66" t="s">
        <v>304</v>
      </c>
      <c r="SO1" s="66"/>
      <c r="SP1" s="66"/>
      <c r="SQ1" s="66"/>
      <c r="SR1" s="66"/>
      <c r="ST1" s="66" t="s">
        <v>305</v>
      </c>
      <c r="SU1" s="66"/>
      <c r="SV1" s="66"/>
      <c r="SW1" s="66"/>
      <c r="SX1" s="66" t="s">
        <v>227</v>
      </c>
      <c r="SY1" s="66"/>
      <c r="TA1" s="66" t="s">
        <v>306</v>
      </c>
      <c r="TB1" s="66"/>
      <c r="TC1" s="66"/>
      <c r="TD1" s="66"/>
    </row>
    <row r="2" spans="1:524" ht="20.100000000000001" customHeight="1">
      <c r="A2" s="29" t="s">
        <v>0</v>
      </c>
      <c r="B2" s="29" t="s">
        <v>1</v>
      </c>
      <c r="C2" s="29" t="s">
        <v>307</v>
      </c>
      <c r="D2" s="29" t="s">
        <v>308</v>
      </c>
      <c r="E2" s="51" t="s">
        <v>221</v>
      </c>
      <c r="G2" s="29" t="s">
        <v>0</v>
      </c>
      <c r="H2" s="29" t="s">
        <v>1</v>
      </c>
      <c r="I2" s="29"/>
      <c r="J2" s="54" t="s">
        <v>221</v>
      </c>
      <c r="K2" s="29" t="s">
        <v>309</v>
      </c>
      <c r="L2" s="29" t="s">
        <v>307</v>
      </c>
      <c r="N2" s="29" t="s">
        <v>0</v>
      </c>
      <c r="O2" s="29" t="s">
        <v>1</v>
      </c>
      <c r="P2" s="29" t="s">
        <v>307</v>
      </c>
      <c r="Q2" s="29" t="s">
        <v>308</v>
      </c>
      <c r="R2" s="29" t="s">
        <v>221</v>
      </c>
      <c r="T2" s="29" t="s">
        <v>0</v>
      </c>
      <c r="U2" s="29" t="s">
        <v>1</v>
      </c>
      <c r="V2" s="29"/>
      <c r="W2" s="29" t="s">
        <v>221</v>
      </c>
      <c r="X2" s="29" t="s">
        <v>309</v>
      </c>
      <c r="Y2" s="29" t="s">
        <v>307</v>
      </c>
      <c r="AA2" s="29" t="s">
        <v>0</v>
      </c>
      <c r="AB2" s="29" t="s">
        <v>1</v>
      </c>
      <c r="AC2" s="29" t="s">
        <v>307</v>
      </c>
      <c r="AD2" s="29" t="s">
        <v>308</v>
      </c>
      <c r="AE2" s="29" t="s">
        <v>221</v>
      </c>
      <c r="AG2" s="29" t="s">
        <v>0</v>
      </c>
      <c r="AH2" s="29" t="s">
        <v>1</v>
      </c>
      <c r="AI2" s="29"/>
      <c r="AJ2" s="29" t="s">
        <v>221</v>
      </c>
      <c r="AK2" s="29" t="s">
        <v>309</v>
      </c>
      <c r="AL2" s="29" t="s">
        <v>307</v>
      </c>
      <c r="AN2" s="29" t="s">
        <v>0</v>
      </c>
      <c r="AO2" s="29" t="s">
        <v>1</v>
      </c>
      <c r="AP2" s="29" t="s">
        <v>307</v>
      </c>
      <c r="AQ2" s="29" t="s">
        <v>308</v>
      </c>
      <c r="AR2" s="29" t="s">
        <v>221</v>
      </c>
      <c r="AT2" s="29" t="s">
        <v>0</v>
      </c>
      <c r="AU2" s="29" t="s">
        <v>1</v>
      </c>
      <c r="AV2" s="29"/>
      <c r="AW2" s="29" t="s">
        <v>221</v>
      </c>
      <c r="AX2" s="29" t="s">
        <v>309</v>
      </c>
      <c r="AY2" s="29" t="s">
        <v>307</v>
      </c>
      <c r="BA2" s="29" t="s">
        <v>0</v>
      </c>
      <c r="BB2" s="29" t="s">
        <v>1</v>
      </c>
      <c r="BC2" s="29" t="s">
        <v>307</v>
      </c>
      <c r="BD2" s="29" t="s">
        <v>308</v>
      </c>
      <c r="BE2" s="29" t="s">
        <v>221</v>
      </c>
      <c r="BG2" s="29" t="s">
        <v>0</v>
      </c>
      <c r="BH2" s="29" t="s">
        <v>1</v>
      </c>
      <c r="BI2" s="29"/>
      <c r="BJ2" s="29" t="s">
        <v>221</v>
      </c>
      <c r="BK2" s="29" t="s">
        <v>309</v>
      </c>
      <c r="BL2" s="29" t="s">
        <v>307</v>
      </c>
      <c r="BN2" s="29" t="s">
        <v>0</v>
      </c>
      <c r="BO2" s="29" t="s">
        <v>1</v>
      </c>
      <c r="BP2" s="29" t="s">
        <v>307</v>
      </c>
      <c r="BQ2" s="29" t="s">
        <v>308</v>
      </c>
      <c r="BR2" s="29" t="s">
        <v>221</v>
      </c>
      <c r="BS2" s="1"/>
      <c r="BT2" s="29" t="s">
        <v>0</v>
      </c>
      <c r="BU2" s="29" t="s">
        <v>1</v>
      </c>
      <c r="BV2" s="29"/>
      <c r="BW2" s="29" t="s">
        <v>221</v>
      </c>
      <c r="BX2" s="29" t="s">
        <v>309</v>
      </c>
      <c r="BY2" s="29" t="s">
        <v>307</v>
      </c>
      <c r="CA2" s="29" t="s">
        <v>0</v>
      </c>
      <c r="CB2" s="29" t="s">
        <v>1</v>
      </c>
      <c r="CC2" s="29" t="s">
        <v>307</v>
      </c>
      <c r="CD2" s="29" t="s">
        <v>308</v>
      </c>
      <c r="CE2" s="29" t="s">
        <v>221</v>
      </c>
      <c r="CG2" s="29" t="s">
        <v>0</v>
      </c>
      <c r="CH2" s="29" t="s">
        <v>1</v>
      </c>
      <c r="CI2" s="29"/>
      <c r="CJ2" s="29" t="s">
        <v>221</v>
      </c>
      <c r="CK2" s="29" t="s">
        <v>309</v>
      </c>
      <c r="CL2" s="29" t="s">
        <v>307</v>
      </c>
      <c r="CN2" s="29" t="s">
        <v>0</v>
      </c>
      <c r="CO2" s="29" t="s">
        <v>1</v>
      </c>
      <c r="CP2" s="29" t="s">
        <v>307</v>
      </c>
      <c r="CQ2" s="29" t="s">
        <v>308</v>
      </c>
      <c r="CR2" s="29" t="s">
        <v>221</v>
      </c>
      <c r="CT2" s="29" t="s">
        <v>0</v>
      </c>
      <c r="CU2" s="29" t="s">
        <v>1</v>
      </c>
      <c r="CV2" s="29"/>
      <c r="CW2" s="29" t="s">
        <v>221</v>
      </c>
      <c r="CX2" s="29" t="s">
        <v>309</v>
      </c>
      <c r="CY2" s="29" t="s">
        <v>307</v>
      </c>
      <c r="DA2" s="29" t="s">
        <v>0</v>
      </c>
      <c r="DB2" s="29" t="s">
        <v>1</v>
      </c>
      <c r="DC2" s="29" t="s">
        <v>307</v>
      </c>
      <c r="DD2" s="29" t="s">
        <v>308</v>
      </c>
      <c r="DE2" s="29" t="s">
        <v>221</v>
      </c>
      <c r="DG2" s="29" t="s">
        <v>0</v>
      </c>
      <c r="DH2" s="29" t="s">
        <v>1</v>
      </c>
      <c r="DI2" s="29"/>
      <c r="DJ2" s="29" t="s">
        <v>221</v>
      </c>
      <c r="DK2" s="29" t="s">
        <v>309</v>
      </c>
      <c r="DL2" s="29" t="s">
        <v>307</v>
      </c>
      <c r="DN2" s="29" t="s">
        <v>0</v>
      </c>
      <c r="DO2" s="29" t="s">
        <v>1</v>
      </c>
      <c r="DP2" s="29" t="s">
        <v>307</v>
      </c>
      <c r="DQ2" s="29" t="s">
        <v>308</v>
      </c>
      <c r="DR2" s="29" t="s">
        <v>221</v>
      </c>
      <c r="DT2" s="29" t="s">
        <v>0</v>
      </c>
      <c r="DU2" s="29" t="s">
        <v>1</v>
      </c>
      <c r="DV2" s="29"/>
      <c r="DW2" s="29" t="s">
        <v>221</v>
      </c>
      <c r="DX2" s="29" t="s">
        <v>309</v>
      </c>
      <c r="DY2" s="29" t="s">
        <v>307</v>
      </c>
      <c r="EA2" s="29" t="s">
        <v>0</v>
      </c>
      <c r="EB2" s="29" t="s">
        <v>1</v>
      </c>
      <c r="EC2" s="29" t="s">
        <v>307</v>
      </c>
      <c r="ED2" s="29" t="s">
        <v>308</v>
      </c>
      <c r="EE2" s="29" t="s">
        <v>221</v>
      </c>
      <c r="EG2" s="29" t="s">
        <v>0</v>
      </c>
      <c r="EH2" s="29" t="s">
        <v>1</v>
      </c>
      <c r="EI2" s="29"/>
      <c r="EJ2" s="29" t="s">
        <v>221</v>
      </c>
      <c r="EK2" s="29" t="s">
        <v>309</v>
      </c>
      <c r="EL2" s="29" t="s">
        <v>307</v>
      </c>
      <c r="EN2" s="29" t="s">
        <v>0</v>
      </c>
      <c r="EO2" s="29" t="s">
        <v>1</v>
      </c>
      <c r="EP2" s="29" t="s">
        <v>307</v>
      </c>
      <c r="EQ2" s="29" t="s">
        <v>308</v>
      </c>
      <c r="ER2" s="29" t="s">
        <v>221</v>
      </c>
      <c r="ET2" s="29" t="s">
        <v>0</v>
      </c>
      <c r="EU2" s="29" t="s">
        <v>1</v>
      </c>
      <c r="EV2" s="29"/>
      <c r="EW2" s="29" t="s">
        <v>221</v>
      </c>
      <c r="EX2" s="29" t="s">
        <v>309</v>
      </c>
      <c r="EY2" s="29" t="s">
        <v>307</v>
      </c>
      <c r="FA2" s="29" t="s">
        <v>0</v>
      </c>
      <c r="FB2" s="29" t="s">
        <v>1</v>
      </c>
      <c r="FC2" s="29" t="s">
        <v>307</v>
      </c>
      <c r="FD2" s="29" t="s">
        <v>308</v>
      </c>
      <c r="FE2" s="29" t="s">
        <v>221</v>
      </c>
      <c r="FG2" s="29" t="s">
        <v>0</v>
      </c>
      <c r="FH2" s="29" t="s">
        <v>1</v>
      </c>
      <c r="FI2" s="29"/>
      <c r="FJ2" s="29" t="s">
        <v>221</v>
      </c>
      <c r="FK2" s="29" t="s">
        <v>309</v>
      </c>
      <c r="FL2" s="29" t="s">
        <v>307</v>
      </c>
      <c r="FN2" s="29" t="s">
        <v>0</v>
      </c>
      <c r="FO2" s="29" t="s">
        <v>1</v>
      </c>
      <c r="FP2" s="29" t="s">
        <v>307</v>
      </c>
      <c r="FQ2" s="29" t="s">
        <v>308</v>
      </c>
      <c r="FR2" s="29" t="s">
        <v>221</v>
      </c>
      <c r="FT2" s="29" t="s">
        <v>0</v>
      </c>
      <c r="FU2" s="29" t="s">
        <v>1</v>
      </c>
      <c r="FV2" s="29"/>
      <c r="FW2" s="29" t="s">
        <v>221</v>
      </c>
      <c r="FX2" s="29" t="s">
        <v>309</v>
      </c>
      <c r="FY2" s="29" t="s">
        <v>307</v>
      </c>
      <c r="GA2" s="29" t="s">
        <v>0</v>
      </c>
      <c r="GB2" s="29" t="s">
        <v>1</v>
      </c>
      <c r="GC2" s="29" t="s">
        <v>307</v>
      </c>
      <c r="GD2" s="29" t="s">
        <v>308</v>
      </c>
      <c r="GE2" s="29" t="s">
        <v>221</v>
      </c>
      <c r="GG2" s="29" t="s">
        <v>0</v>
      </c>
      <c r="GH2" s="29" t="s">
        <v>1</v>
      </c>
      <c r="GI2" s="29"/>
      <c r="GJ2" s="29" t="s">
        <v>221</v>
      </c>
      <c r="GK2" s="29" t="s">
        <v>309</v>
      </c>
      <c r="GL2" s="29" t="s">
        <v>307</v>
      </c>
      <c r="GN2" s="29" t="s">
        <v>0</v>
      </c>
      <c r="GO2" s="29" t="s">
        <v>1</v>
      </c>
      <c r="GP2" s="29" t="s">
        <v>307</v>
      </c>
      <c r="GQ2" s="29" t="s">
        <v>308</v>
      </c>
      <c r="GR2" s="29" t="s">
        <v>221</v>
      </c>
      <c r="GT2" s="29" t="s">
        <v>0</v>
      </c>
      <c r="GU2" s="29" t="s">
        <v>1</v>
      </c>
      <c r="GV2" s="29"/>
      <c r="GW2" s="29" t="s">
        <v>221</v>
      </c>
      <c r="GX2" s="29" t="s">
        <v>309</v>
      </c>
      <c r="GY2" s="29" t="s">
        <v>307</v>
      </c>
      <c r="HA2" s="29" t="s">
        <v>0</v>
      </c>
      <c r="HB2" s="29" t="s">
        <v>1</v>
      </c>
      <c r="HC2" s="29" t="s">
        <v>307</v>
      </c>
      <c r="HD2" s="29" t="s">
        <v>308</v>
      </c>
      <c r="HE2" s="29" t="s">
        <v>221</v>
      </c>
      <c r="HF2" s="1"/>
      <c r="HG2" s="29" t="s">
        <v>0</v>
      </c>
      <c r="HH2" s="29" t="s">
        <v>1</v>
      </c>
      <c r="HI2" s="29"/>
      <c r="HJ2" s="29" t="s">
        <v>221</v>
      </c>
      <c r="HK2" s="29" t="s">
        <v>309</v>
      </c>
      <c r="HL2" s="29" t="s">
        <v>307</v>
      </c>
      <c r="HN2" s="29" t="s">
        <v>0</v>
      </c>
      <c r="HO2" s="29" t="s">
        <v>1</v>
      </c>
      <c r="HP2" s="29" t="s">
        <v>307</v>
      </c>
      <c r="HQ2" s="29" t="s">
        <v>308</v>
      </c>
      <c r="HR2" s="29" t="s">
        <v>221</v>
      </c>
      <c r="HT2" s="29" t="s">
        <v>0</v>
      </c>
      <c r="HU2" s="29" t="s">
        <v>1</v>
      </c>
      <c r="HV2" s="29"/>
      <c r="HW2" s="29" t="s">
        <v>221</v>
      </c>
      <c r="HX2" s="29" t="s">
        <v>309</v>
      </c>
      <c r="HY2" s="29" t="s">
        <v>307</v>
      </c>
      <c r="IA2" s="29" t="s">
        <v>0</v>
      </c>
      <c r="IB2" s="29" t="s">
        <v>1</v>
      </c>
      <c r="IC2" s="29" t="s">
        <v>307</v>
      </c>
      <c r="ID2" s="29" t="s">
        <v>308</v>
      </c>
      <c r="IE2" s="29" t="s">
        <v>221</v>
      </c>
      <c r="IG2" s="29" t="s">
        <v>0</v>
      </c>
      <c r="IH2" s="29" t="s">
        <v>1</v>
      </c>
      <c r="II2" s="29"/>
      <c r="IJ2" s="29" t="s">
        <v>221</v>
      </c>
      <c r="IK2" s="29" t="s">
        <v>309</v>
      </c>
      <c r="IL2" s="29" t="s">
        <v>307</v>
      </c>
      <c r="IN2" s="29" t="s">
        <v>0</v>
      </c>
      <c r="IO2" s="29" t="s">
        <v>1</v>
      </c>
      <c r="IP2" s="29" t="s">
        <v>307</v>
      </c>
      <c r="IQ2" s="29" t="s">
        <v>308</v>
      </c>
      <c r="IR2" s="29" t="s">
        <v>221</v>
      </c>
      <c r="IT2" s="29" t="s">
        <v>0</v>
      </c>
      <c r="IU2" s="29" t="s">
        <v>1</v>
      </c>
      <c r="IV2" s="29"/>
      <c r="IW2" s="29" t="s">
        <v>221</v>
      </c>
      <c r="IX2" s="29" t="s">
        <v>309</v>
      </c>
      <c r="IY2" s="29" t="s">
        <v>307</v>
      </c>
      <c r="JA2" s="29" t="s">
        <v>0</v>
      </c>
      <c r="JB2" s="29" t="s">
        <v>1</v>
      </c>
      <c r="JC2" s="29" t="s">
        <v>307</v>
      </c>
      <c r="JD2" s="29" t="s">
        <v>308</v>
      </c>
      <c r="JE2" s="29" t="s">
        <v>221</v>
      </c>
      <c r="JG2" s="29" t="s">
        <v>0</v>
      </c>
      <c r="JH2" s="29" t="s">
        <v>1</v>
      </c>
      <c r="JI2" s="29"/>
      <c r="JJ2" s="29" t="s">
        <v>221</v>
      </c>
      <c r="JK2" s="29" t="s">
        <v>309</v>
      </c>
      <c r="JL2" s="29" t="s">
        <v>307</v>
      </c>
      <c r="JN2" s="29" t="s">
        <v>0</v>
      </c>
      <c r="JO2" s="29" t="s">
        <v>1</v>
      </c>
      <c r="JP2" s="29" t="s">
        <v>307</v>
      </c>
      <c r="JQ2" s="29" t="s">
        <v>308</v>
      </c>
      <c r="JR2" s="29" t="s">
        <v>221</v>
      </c>
      <c r="JT2" s="29" t="s">
        <v>0</v>
      </c>
      <c r="JU2" s="29" t="s">
        <v>1</v>
      </c>
      <c r="JV2" s="29"/>
      <c r="JW2" s="29" t="s">
        <v>221</v>
      </c>
      <c r="JX2" s="29" t="s">
        <v>309</v>
      </c>
      <c r="JY2" s="29" t="s">
        <v>307</v>
      </c>
      <c r="KA2" s="29" t="s">
        <v>0</v>
      </c>
      <c r="KB2" s="29" t="s">
        <v>1</v>
      </c>
      <c r="KC2" s="29" t="s">
        <v>307</v>
      </c>
      <c r="KD2" s="29" t="s">
        <v>308</v>
      </c>
      <c r="KE2" s="29" t="s">
        <v>221</v>
      </c>
      <c r="KG2" s="29" t="s">
        <v>0</v>
      </c>
      <c r="KH2" s="29" t="s">
        <v>1</v>
      </c>
      <c r="KI2" s="29"/>
      <c r="KJ2" s="29" t="s">
        <v>221</v>
      </c>
      <c r="KK2" s="29" t="s">
        <v>309</v>
      </c>
      <c r="KL2" s="29" t="s">
        <v>307</v>
      </c>
      <c r="KN2" s="29" t="s">
        <v>0</v>
      </c>
      <c r="KO2" s="29" t="s">
        <v>1</v>
      </c>
      <c r="KP2" s="29" t="s">
        <v>307</v>
      </c>
      <c r="KQ2" s="29" t="s">
        <v>308</v>
      </c>
      <c r="KR2" s="29" t="s">
        <v>221</v>
      </c>
      <c r="KT2" s="29" t="s">
        <v>0</v>
      </c>
      <c r="KU2" s="29" t="s">
        <v>1</v>
      </c>
      <c r="KV2" s="29"/>
      <c r="KW2" s="29" t="s">
        <v>221</v>
      </c>
      <c r="KX2" s="29" t="s">
        <v>309</v>
      </c>
      <c r="KY2" s="29" t="s">
        <v>307</v>
      </c>
      <c r="LA2" s="29" t="s">
        <v>0</v>
      </c>
      <c r="LB2" s="29" t="s">
        <v>1</v>
      </c>
      <c r="LC2" s="29" t="s">
        <v>307</v>
      </c>
      <c r="LD2" s="29" t="s">
        <v>308</v>
      </c>
      <c r="LE2" s="29" t="s">
        <v>221</v>
      </c>
      <c r="LG2" s="29" t="s">
        <v>0</v>
      </c>
      <c r="LH2" s="29" t="s">
        <v>1</v>
      </c>
      <c r="LI2" s="29"/>
      <c r="LJ2" s="29" t="s">
        <v>221</v>
      </c>
      <c r="LK2" s="29" t="s">
        <v>309</v>
      </c>
      <c r="LL2" s="29" t="s">
        <v>307</v>
      </c>
      <c r="LN2" s="29" t="s">
        <v>0</v>
      </c>
      <c r="LO2" s="29" t="s">
        <v>1</v>
      </c>
      <c r="LP2" s="29" t="s">
        <v>307</v>
      </c>
      <c r="LQ2" s="29" t="s">
        <v>308</v>
      </c>
      <c r="LR2" s="29" t="s">
        <v>221</v>
      </c>
      <c r="LT2" s="29" t="s">
        <v>0</v>
      </c>
      <c r="LU2" s="29" t="s">
        <v>1</v>
      </c>
      <c r="LV2" s="29"/>
      <c r="LW2" s="29" t="s">
        <v>221</v>
      </c>
      <c r="LX2" s="29" t="s">
        <v>309</v>
      </c>
      <c r="LY2" s="29" t="s">
        <v>307</v>
      </c>
      <c r="MA2" s="29" t="s">
        <v>0</v>
      </c>
      <c r="MB2" s="29" t="s">
        <v>1</v>
      </c>
      <c r="MC2" s="29" t="s">
        <v>307</v>
      </c>
      <c r="MD2" s="29" t="s">
        <v>308</v>
      </c>
      <c r="ME2" s="29" t="s">
        <v>221</v>
      </c>
      <c r="MG2" s="29" t="s">
        <v>0</v>
      </c>
      <c r="MH2" s="29" t="s">
        <v>1</v>
      </c>
      <c r="MI2" s="29"/>
      <c r="MJ2" s="29" t="s">
        <v>221</v>
      </c>
      <c r="MK2" s="29" t="s">
        <v>309</v>
      </c>
      <c r="ML2" s="29" t="s">
        <v>307</v>
      </c>
      <c r="MN2" s="29" t="s">
        <v>0</v>
      </c>
      <c r="MO2" s="29" t="s">
        <v>1</v>
      </c>
      <c r="MP2" s="29" t="s">
        <v>307</v>
      </c>
      <c r="MQ2" s="29" t="s">
        <v>308</v>
      </c>
      <c r="MR2" s="29" t="s">
        <v>221</v>
      </c>
      <c r="MS2" s="1"/>
      <c r="MT2" s="29" t="s">
        <v>0</v>
      </c>
      <c r="MU2" s="29" t="s">
        <v>1</v>
      </c>
      <c r="MV2" s="29"/>
      <c r="MW2" s="29" t="s">
        <v>221</v>
      </c>
      <c r="MX2" s="29" t="s">
        <v>309</v>
      </c>
      <c r="MY2" s="29" t="s">
        <v>307</v>
      </c>
      <c r="NA2" s="29" t="s">
        <v>0</v>
      </c>
      <c r="NB2" s="29" t="s">
        <v>1</v>
      </c>
      <c r="NC2" s="29" t="s">
        <v>307</v>
      </c>
      <c r="ND2" s="29" t="s">
        <v>308</v>
      </c>
      <c r="NE2" s="29" t="s">
        <v>221</v>
      </c>
      <c r="NG2" s="29" t="s">
        <v>0</v>
      </c>
      <c r="NH2" s="29" t="s">
        <v>1</v>
      </c>
      <c r="NI2" s="29"/>
      <c r="NJ2" s="29" t="s">
        <v>221</v>
      </c>
      <c r="NK2" s="29" t="s">
        <v>309</v>
      </c>
      <c r="NL2" s="29" t="s">
        <v>307</v>
      </c>
      <c r="NN2" s="29" t="s">
        <v>0</v>
      </c>
      <c r="NO2" s="29" t="s">
        <v>1</v>
      </c>
      <c r="NP2" s="29" t="s">
        <v>307</v>
      </c>
      <c r="NQ2" s="29" t="s">
        <v>308</v>
      </c>
      <c r="NR2" s="29" t="s">
        <v>221</v>
      </c>
      <c r="NT2" s="29" t="s">
        <v>0</v>
      </c>
      <c r="NU2" s="29" t="s">
        <v>1</v>
      </c>
      <c r="NV2" s="29"/>
      <c r="NW2" s="29" t="s">
        <v>221</v>
      </c>
      <c r="NX2" s="29" t="s">
        <v>309</v>
      </c>
      <c r="NY2" s="29" t="s">
        <v>307</v>
      </c>
      <c r="OA2" s="29" t="s">
        <v>0</v>
      </c>
      <c r="OB2" s="29" t="s">
        <v>1</v>
      </c>
      <c r="OC2" s="29" t="s">
        <v>307</v>
      </c>
      <c r="OD2" s="29" t="s">
        <v>308</v>
      </c>
      <c r="OE2" s="29" t="s">
        <v>221</v>
      </c>
      <c r="OG2" s="29" t="s">
        <v>0</v>
      </c>
      <c r="OH2" s="29" t="s">
        <v>1</v>
      </c>
      <c r="OI2" s="29"/>
      <c r="OJ2" s="29" t="s">
        <v>221</v>
      </c>
      <c r="OK2" s="29" t="s">
        <v>309</v>
      </c>
      <c r="OL2" s="29" t="s">
        <v>307</v>
      </c>
      <c r="ON2" s="29" t="s">
        <v>0</v>
      </c>
      <c r="OO2" s="29" t="s">
        <v>1</v>
      </c>
      <c r="OP2" s="29" t="s">
        <v>307</v>
      </c>
      <c r="OQ2" s="29" t="s">
        <v>308</v>
      </c>
      <c r="OR2" s="29" t="s">
        <v>221</v>
      </c>
      <c r="OT2" s="29" t="s">
        <v>0</v>
      </c>
      <c r="OU2" s="29" t="s">
        <v>1</v>
      </c>
      <c r="OV2" s="29"/>
      <c r="OW2" s="29" t="s">
        <v>221</v>
      </c>
      <c r="OX2" s="29" t="s">
        <v>309</v>
      </c>
      <c r="OY2" s="29" t="s">
        <v>307</v>
      </c>
      <c r="PA2" s="29" t="s">
        <v>0</v>
      </c>
      <c r="PB2" s="29" t="s">
        <v>1</v>
      </c>
      <c r="PC2" s="29" t="s">
        <v>307</v>
      </c>
      <c r="PD2" s="29" t="s">
        <v>308</v>
      </c>
      <c r="PE2" s="29" t="s">
        <v>221</v>
      </c>
      <c r="PG2" s="29" t="s">
        <v>0</v>
      </c>
      <c r="PH2" s="29" t="s">
        <v>1</v>
      </c>
      <c r="PI2" s="29"/>
      <c r="PJ2" s="29" t="s">
        <v>221</v>
      </c>
      <c r="PK2" s="29" t="s">
        <v>309</v>
      </c>
      <c r="PL2" s="29" t="s">
        <v>307</v>
      </c>
      <c r="PN2" s="29" t="s">
        <v>0</v>
      </c>
      <c r="PO2" s="29" t="s">
        <v>1</v>
      </c>
      <c r="PP2" s="29" t="s">
        <v>307</v>
      </c>
      <c r="PQ2" s="29" t="s">
        <v>308</v>
      </c>
      <c r="PR2" s="29" t="s">
        <v>221</v>
      </c>
      <c r="PT2" s="29" t="s">
        <v>0</v>
      </c>
      <c r="PU2" s="29" t="s">
        <v>1</v>
      </c>
      <c r="PV2" s="29"/>
      <c r="PW2" s="29" t="s">
        <v>221</v>
      </c>
      <c r="PX2" s="29" t="s">
        <v>309</v>
      </c>
      <c r="PY2" s="29" t="s">
        <v>307</v>
      </c>
      <c r="QA2" s="29" t="s">
        <v>0</v>
      </c>
      <c r="QB2" s="29" t="s">
        <v>1</v>
      </c>
      <c r="QC2" s="29" t="s">
        <v>307</v>
      </c>
      <c r="QD2" s="29" t="s">
        <v>308</v>
      </c>
      <c r="QE2" s="29" t="s">
        <v>221</v>
      </c>
      <c r="QG2" s="29" t="s">
        <v>0</v>
      </c>
      <c r="QH2" s="29" t="s">
        <v>1</v>
      </c>
      <c r="QI2" s="29"/>
      <c r="QJ2" s="29" t="s">
        <v>221</v>
      </c>
      <c r="QK2" s="29" t="s">
        <v>309</v>
      </c>
      <c r="QL2" s="29" t="s">
        <v>307</v>
      </c>
      <c r="QN2" s="29" t="s">
        <v>0</v>
      </c>
      <c r="QO2" s="29" t="s">
        <v>1</v>
      </c>
      <c r="QP2" s="29" t="s">
        <v>307</v>
      </c>
      <c r="QQ2" s="29" t="s">
        <v>308</v>
      </c>
      <c r="QR2" s="29" t="s">
        <v>221</v>
      </c>
      <c r="QT2" s="29" t="s">
        <v>0</v>
      </c>
      <c r="QU2" s="29" t="s">
        <v>1</v>
      </c>
      <c r="QV2" s="29"/>
      <c r="QW2" s="29" t="s">
        <v>221</v>
      </c>
      <c r="QX2" s="29" t="s">
        <v>309</v>
      </c>
      <c r="QY2" s="29" t="s">
        <v>307</v>
      </c>
      <c r="RA2" s="29" t="s">
        <v>0</v>
      </c>
      <c r="RB2" s="29" t="s">
        <v>1</v>
      </c>
      <c r="RC2" s="29" t="s">
        <v>307</v>
      </c>
      <c r="RD2" s="29" t="s">
        <v>308</v>
      </c>
      <c r="RE2" s="29" t="s">
        <v>221</v>
      </c>
      <c r="RG2" s="29" t="s">
        <v>0</v>
      </c>
      <c r="RH2" s="29" t="s">
        <v>1</v>
      </c>
      <c r="RI2" s="29"/>
      <c r="RJ2" s="29" t="s">
        <v>221</v>
      </c>
      <c r="RK2" s="29" t="s">
        <v>309</v>
      </c>
      <c r="RL2" s="29" t="s">
        <v>307</v>
      </c>
      <c r="RN2" s="29" t="s">
        <v>0</v>
      </c>
      <c r="RO2" s="29" t="s">
        <v>1</v>
      </c>
      <c r="RP2" s="29" t="s">
        <v>307</v>
      </c>
      <c r="RQ2" s="29" t="s">
        <v>308</v>
      </c>
      <c r="RR2" s="29" t="s">
        <v>221</v>
      </c>
      <c r="RT2" s="29" t="s">
        <v>0</v>
      </c>
      <c r="RU2" s="29" t="s">
        <v>1</v>
      </c>
      <c r="RV2" s="29"/>
      <c r="RW2" s="29" t="s">
        <v>221</v>
      </c>
      <c r="RX2" s="29" t="s">
        <v>309</v>
      </c>
      <c r="RY2" s="29" t="s">
        <v>307</v>
      </c>
      <c r="SA2" s="29" t="s">
        <v>0</v>
      </c>
      <c r="SB2" s="29" t="s">
        <v>1</v>
      </c>
      <c r="SC2" s="29" t="s">
        <v>307</v>
      </c>
      <c r="SD2" s="29" t="s">
        <v>308</v>
      </c>
      <c r="SE2" s="29" t="s">
        <v>221</v>
      </c>
      <c r="SG2" s="29" t="s">
        <v>0</v>
      </c>
      <c r="SH2" s="29" t="s">
        <v>1</v>
      </c>
      <c r="SI2" s="29"/>
      <c r="SJ2" s="29" t="s">
        <v>221</v>
      </c>
      <c r="SK2" s="29" t="s">
        <v>309</v>
      </c>
      <c r="SL2" s="29" t="s">
        <v>307</v>
      </c>
      <c r="SN2" s="29" t="s">
        <v>0</v>
      </c>
      <c r="SO2" s="29" t="s">
        <v>1</v>
      </c>
      <c r="SP2" s="29" t="s">
        <v>307</v>
      </c>
      <c r="SQ2" s="29" t="s">
        <v>308</v>
      </c>
      <c r="SR2" s="29" t="s">
        <v>221</v>
      </c>
      <c r="ST2" s="29" t="s">
        <v>0</v>
      </c>
      <c r="SU2" s="29" t="s">
        <v>1</v>
      </c>
      <c r="SV2" s="29"/>
      <c r="SW2" s="29" t="s">
        <v>221</v>
      </c>
      <c r="SX2" s="29" t="s">
        <v>309</v>
      </c>
      <c r="SY2" s="29" t="s">
        <v>307</v>
      </c>
      <c r="TA2" s="29" t="s">
        <v>0</v>
      </c>
      <c r="TB2" s="29" t="s">
        <v>1</v>
      </c>
      <c r="TC2" s="29"/>
      <c r="TD2" s="29" t="s">
        <v>310</v>
      </c>
    </row>
    <row r="3" spans="1:524" ht="20.100000000000001" customHeight="1">
      <c r="A3" s="27" cm="1">
        <f t="array" aca="1" ref="A3:A26" ca="1">_xlfn.SEQUENCE(ROWS(_xlfn.ANCHORARRAY(B3)))</f>
        <v>1</v>
      </c>
      <c r="B3" s="30" t="str" cm="1">
        <f t="array" aca="1" ref="B3:B26" ca="1">OFFSET('TT Qualifications'!CN2,0,0,'Main Hub'!O3)</f>
        <v>KVD</v>
      </c>
      <c r="C3" s="30">
        <v>1</v>
      </c>
      <c r="D3" s="13"/>
      <c r="E3" s="57">
        <v>0</v>
      </c>
      <c r="G3" s="29" cm="1">
        <f t="array" aca="1" ref="G3:G26" ca="1">_xlfn.SEQUENCE(ROWS(_xlfn.ANCHORARRAY(H3)))</f>
        <v>1</v>
      </c>
      <c r="H3" s="30" t="str" cm="1">
        <f t="array" aca="1" ref="H3:H26" ca="1">_xlfn.SORTBY(_xlfn.ANCHORARRAY(B3),OFFSET(_xlfn.ANCHORARRAY(B3),0,3))</f>
        <v>KVD</v>
      </c>
      <c r="I3" s="30" t="e" cm="1" vm="12">
        <f t="array" aca="1" ref="I3:I26" ca="1">_xlfn.XLOOKUP(_xlfn.ANCHORARRAY(H3),Registration[Nickname],_FV(Registration[Country],"Image"))</f>
        <v>#VALUE!</v>
      </c>
      <c r="J3" s="53" t="e" cm="1">
        <f t="array" aca="1" ref="J3:J26" ca="1">SUBSTITUTE(SUBSTITUTE(TEXT((INT(_xlfn._xlws.SORT(OFFSET(_xlfn.ANCHORARRAY(B3),0,3),1)/10000)*6000+_xlfn.NUMBERVALUE(RIGHT(_xlfn._xlws.SORT(OFFSET(_xlfn.ANCHORARRAY(B3),0,3),1),4)))/8640000,"mm:ss,00"),":","'"),",","""")</f>
        <v>#VALUE!</v>
      </c>
      <c r="K3" s="13"/>
      <c r="L3" s="30" cm="1">
        <f t="array" aca="1" ref="L3:L26" ca="1">_xlfn.XLOOKUP(_xlfn.ANCHORARRAY(H3),_xlfn.ANCHORARRAY(B3),OFFSET(_xlfn.ANCHORARRAY(B3),0,1))+_xlfn.XLOOKUP(_xlfn.ANCHORARRAY(H3),_xlfn.ANCHORARRAY(B3),OFFSET(_xlfn.ANCHORARRAY(B3),0,2))-OFFSET(_xlfn.ANCHORARRAY(H3),0,3)</f>
        <v>1</v>
      </c>
      <c r="N3" s="27" cm="1">
        <f t="array" aca="1" ref="N3:N26" ca="1">_xlfn.SEQUENCE(ROWS(_xlfn.ANCHORARRAY(O3)))</f>
        <v>1</v>
      </c>
      <c r="O3" s="30" t="str" cm="1">
        <f t="array" aca="1" ref="O3:O26" ca="1">_xlfn.SORTBY(_xlfn.ANCHORARRAY(H3),_xlfn.ANCHORARRAY(L3),-1)</f>
        <v>KVD</v>
      </c>
      <c r="P3" s="30" cm="1">
        <f t="array" aca="1" ref="P3:P26" ca="1">_xlfn._xlws.SORT(_xlfn.ANCHORARRAY(L3),1,-1)</f>
        <v>1</v>
      </c>
      <c r="Q3" s="13"/>
      <c r="R3" s="13">
        <v>0</v>
      </c>
      <c r="T3" s="29" cm="1">
        <f t="array" aca="1" ref="T3:T26" ca="1">_xlfn.SEQUENCE(ROWS(_xlfn.ANCHORARRAY(U3)))</f>
        <v>1</v>
      </c>
      <c r="U3" s="30" t="str" cm="1">
        <f t="array" aca="1" ref="U3:U26" ca="1">_xlfn.SORTBY(_xlfn.ANCHORARRAY(O3),OFFSET(_xlfn.ANCHORARRAY(O3),0,3))</f>
        <v>KVD</v>
      </c>
      <c r="V3" s="30" t="e" cm="1" vm="12">
        <f t="array" aca="1" ref="V3:V26" ca="1">_xlfn.XLOOKUP(_xlfn.ANCHORARRAY(U3),Registration[Nickname],_FV(Registration[Country],"Image"))</f>
        <v>#VALUE!</v>
      </c>
      <c r="W3" s="30" t="e" cm="1">
        <f t="array" aca="1" ref="W3:W26" ca="1">SUBSTITUTE(SUBSTITUTE(TEXT((INT(_xlfn._xlws.SORT(OFFSET(_xlfn.ANCHORARRAY(O3),0,3),1)/10000)*6000+_xlfn.NUMBERVALUE(RIGHT(_xlfn._xlws.SORT(OFFSET(_xlfn.ANCHORARRAY(O3),0,3),1),4)))/8640000,"mm:ss,00"),":","'"),",","""")</f>
        <v>#VALUE!</v>
      </c>
      <c r="X3" s="13"/>
      <c r="Y3" s="30" cm="1">
        <f t="array" aca="1" ref="Y3:Y26" ca="1">_xlfn.XLOOKUP(_xlfn.ANCHORARRAY(U3),_xlfn.ANCHORARRAY(O3),OFFSET(_xlfn.ANCHORARRAY(O3),0,1))+_xlfn.XLOOKUP(_xlfn.ANCHORARRAY(U3),_xlfn.ANCHORARRAY(O3),OFFSET(_xlfn.ANCHORARRAY(O3),0,2))-OFFSET(_xlfn.ANCHORARRAY(U3),0,3)</f>
        <v>1</v>
      </c>
      <c r="AA3" s="27" cm="1">
        <f t="array" aca="1" ref="AA3:AA26" ca="1">_xlfn.SEQUENCE(ROWS(_xlfn.ANCHORARRAY(AB3)))</f>
        <v>1</v>
      </c>
      <c r="AB3" s="30" t="str" cm="1">
        <f t="array" aca="1" ref="AB3:AB26" ca="1">_xlfn.SORTBY(_xlfn.ANCHORARRAY(U3),_xlfn.ANCHORARRAY(Y3),-1)</f>
        <v>KVD</v>
      </c>
      <c r="AC3" s="30" cm="1">
        <f t="array" aca="1" ref="AC3:AC26" ca="1">_xlfn._xlws.SORT(_xlfn.ANCHORARRAY(Y3),1,-1)</f>
        <v>1</v>
      </c>
      <c r="AD3" s="13"/>
      <c r="AE3" s="13">
        <v>0</v>
      </c>
      <c r="AG3" s="29" cm="1">
        <f t="array" aca="1" ref="AG3:AG26" ca="1">_xlfn.SEQUENCE(ROWS(_xlfn.ANCHORARRAY(AH3)))</f>
        <v>1</v>
      </c>
      <c r="AH3" s="30" t="str" cm="1">
        <f t="array" aca="1" ref="AH3:AH26" ca="1">_xlfn.SORTBY(_xlfn.ANCHORARRAY(AB3),OFFSET(_xlfn.ANCHORARRAY(AB3),0,3))</f>
        <v>KVD</v>
      </c>
      <c r="AI3" s="30" t="e" cm="1" vm="12">
        <f t="array" aca="1" ref="AI3:AI26" ca="1">_xlfn.XLOOKUP(_xlfn.ANCHORARRAY(AH3),Registration[Nickname],_FV(Registration[Country],"Image"))</f>
        <v>#VALUE!</v>
      </c>
      <c r="AJ3" s="30" t="e" cm="1">
        <f t="array" aca="1" ref="AJ3:AJ26" ca="1">SUBSTITUTE(SUBSTITUTE(TEXT((INT(_xlfn._xlws.SORT(OFFSET(_xlfn.ANCHORARRAY(AB3),0,3),1)/10000)*6000+_xlfn.NUMBERVALUE(RIGHT(_xlfn._xlws.SORT(OFFSET(_xlfn.ANCHORARRAY(AB3),0,3),1),4)))/8640000,"mm:ss,00"),":","'"),",","""")</f>
        <v>#VALUE!</v>
      </c>
      <c r="AK3" s="13"/>
      <c r="AL3" s="30" cm="1">
        <f t="array" aca="1" ref="AL3:AL26" ca="1">_xlfn.XLOOKUP(_xlfn.ANCHORARRAY(AH3),_xlfn.ANCHORARRAY(AB3),OFFSET(_xlfn.ANCHORARRAY(AB3),0,1))+_xlfn.XLOOKUP(_xlfn.ANCHORARRAY(AH3),_xlfn.ANCHORARRAY(AB3),OFFSET(_xlfn.ANCHORARRAY(AB3),0,2))-OFFSET(_xlfn.ANCHORARRAY(AH3),0,3)</f>
        <v>1</v>
      </c>
      <c r="AN3" s="27" cm="1">
        <f t="array" aca="1" ref="AN3:AN26" ca="1">_xlfn.SEQUENCE(ROWS(_xlfn.ANCHORARRAY(AO3)))</f>
        <v>1</v>
      </c>
      <c r="AO3" s="30" t="str" cm="1">
        <f t="array" aca="1" ref="AO3:AO26" ca="1">_xlfn.SORTBY(_xlfn.ANCHORARRAY(AH3),_xlfn.ANCHORARRAY(AL3),-1)</f>
        <v>KVD</v>
      </c>
      <c r="AP3" s="30" cm="1">
        <f t="array" aca="1" ref="AP3:AP26" ca="1">_xlfn._xlws.SORT(_xlfn.ANCHORARRAY(AL3),1,-1)</f>
        <v>1</v>
      </c>
      <c r="AQ3" s="13"/>
      <c r="AR3" s="13">
        <v>0</v>
      </c>
      <c r="AT3" s="29" cm="1">
        <f t="array" aca="1" ref="AT3:AT26" ca="1">_xlfn.SEQUENCE(ROWS(_xlfn.ANCHORARRAY(AU3)))</f>
        <v>1</v>
      </c>
      <c r="AU3" s="30" t="str" cm="1">
        <f t="array" aca="1" ref="AU3:AU26" ca="1">_xlfn.SORTBY(_xlfn.ANCHORARRAY(AO3),OFFSET(_xlfn.ANCHORARRAY(AO3),0,3))</f>
        <v>KVD</v>
      </c>
      <c r="AV3" s="30" t="e" cm="1" vm="12">
        <f t="array" aca="1" ref="AV3:AV26" ca="1">_xlfn.XLOOKUP(_xlfn.ANCHORARRAY(AU3),Registration[Nickname],_FV(Registration[Country],"Image"))</f>
        <v>#VALUE!</v>
      </c>
      <c r="AW3" s="30" t="e" cm="1">
        <f t="array" aca="1" ref="AW3:AW26" ca="1">SUBSTITUTE(SUBSTITUTE(TEXT((INT(_xlfn._xlws.SORT(OFFSET(_xlfn.ANCHORARRAY(AO3),0,3),1)/10000)*6000+_xlfn.NUMBERVALUE(RIGHT(_xlfn._xlws.SORT(OFFSET(_xlfn.ANCHORARRAY(AO3),0,3),1),4)))/8640000,"mm:ss,00"),":","'"),",","""")</f>
        <v>#VALUE!</v>
      </c>
      <c r="AX3" s="13"/>
      <c r="AY3" s="30" cm="1">
        <f t="array" aca="1" ref="AY3:AY26" ca="1">_xlfn.XLOOKUP(_xlfn.ANCHORARRAY(AU3),_xlfn.ANCHORARRAY(AO3),OFFSET(_xlfn.ANCHORARRAY(AO3),0,1))+_xlfn.XLOOKUP(_xlfn.ANCHORARRAY(AU3),_xlfn.ANCHORARRAY(AO3),OFFSET(_xlfn.ANCHORARRAY(AO3),0,2))-OFFSET(_xlfn.ANCHORARRAY(AU3),0,3)</f>
        <v>1</v>
      </c>
      <c r="BA3" s="27" cm="1">
        <f t="array" aca="1" ref="BA3:BA26" ca="1">_xlfn.SEQUENCE(ROWS(_xlfn.ANCHORARRAY(BB3)))</f>
        <v>1</v>
      </c>
      <c r="BB3" s="30" t="str" cm="1">
        <f t="array" aca="1" ref="BB3:BB26" ca="1">_xlfn.SORTBY(_xlfn.ANCHORARRAY(AU3),_xlfn.ANCHORARRAY(AY3),-1)</f>
        <v>KVD</v>
      </c>
      <c r="BC3" s="30" cm="1">
        <f t="array" aca="1" ref="BC3:BC26" ca="1">_xlfn._xlws.SORT(_xlfn.ANCHORARRAY(AY3),1,-1)</f>
        <v>1</v>
      </c>
      <c r="BD3" s="13"/>
      <c r="BE3" s="13">
        <v>0</v>
      </c>
      <c r="BG3" s="29" cm="1">
        <f t="array" aca="1" ref="BG3:BG26" ca="1">_xlfn.SEQUENCE(ROWS(_xlfn.ANCHORARRAY(BH3)))</f>
        <v>1</v>
      </c>
      <c r="BH3" s="30" t="str" cm="1">
        <f t="array" aca="1" ref="BH3:BH26" ca="1">_xlfn.SORTBY(_xlfn.ANCHORARRAY(BB3),OFFSET(_xlfn.ANCHORARRAY(BB3),0,3))</f>
        <v>KVD</v>
      </c>
      <c r="BI3" s="30" t="e" cm="1" vm="12">
        <f t="array" aca="1" ref="BI3:BI26" ca="1">_xlfn.XLOOKUP(_xlfn.ANCHORARRAY(BH3),Registration[Nickname],_FV(Registration[Country],"Image"))</f>
        <v>#VALUE!</v>
      </c>
      <c r="BJ3" s="30" t="e" cm="1">
        <f t="array" aca="1" ref="BJ3:BJ26" ca="1">SUBSTITUTE(SUBSTITUTE(TEXT((INT(_xlfn._xlws.SORT(OFFSET(_xlfn.ANCHORARRAY(BB3),0,3),1)/10000)*6000+_xlfn.NUMBERVALUE(RIGHT(_xlfn._xlws.SORT(OFFSET(_xlfn.ANCHORARRAY(BB3),0,3),1),4)))/8640000,"mm:ss,00"),":","'"),",","""")</f>
        <v>#VALUE!</v>
      </c>
      <c r="BK3" s="13"/>
      <c r="BL3" s="30" cm="1">
        <f t="array" aca="1" ref="BL3:BL26" ca="1">_xlfn.XLOOKUP(_xlfn.ANCHORARRAY(BH3),_xlfn.ANCHORARRAY(BB3),OFFSET(_xlfn.ANCHORARRAY(BB3),0,1))+_xlfn.XLOOKUP(_xlfn.ANCHORARRAY(BH3),_xlfn.ANCHORARRAY(BB3),OFFSET(_xlfn.ANCHORARRAY(BB3),0,2))-OFFSET(_xlfn.ANCHORARRAY(BH3),0,3)</f>
        <v>1</v>
      </c>
      <c r="BN3" s="27" cm="1">
        <f t="array" aca="1" ref="BN3:BN26" ca="1">_xlfn.SEQUENCE(ROWS(_xlfn.ANCHORARRAY(BO3)))</f>
        <v>1</v>
      </c>
      <c r="BO3" s="30" t="str" cm="1">
        <f t="array" aca="1" ref="BO3:BO26" ca="1">_xlfn.SORTBY(_xlfn.ANCHORARRAY(BH3),_xlfn.ANCHORARRAY(BL3),-1)</f>
        <v>KVD</v>
      </c>
      <c r="BP3" s="30" cm="1">
        <f t="array" aca="1" ref="BP3:BP26" ca="1">_xlfn._xlws.SORT(_xlfn.ANCHORARRAY(BL3),1,-1)</f>
        <v>1</v>
      </c>
      <c r="BQ3" s="13"/>
      <c r="BR3" s="13">
        <v>0</v>
      </c>
      <c r="BS3" s="1"/>
      <c r="BT3" s="29" cm="1">
        <f t="array" aca="1" ref="BT3:BT26" ca="1">_xlfn.SEQUENCE(ROWS(_xlfn.ANCHORARRAY(BU3)))</f>
        <v>1</v>
      </c>
      <c r="BU3" s="30" t="str" cm="1">
        <f t="array" aca="1" ref="BU3:BU26" ca="1">_xlfn.SORTBY(_xlfn.ANCHORARRAY(BO3),OFFSET(_xlfn.ANCHORARRAY(BO3),0,3))</f>
        <v>KVD</v>
      </c>
      <c r="BV3" s="30" t="e" cm="1" vm="12">
        <f t="array" aca="1" ref="BV3:BV26" ca="1">_xlfn.XLOOKUP(_xlfn.ANCHORARRAY(BU3),Registration[Nickname],_FV(Registration[Country],"Image"))</f>
        <v>#VALUE!</v>
      </c>
      <c r="BW3" s="30" t="e" cm="1">
        <f t="array" aca="1" ref="BW3:BW26" ca="1">SUBSTITUTE(SUBSTITUTE(TEXT((INT(_xlfn._xlws.SORT(OFFSET(_xlfn.ANCHORARRAY(BO3),0,3),1)/10000)*6000+_xlfn.NUMBERVALUE(RIGHT(_xlfn._xlws.SORT(OFFSET(_xlfn.ANCHORARRAY(BO3),0,3),1),4)))/8640000,"mm:ss,00"),":","'"),",","""")</f>
        <v>#VALUE!</v>
      </c>
      <c r="BX3" s="13"/>
      <c r="BY3" s="30" cm="1">
        <f t="array" aca="1" ref="BY3:BY26" ca="1">_xlfn.XLOOKUP(_xlfn.ANCHORARRAY(BU3),_xlfn.ANCHORARRAY(BO3),OFFSET(_xlfn.ANCHORARRAY(BO3),0,1))+_xlfn.XLOOKUP(_xlfn.ANCHORARRAY(BU3),_xlfn.ANCHORARRAY(BO3),OFFSET(_xlfn.ANCHORARRAY(BO3),0,2))-OFFSET(_xlfn.ANCHORARRAY(BU3),0,3)</f>
        <v>1</v>
      </c>
      <c r="CA3" s="27" cm="1">
        <f t="array" aca="1" ref="CA3:CA26" ca="1">_xlfn.SEQUENCE(ROWS(_xlfn.ANCHORARRAY(CB3)))</f>
        <v>1</v>
      </c>
      <c r="CB3" s="30" t="str" cm="1">
        <f t="array" aca="1" ref="CB3:CB26" ca="1">_xlfn.SORTBY(_xlfn.ANCHORARRAY(BU3),_xlfn.ANCHORARRAY(BY3),-1)</f>
        <v>KVD</v>
      </c>
      <c r="CC3" s="30" cm="1">
        <f t="array" aca="1" ref="CC3:CC26" ca="1">_xlfn._xlws.SORT(_xlfn.ANCHORARRAY(BY3),1,-1)</f>
        <v>1</v>
      </c>
      <c r="CD3" s="13"/>
      <c r="CE3" s="13">
        <v>0</v>
      </c>
      <c r="CG3" s="29" cm="1">
        <f t="array" aca="1" ref="CG3:CG26" ca="1">_xlfn.SEQUENCE(ROWS(_xlfn.ANCHORARRAY(CH3)))</f>
        <v>1</v>
      </c>
      <c r="CH3" s="30" t="str" cm="1">
        <f t="array" aca="1" ref="CH3:CH26" ca="1">_xlfn.SORTBY(_xlfn.ANCHORARRAY(CB3),OFFSET(_xlfn.ANCHORARRAY(CB3),0,3))</f>
        <v>KVD</v>
      </c>
      <c r="CI3" s="30" t="e" cm="1" vm="12">
        <f t="array" aca="1" ref="CI3:CI26" ca="1">_xlfn.XLOOKUP(_xlfn.ANCHORARRAY(CH3),Registration[Nickname],_FV(Registration[Country],"Image"))</f>
        <v>#VALUE!</v>
      </c>
      <c r="CJ3" s="30" t="e" cm="1">
        <f t="array" aca="1" ref="CJ3:CJ26" ca="1">SUBSTITUTE(SUBSTITUTE(TEXT((INT(_xlfn._xlws.SORT(OFFSET(_xlfn.ANCHORARRAY(CB3),0,3),1)/10000)*6000+_xlfn.NUMBERVALUE(RIGHT(_xlfn._xlws.SORT(OFFSET(_xlfn.ANCHORARRAY(CB3),0,3),1),4)))/8640000,"mm:ss,00"),":","'"),",","""")</f>
        <v>#VALUE!</v>
      </c>
      <c r="CK3" s="13"/>
      <c r="CL3" s="30" cm="1">
        <f t="array" aca="1" ref="CL3:CL26" ca="1">_xlfn.XLOOKUP(_xlfn.ANCHORARRAY(CH3),_xlfn.ANCHORARRAY(CB3),OFFSET(_xlfn.ANCHORARRAY(CB3),0,1))+_xlfn.XLOOKUP(_xlfn.ANCHORARRAY(CH3),_xlfn.ANCHORARRAY(CB3),OFFSET(_xlfn.ANCHORARRAY(CB3),0,2))-OFFSET(_xlfn.ANCHORARRAY(CH3),0,3)</f>
        <v>1</v>
      </c>
      <c r="CN3" s="27" cm="1">
        <f t="array" aca="1" ref="CN3:CN26" ca="1">_xlfn.SEQUENCE(ROWS(_xlfn.ANCHORARRAY(CO3)))</f>
        <v>1</v>
      </c>
      <c r="CO3" s="30" t="str" cm="1">
        <f t="array" aca="1" ref="CO3:CO26" ca="1">_xlfn.SORTBY(_xlfn.ANCHORARRAY(CH3),_xlfn.ANCHORARRAY(CL3),-1)</f>
        <v>KVD</v>
      </c>
      <c r="CP3" s="30" cm="1">
        <f t="array" aca="1" ref="CP3:CP26" ca="1">_xlfn._xlws.SORT(_xlfn.ANCHORARRAY(CL3),1,-1)</f>
        <v>1</v>
      </c>
      <c r="CQ3" s="13"/>
      <c r="CR3" s="13">
        <v>0</v>
      </c>
      <c r="CT3" s="29" cm="1">
        <f t="array" aca="1" ref="CT3:CT26" ca="1">_xlfn.SEQUENCE(ROWS(_xlfn.ANCHORARRAY(CU3)))</f>
        <v>1</v>
      </c>
      <c r="CU3" s="30" t="str" cm="1">
        <f t="array" aca="1" ref="CU3:CU26" ca="1">_xlfn.SORTBY(_xlfn.ANCHORARRAY(CO3),OFFSET(_xlfn.ANCHORARRAY(CO3),0,3))</f>
        <v>KVD</v>
      </c>
      <c r="CV3" s="30" t="e" cm="1" vm="12">
        <f t="array" aca="1" ref="CV3:CV26" ca="1">_xlfn.XLOOKUP(_xlfn.ANCHORARRAY(CU3),Registration[Nickname],_FV(Registration[Country],"Image"))</f>
        <v>#VALUE!</v>
      </c>
      <c r="CW3" s="30" t="e" cm="1">
        <f t="array" aca="1" ref="CW3:CW26" ca="1">SUBSTITUTE(SUBSTITUTE(TEXT((INT(_xlfn._xlws.SORT(OFFSET(_xlfn.ANCHORARRAY(CO3),0,3),1)/10000)*6000+_xlfn.NUMBERVALUE(RIGHT(_xlfn._xlws.SORT(OFFSET(_xlfn.ANCHORARRAY(CO3),0,3),1),4)))/8640000,"mm:ss,00"),":","'"),",","""")</f>
        <v>#VALUE!</v>
      </c>
      <c r="CX3" s="13"/>
      <c r="CY3" s="30" cm="1">
        <f t="array" aca="1" ref="CY3:CY26" ca="1">_xlfn.XLOOKUP(_xlfn.ANCHORARRAY(CU3),_xlfn.ANCHORARRAY(CO3),OFFSET(_xlfn.ANCHORARRAY(CO3),0,1))+_xlfn.XLOOKUP(_xlfn.ANCHORARRAY(CU3),_xlfn.ANCHORARRAY(CO3),OFFSET(_xlfn.ANCHORARRAY(CO3),0,2))-OFFSET(_xlfn.ANCHORARRAY(CU3),0,3)</f>
        <v>1</v>
      </c>
      <c r="DA3" s="27" cm="1">
        <f t="array" aca="1" ref="DA3:DA26" ca="1">_xlfn.SEQUENCE(ROWS(_xlfn.ANCHORARRAY(DB3)))</f>
        <v>1</v>
      </c>
      <c r="DB3" s="30" t="str" cm="1">
        <f t="array" aca="1" ref="DB3:DB26" ca="1">_xlfn.SORTBY(_xlfn.ANCHORARRAY(CU3),_xlfn.ANCHORARRAY(CY3),-1)</f>
        <v>KVD</v>
      </c>
      <c r="DC3" s="30" cm="1">
        <f t="array" aca="1" ref="DC3:DC26" ca="1">_xlfn._xlws.SORT(_xlfn.ANCHORARRAY(CY3),1,-1)</f>
        <v>1</v>
      </c>
      <c r="DD3" s="13">
        <v>2</v>
      </c>
      <c r="DE3" s="13">
        <v>5452</v>
      </c>
      <c r="DG3" s="29" cm="1">
        <f t="array" aca="1" ref="DG3:DG26" ca="1">_xlfn.SEQUENCE(ROWS(_xlfn.ANCHORARRAY(DH3)))</f>
        <v>1</v>
      </c>
      <c r="DH3" s="30" t="str" cm="1">
        <f t="array" aca="1" ref="DH3:DH26" ca="1">_xlfn.SORTBY(_xlfn.ANCHORARRAY(DB3),OFFSET(_xlfn.ANCHORARRAY(DB3),0,3))</f>
        <v>Sami</v>
      </c>
      <c r="DI3" s="30" t="e" cm="1" vm="13">
        <f t="array" aca="1" ref="DI3:DI26" ca="1">_xlfn.XLOOKUP(_xlfn.ANCHORARRAY(DH3),Registration[Nickname],_FV(Registration[Country],"Image"))</f>
        <v>#VALUE!</v>
      </c>
      <c r="DJ3" s="30" t="e" cm="1">
        <f t="array" aca="1" ref="DJ3:DJ26" ca="1">SUBSTITUTE(SUBSTITUTE(TEXT((INT(_xlfn._xlws.SORT(OFFSET(_xlfn.ANCHORARRAY(DB3),0,3),1)/10000)*6000+_xlfn.NUMBERVALUE(RIGHT(_xlfn._xlws.SORT(OFFSET(_xlfn.ANCHORARRAY(DB3),0,3),1),4)))/8640000,"mm:ss,00"),":","'"),",","""")</f>
        <v>#VALUE!</v>
      </c>
      <c r="DK3" s="13"/>
      <c r="DL3" s="30" cm="1">
        <f t="array" aca="1" ref="DL3:DL26" ca="1">_xlfn.XLOOKUP(_xlfn.ANCHORARRAY(DH3),_xlfn.ANCHORARRAY(DB3),OFFSET(_xlfn.ANCHORARRAY(DB3),0,1))+_xlfn.XLOOKUP(_xlfn.ANCHORARRAY(DH3),_xlfn.ANCHORARRAY(DB3),OFFSET(_xlfn.ANCHORARRAY(DB3),0,2))-OFFSET(_xlfn.ANCHORARRAY(DH3),0,3)</f>
        <v>3</v>
      </c>
      <c r="DN3" s="27" cm="1">
        <f t="array" aca="1" ref="DN3:DN26" ca="1">_xlfn.SEQUENCE(ROWS(_xlfn.ANCHORARRAY(DO3)))</f>
        <v>1</v>
      </c>
      <c r="DO3" s="30" t="str" cm="1">
        <f t="array" aca="1" ref="DO3:DO26" ca="1">_xlfn.SORTBY(_xlfn.ANCHORARRAY(DH3),_xlfn.ANCHORARRAY(DL3),-1)</f>
        <v>Sami</v>
      </c>
      <c r="DP3" s="30" cm="1">
        <f t="array" aca="1" ref="DP3:DP26" ca="1">_xlfn._xlws.SORT(_xlfn.ANCHORARRAY(DL3),1,-1)</f>
        <v>3</v>
      </c>
      <c r="DQ3" s="13"/>
      <c r="DR3" s="13">
        <v>13024</v>
      </c>
      <c r="DT3" s="29" cm="1">
        <f t="array" aca="1" ref="DT3:DT26" ca="1">_xlfn.SEQUENCE(ROWS(_xlfn.ANCHORARRAY(DU3)))</f>
        <v>1</v>
      </c>
      <c r="DU3" s="30" t="str" cm="1">
        <f t="array" aca="1" ref="DU3:DU26" ca="1">_xlfn.SORTBY(_xlfn.ANCHORARRAY(DO3),OFFSET(_xlfn.ANCHORARRAY(DO3),0,3))</f>
        <v>KVD</v>
      </c>
      <c r="DV3" s="30" t="e" cm="1" vm="12">
        <f t="array" aca="1" ref="DV3:DV26" ca="1">_xlfn.XLOOKUP(_xlfn.ANCHORARRAY(DU3),Registration[Nickname],_FV(Registration[Country],"Image"))</f>
        <v>#VALUE!</v>
      </c>
      <c r="DW3" s="30" t="e" cm="1">
        <f t="array" aca="1" ref="DW3:DW26" ca="1">SUBSTITUTE(SUBSTITUTE(TEXT((INT(_xlfn._xlws.SORT(OFFSET(_xlfn.ANCHORARRAY(DO3),0,3),1)/10000)*6000+_xlfn.NUMBERVALUE(RIGHT(_xlfn._xlws.SORT(OFFSET(_xlfn.ANCHORARRAY(DO3),0,3),1),4)))/8640000,"mm:ss,00"),":","'"),",","""")</f>
        <v>#VALUE!</v>
      </c>
      <c r="DX3" s="13"/>
      <c r="DY3" s="30" cm="1">
        <f t="array" aca="1" ref="DY3:DY26" ca="1">_xlfn.XLOOKUP(_xlfn.ANCHORARRAY(DU3),_xlfn.ANCHORARRAY(DO3),OFFSET(_xlfn.ANCHORARRAY(DO3),0,1))+_xlfn.XLOOKUP(_xlfn.ANCHORARRAY(DU3),_xlfn.ANCHORARRAY(DO3),OFFSET(_xlfn.ANCHORARRAY(DO3),0,2))-OFFSET(_xlfn.ANCHORARRAY(DU3),0,3)</f>
        <v>3</v>
      </c>
      <c r="EA3" s="27" cm="1">
        <f t="array" aca="1" ref="EA3:EA26" ca="1">_xlfn.SEQUENCE(ROWS(_xlfn.ANCHORARRAY(EB3)))</f>
        <v>1</v>
      </c>
      <c r="EB3" s="30" t="str" cm="1">
        <f t="array" aca="1" ref="EB3:EB26" ca="1">_xlfn.SORTBY(_xlfn.ANCHORARRAY(DU3),_xlfn.ANCHORARRAY(DY3),-1)</f>
        <v>KVD</v>
      </c>
      <c r="EC3" s="30" cm="1">
        <f t="array" aca="1" ref="EC3:EC26" ca="1">_xlfn._xlws.SORT(_xlfn.ANCHORARRAY(DY3),1,-1)</f>
        <v>3</v>
      </c>
      <c r="ED3" s="13"/>
      <c r="EE3" s="13">
        <v>10369</v>
      </c>
      <c r="EG3" s="29" cm="1">
        <f t="array" aca="1" ref="EG3:EG26" ca="1">_xlfn.SEQUENCE(ROWS(_xlfn.ANCHORARRAY(EH3)))</f>
        <v>1</v>
      </c>
      <c r="EH3" s="30" t="str" cm="1">
        <f t="array" aca="1" ref="EH3:EH26" ca="1">_xlfn.SORTBY(_xlfn.ANCHORARRAY(EB3),OFFSET(_xlfn.ANCHORARRAY(EB3),0,3))</f>
        <v>Sami</v>
      </c>
      <c r="EI3" s="30" t="e" cm="1" vm="13">
        <f t="array" aca="1" ref="EI3:EI26" ca="1">_xlfn.XLOOKUP(_xlfn.ANCHORARRAY(EH3),Registration[Nickname],_FV(Registration[Country],"Image"))</f>
        <v>#VALUE!</v>
      </c>
      <c r="EJ3" s="30" t="e" cm="1">
        <f t="array" aca="1" ref="EJ3:EJ26" ca="1">SUBSTITUTE(SUBSTITUTE(TEXT((INT(_xlfn._xlws.SORT(OFFSET(_xlfn.ANCHORARRAY(EB3),0,3),1)/10000)*6000+_xlfn.NUMBERVALUE(RIGHT(_xlfn._xlws.SORT(OFFSET(_xlfn.ANCHORARRAY(EB3),0,3),1),4)))/8640000,"mm:ss,00"),":","'"),",","""")</f>
        <v>#VALUE!</v>
      </c>
      <c r="EK3" s="13"/>
      <c r="EL3" s="30" cm="1">
        <f t="array" aca="1" ref="EL3:EL26" ca="1">_xlfn.XLOOKUP(_xlfn.ANCHORARRAY(EH3),_xlfn.ANCHORARRAY(EB3),OFFSET(_xlfn.ANCHORARRAY(EB3),0,1))+_xlfn.XLOOKUP(_xlfn.ANCHORARRAY(EH3),_xlfn.ANCHORARRAY(EB3),OFFSET(_xlfn.ANCHORARRAY(EB3),0,2))-OFFSET(_xlfn.ANCHORARRAY(EH3),0,3)</f>
        <v>3</v>
      </c>
      <c r="EN3" s="27" cm="1">
        <f t="array" aca="1" ref="EN3:EN26" ca="1">_xlfn.SEQUENCE(ROWS(_xlfn.ANCHORARRAY(EO3)))</f>
        <v>1</v>
      </c>
      <c r="EO3" s="30" t="str" cm="1">
        <f t="array" aca="1" ref="EO3:EO26" ca="1">_xlfn.SORTBY(_xlfn.ANCHORARRAY(EH3),_xlfn.ANCHORARRAY(EL3),-1)</f>
        <v>Sami</v>
      </c>
      <c r="EP3" s="30" cm="1">
        <f t="array" aca="1" ref="EP3:EP26" ca="1">_xlfn._xlws.SORT(_xlfn.ANCHORARRAY(EL3),1,-1)</f>
        <v>3</v>
      </c>
      <c r="EQ3" s="13"/>
      <c r="ER3" s="13">
        <v>12123</v>
      </c>
      <c r="ET3" s="29" cm="1">
        <f t="array" aca="1" ref="ET3:ET26" ca="1">_xlfn.SEQUENCE(ROWS(_xlfn.ANCHORARRAY(EU3)))</f>
        <v>1</v>
      </c>
      <c r="EU3" s="30" t="str" cm="1">
        <f t="array" aca="1" ref="EU3:EU26" ca="1">_xlfn.SORTBY(_xlfn.ANCHORARRAY(EO3),OFFSET(_xlfn.ANCHORARRAY(EO3),0,3))</f>
        <v>JDR</v>
      </c>
      <c r="EV3" s="30" t="e" cm="1" vm="15">
        <f t="array" aca="1" ref="EV3:EV26" ca="1">_xlfn.XLOOKUP(_xlfn.ANCHORARRAY(EU3),Registration[Nickname],_FV(Registration[Country],"Image"))</f>
        <v>#VALUE!</v>
      </c>
      <c r="EW3" s="30" t="e" cm="1">
        <f t="array" aca="1" ref="EW3:EW26" ca="1">SUBSTITUTE(SUBSTITUTE(TEXT((INT(_xlfn._xlws.SORT(OFFSET(_xlfn.ANCHORARRAY(EO3),0,3),1)/10000)*6000+_xlfn.NUMBERVALUE(RIGHT(_xlfn._xlws.SORT(OFFSET(_xlfn.ANCHORARRAY(EO3),0,3),1),4)))/8640000,"mm:ss,00"),":","'"),",","""")</f>
        <v>#VALUE!</v>
      </c>
      <c r="EX3" s="13"/>
      <c r="EY3" s="30" cm="1">
        <f t="array" aca="1" ref="EY3:EY26" ca="1">_xlfn.XLOOKUP(_xlfn.ANCHORARRAY(EU3),_xlfn.ANCHORARRAY(EO3),OFFSET(_xlfn.ANCHORARRAY(EO3),0,1))+_xlfn.XLOOKUP(_xlfn.ANCHORARRAY(EU3),_xlfn.ANCHORARRAY(EO3),OFFSET(_xlfn.ANCHORARRAY(EO3),0,2))-OFFSET(_xlfn.ANCHORARRAY(EU3),0,3)</f>
        <v>3</v>
      </c>
      <c r="FA3" s="27" cm="1">
        <f t="array" aca="1" ref="FA3:FA26" ca="1">_xlfn.SEQUENCE(ROWS(_xlfn.ANCHORARRAY(FB3)))</f>
        <v>1</v>
      </c>
      <c r="FB3" s="30" t="str" cm="1">
        <f t="array" aca="1" ref="FB3:FB26" ca="1">_xlfn.SORTBY(_xlfn.ANCHORARRAY(EU3),_xlfn.ANCHORARRAY(EY3),-1)</f>
        <v>JDR</v>
      </c>
      <c r="FC3" s="30" cm="1">
        <f t="array" aca="1" ref="FC3:FC26" ca="1">_xlfn._xlws.SORT(_xlfn.ANCHORARRAY(EY3),1,-1)</f>
        <v>3</v>
      </c>
      <c r="FD3" s="13"/>
      <c r="FE3" s="13">
        <v>13002</v>
      </c>
      <c r="FG3" s="29" cm="1">
        <f t="array" aca="1" ref="FG3:FG26" ca="1">_xlfn.SEQUENCE(ROWS(_xlfn.ANCHORARRAY(FH3)))</f>
        <v>1</v>
      </c>
      <c r="FH3" s="30" t="str" cm="1">
        <f t="array" aca="1" ref="FH3:FH26" ca="1">_xlfn.SORTBY(_xlfn.ANCHORARRAY(FB3),OFFSET(_xlfn.ANCHORARRAY(FB3),0,3))</f>
        <v>JDR</v>
      </c>
      <c r="FI3" s="30" t="e" cm="1" vm="15">
        <f t="array" aca="1" ref="FI3:FI26" ca="1">_xlfn.XLOOKUP(_xlfn.ANCHORARRAY(FH3),Registration[Nickname],_FV(Registration[Country],"Image"))</f>
        <v>#VALUE!</v>
      </c>
      <c r="FJ3" s="30" t="e" cm="1">
        <f t="array" aca="1" ref="FJ3:FJ26" ca="1">SUBSTITUTE(SUBSTITUTE(TEXT((INT(_xlfn._xlws.SORT(OFFSET(_xlfn.ANCHORARRAY(FB3),0,3),1)/10000)*6000+_xlfn.NUMBERVALUE(RIGHT(_xlfn._xlws.SORT(OFFSET(_xlfn.ANCHORARRAY(FB3),0,3),1),4)))/8640000,"mm:ss,00"),":","'"),",","""")</f>
        <v>#VALUE!</v>
      </c>
      <c r="FK3" s="13"/>
      <c r="FL3" s="30" cm="1">
        <f t="array" aca="1" ref="FL3:FL26" ca="1">_xlfn.XLOOKUP(_xlfn.ANCHORARRAY(FH3),_xlfn.ANCHORARRAY(FB3),OFFSET(_xlfn.ANCHORARRAY(FB3),0,1))+_xlfn.XLOOKUP(_xlfn.ANCHORARRAY(FH3),_xlfn.ANCHORARRAY(FB3),OFFSET(_xlfn.ANCHORARRAY(FB3),0,2))-OFFSET(_xlfn.ANCHORARRAY(FH3),0,3)</f>
        <v>3</v>
      </c>
      <c r="FN3" s="27" cm="1">
        <f t="array" aca="1" ref="FN3:FN26" ca="1">_xlfn.SEQUENCE(ROWS(_xlfn.ANCHORARRAY(FO3)))</f>
        <v>1</v>
      </c>
      <c r="FO3" s="30" t="str" cm="1">
        <f t="array" aca="1" ref="FO3:FO26" ca="1">_xlfn.SORTBY(_xlfn.ANCHORARRAY(FH3),_xlfn.ANCHORARRAY(FL3),-1)</f>
        <v>JDR</v>
      </c>
      <c r="FP3" s="30" cm="1">
        <f t="array" aca="1" ref="FP3:FP26" ca="1">_xlfn._xlws.SORT(_xlfn.ANCHORARRAY(FL3),1,-1)</f>
        <v>3</v>
      </c>
      <c r="FQ3" s="13"/>
      <c r="FR3" s="13">
        <v>13701</v>
      </c>
      <c r="FT3" s="29" cm="1">
        <f t="array" aca="1" ref="FT3:FT26" ca="1">_xlfn.SEQUENCE(ROWS(_xlfn.ANCHORARRAY(FU3)))</f>
        <v>1</v>
      </c>
      <c r="FU3" s="30" t="str" cm="1">
        <f t="array" aca="1" ref="FU3:FU26" ca="1">_xlfn.SORTBY(_xlfn.ANCHORARRAY(FO3),OFFSET(_xlfn.ANCHORARRAY(FO3),0,3))</f>
        <v>KVD</v>
      </c>
      <c r="FV3" s="30" t="e" cm="1" vm="12">
        <f t="array" aca="1" ref="FV3:FV26" ca="1">_xlfn.XLOOKUP(_xlfn.ANCHORARRAY(FU3),Registration[Nickname],_FV(Registration[Country],"Image"))</f>
        <v>#VALUE!</v>
      </c>
      <c r="FW3" s="30" t="e" cm="1">
        <f t="array" aca="1" ref="FW3:FW26" ca="1">SUBSTITUTE(SUBSTITUTE(TEXT((INT(_xlfn._xlws.SORT(OFFSET(_xlfn.ANCHORARRAY(FO3),0,3),1)/10000)*6000+_xlfn.NUMBERVALUE(RIGHT(_xlfn._xlws.SORT(OFFSET(_xlfn.ANCHORARRAY(FO3),0,3),1),4)))/8640000,"mm:ss,00"),":","'"),",","""")</f>
        <v>#VALUE!</v>
      </c>
      <c r="FX3" s="13"/>
      <c r="FY3" s="30" cm="1">
        <f t="array" aca="1" ref="FY3:FY26" ca="1">_xlfn.XLOOKUP(_xlfn.ANCHORARRAY(FU3),_xlfn.ANCHORARRAY(FO3),OFFSET(_xlfn.ANCHORARRAY(FO3),0,1))+_xlfn.XLOOKUP(_xlfn.ANCHORARRAY(FU3),_xlfn.ANCHORARRAY(FO3),OFFSET(_xlfn.ANCHORARRAY(FO3),0,2))-OFFSET(_xlfn.ANCHORARRAY(FU3),0,3)</f>
        <v>2</v>
      </c>
      <c r="GA3" s="27" cm="1">
        <f t="array" aca="1" ref="GA3:GA26" ca="1">_xlfn.SEQUENCE(ROWS(_xlfn.ANCHORARRAY(GB3)))</f>
        <v>1</v>
      </c>
      <c r="GB3" s="30" t="str" cm="1">
        <f t="array" aca="1" ref="GB3:GB26" ca="1">_xlfn.SORTBY(_xlfn.ANCHORARRAY(FU3),_xlfn.ANCHORARRAY(FY3),-1)</f>
        <v>Takashi</v>
      </c>
      <c r="GC3" s="30" cm="1">
        <f t="array" aca="1" ref="GC3:GC26" ca="1">_xlfn._xlws.SORT(_xlfn.ANCHORARRAY(FY3),1,-1)</f>
        <v>3</v>
      </c>
      <c r="GD3" s="13"/>
      <c r="GE3" s="13">
        <v>0</v>
      </c>
      <c r="GG3" s="29" cm="1">
        <f t="array" aca="1" ref="GG3:GG26" ca="1">_xlfn.SEQUENCE(ROWS(_xlfn.ANCHORARRAY(GH3)))</f>
        <v>1</v>
      </c>
      <c r="GH3" s="30" t="str" cm="1">
        <f t="array" aca="1" ref="GH3:GH26" ca="1">_xlfn.SORTBY(_xlfn.ANCHORARRAY(GB3),OFFSET(_xlfn.ANCHORARRAY(GB3),0,3))</f>
        <v>Takashi</v>
      </c>
      <c r="GI3" s="30" t="e" cm="1" vm="16">
        <f t="array" aca="1" ref="GI3:GI26" ca="1">_xlfn.XLOOKUP(_xlfn.ANCHORARRAY(GH3),Registration[Nickname],_FV(Registration[Country],"Image"))</f>
        <v>#VALUE!</v>
      </c>
      <c r="GJ3" s="30" t="e" cm="1">
        <f t="array" aca="1" ref="GJ3:GJ26" ca="1">SUBSTITUTE(SUBSTITUTE(TEXT((INT(_xlfn._xlws.SORT(OFFSET(_xlfn.ANCHORARRAY(GB3),0,3),1)/10000)*6000+_xlfn.NUMBERVALUE(RIGHT(_xlfn._xlws.SORT(OFFSET(_xlfn.ANCHORARRAY(GB3),0,3),1),4)))/8640000,"mm:ss,00"),":","'"),",","""")</f>
        <v>#VALUE!</v>
      </c>
      <c r="GK3" s="13"/>
      <c r="GL3" s="30" cm="1">
        <f t="array" aca="1" ref="GL3:GL26" ca="1">_xlfn.XLOOKUP(_xlfn.ANCHORARRAY(GH3),_xlfn.ANCHORARRAY(GB3),OFFSET(_xlfn.ANCHORARRAY(GB3),0,1))+_xlfn.XLOOKUP(_xlfn.ANCHORARRAY(GH3),_xlfn.ANCHORARRAY(GB3),OFFSET(_xlfn.ANCHORARRAY(GB3),0,2))-OFFSET(_xlfn.ANCHORARRAY(GH3),0,3)</f>
        <v>3</v>
      </c>
      <c r="GN3" s="27" cm="1">
        <f t="array" aca="1" ref="GN3:GN26" ca="1">_xlfn.SEQUENCE(ROWS(_xlfn.ANCHORARRAY(GO3)))</f>
        <v>1</v>
      </c>
      <c r="GO3" s="30" t="str" cm="1">
        <f t="array" aca="1" ref="GO3:GO26" ca="1">_xlfn.SORTBY(_xlfn.ANCHORARRAY(GH3),_xlfn.ANCHORARRAY(GL3),-1)</f>
        <v>Takashi</v>
      </c>
      <c r="GP3" s="30" cm="1">
        <f t="array" aca="1" ref="GP3:GP26" ca="1">_xlfn._xlws.SORT(_xlfn.ANCHORARRAY(GL3),1,-1)</f>
        <v>3</v>
      </c>
      <c r="GQ3" s="13">
        <v>0</v>
      </c>
      <c r="GR3" s="13">
        <v>10803</v>
      </c>
      <c r="GT3" s="29" cm="1">
        <f t="array" aca="1" ref="GT3:GT26" ca="1">_xlfn.SEQUENCE(ROWS(_xlfn.ANCHORARRAY(GU3)))</f>
        <v>1</v>
      </c>
      <c r="GU3" s="30" t="str" cm="1">
        <f t="array" aca="1" ref="GU3:GU26" ca="1">_xlfn.SORTBY(_xlfn.ANCHORARRAY(GO3),OFFSET(_xlfn.ANCHORARRAY(GO3),0,3))</f>
        <v>KVD</v>
      </c>
      <c r="GV3" s="30" t="e" cm="1" vm="12">
        <f t="array" aca="1" ref="GV3:GV26" ca="1">_xlfn.XLOOKUP(_xlfn.ANCHORARRAY(GU3),Registration[Nickname],_FV(Registration[Country],"Image"))</f>
        <v>#VALUE!</v>
      </c>
      <c r="GW3" s="30" t="e" cm="1">
        <f t="array" aca="1" ref="GW3:GW26" ca="1">SUBSTITUTE(SUBSTITUTE(TEXT((INT(_xlfn._xlws.SORT(OFFSET(_xlfn.ANCHORARRAY(GO3),0,3),1)/10000)*6000+_xlfn.NUMBERVALUE(RIGHT(_xlfn._xlws.SORT(OFFSET(_xlfn.ANCHORARRAY(GO3),0,3),1),4)))/8640000,"mm:ss,00"),":","'"),",","""")</f>
        <v>#VALUE!</v>
      </c>
      <c r="GX3" s="13"/>
      <c r="GY3" s="30" cm="1">
        <f t="array" aca="1" ref="GY3:GY26" ca="1">_xlfn.XLOOKUP(_xlfn.ANCHORARRAY(GU3),_xlfn.ANCHORARRAY(GO3),OFFSET(_xlfn.ANCHORARRAY(GO3),0,1))+_xlfn.XLOOKUP(_xlfn.ANCHORARRAY(GU3),_xlfn.ANCHORARRAY(GO3),OFFSET(_xlfn.ANCHORARRAY(GO3),0,2))-OFFSET(_xlfn.ANCHORARRAY(GU3),0,3)</f>
        <v>3</v>
      </c>
      <c r="HA3" s="27" cm="1">
        <f t="array" aca="1" ref="HA3:HA26" ca="1">_xlfn.SEQUENCE(ROWS(_xlfn.ANCHORARRAY(HB3)))</f>
        <v>1</v>
      </c>
      <c r="HB3" s="30" t="str" cm="1">
        <f t="array" aca="1" ref="HB3:HB26" ca="1">_xlfn.SORTBY(_xlfn.ANCHORARRAY(GU3),_xlfn.ANCHORARRAY(GY3),-1)</f>
        <v>KVD</v>
      </c>
      <c r="HC3" s="30" cm="1">
        <f t="array" aca="1" ref="HC3:HC26" ca="1">_xlfn._xlws.SORT(_xlfn.ANCHORARRAY(GY3),1,-1)</f>
        <v>3</v>
      </c>
      <c r="HD3" s="13"/>
      <c r="HE3" s="13">
        <v>5814</v>
      </c>
      <c r="HF3" s="1"/>
      <c r="HG3" s="29" cm="1">
        <f t="array" aca="1" ref="HG3:HG26" ca="1">_xlfn.SEQUENCE(ROWS(_xlfn.ANCHORARRAY(HH3)))</f>
        <v>1</v>
      </c>
      <c r="HH3" s="30" t="str" cm="1">
        <f t="array" aca="1" ref="HH3:HH26" ca="1">_xlfn.SORTBY(_xlfn.ANCHORARRAY(HB3),OFFSET(_xlfn.ANCHORARRAY(HB3),0,3))</f>
        <v>Takashi</v>
      </c>
      <c r="HI3" s="30" t="e" cm="1" vm="16">
        <f t="array" aca="1" ref="HI3:HI26" ca="1">_xlfn.XLOOKUP(_xlfn.ANCHORARRAY(HH3),Registration[Nickname],_FV(Registration[Country],"Image"))</f>
        <v>#VALUE!</v>
      </c>
      <c r="HJ3" s="30" t="e" cm="1">
        <f t="array" aca="1" ref="HJ3:HJ26" ca="1">SUBSTITUTE(SUBSTITUTE(TEXT((INT(_xlfn._xlws.SORT(OFFSET(_xlfn.ANCHORARRAY(HB3),0,3),1)/10000)*6000+_xlfn.NUMBERVALUE(RIGHT(_xlfn._xlws.SORT(OFFSET(_xlfn.ANCHORARRAY(HB3),0,3),1),4)))/8640000,"mm:ss,00"),":","'"),",","""")</f>
        <v>#VALUE!</v>
      </c>
      <c r="HK3" s="13"/>
      <c r="HL3" s="30" cm="1">
        <f t="array" aca="1" ref="HL3:HL26" ca="1">_xlfn.XLOOKUP(_xlfn.ANCHORARRAY(HH3),_xlfn.ANCHORARRAY(HB3),OFFSET(_xlfn.ANCHORARRAY(HB3),0,1))+_xlfn.XLOOKUP(_xlfn.ANCHORARRAY(HH3),_xlfn.ANCHORARRAY(HB3),OFFSET(_xlfn.ANCHORARRAY(HB3),0,2))-OFFSET(_xlfn.ANCHORARRAY(HH3),0,3)</f>
        <v>2</v>
      </c>
      <c r="HN3" s="27" cm="1">
        <f t="array" aca="1" ref="HN3:HN26" ca="1">_xlfn.SEQUENCE(ROWS(_xlfn.ANCHORARRAY(HO3)))</f>
        <v>1</v>
      </c>
      <c r="HO3" s="30" t="str" cm="1">
        <f t="array" aca="1" ref="HO3:HO26" ca="1">_xlfn.SORTBY(_xlfn.ANCHORARRAY(HH3),_xlfn.ANCHORARRAY(HL3),-1)</f>
        <v>Lafungo</v>
      </c>
      <c r="HP3" s="30" cm="1">
        <f t="array" aca="1" ref="HP3:HP26" ca="1">_xlfn._xlws.SORT(_xlfn.ANCHORARRAY(HL3),1,-1)</f>
        <v>3</v>
      </c>
      <c r="HQ3" s="13"/>
      <c r="HR3" s="13">
        <v>14572</v>
      </c>
      <c r="HT3" s="29" cm="1">
        <f t="array" aca="1" ref="HT3:HT26" ca="1">_xlfn.SEQUENCE(ROWS(_xlfn.ANCHORARRAY(HU3)))</f>
        <v>1</v>
      </c>
      <c r="HU3" s="30" t="str" cm="1">
        <f t="array" aca="1" ref="HU3:HU26" ca="1">_xlfn.SORTBY(_xlfn.ANCHORARRAY(HO3),OFFSET(_xlfn.ANCHORARRAY(HO3),0,3))</f>
        <v>Antistar</v>
      </c>
      <c r="HV3" s="30" t="e" cm="1" vm="15">
        <f t="array" aca="1" ref="HV3:HV26" ca="1">_xlfn.XLOOKUP(_xlfn.ANCHORARRAY(HU3),Registration[Nickname],_FV(Registration[Country],"Image"))</f>
        <v>#VALUE!</v>
      </c>
      <c r="HW3" s="30" t="e" cm="1">
        <f t="array" aca="1" ref="HW3:HW26" ca="1">SUBSTITUTE(SUBSTITUTE(TEXT((INT(_xlfn._xlws.SORT(OFFSET(_xlfn.ANCHORARRAY(HO3),0,3),1)/10000)*6000+_xlfn.NUMBERVALUE(RIGHT(_xlfn._xlws.SORT(OFFSET(_xlfn.ANCHORARRAY(HO3),0,3),1),4)))/8640000,"mm:ss,00"),":","'"),",","""")</f>
        <v>#VALUE!</v>
      </c>
      <c r="HX3" s="13"/>
      <c r="HY3" s="30" cm="1">
        <f t="array" aca="1" ref="HY3:HY26" ca="1">_xlfn.XLOOKUP(_xlfn.ANCHORARRAY(HU3),_xlfn.ANCHORARRAY(HO3),OFFSET(_xlfn.ANCHORARRAY(HO3),0,1))+_xlfn.XLOOKUP(_xlfn.ANCHORARRAY(HU3),_xlfn.ANCHORARRAY(HO3),OFFSET(_xlfn.ANCHORARRAY(HO3),0,2))-OFFSET(_xlfn.ANCHORARRAY(HU3),0,3)</f>
        <v>2</v>
      </c>
      <c r="IA3" s="27" cm="1">
        <f t="array" aca="1" ref="IA3:IA26" ca="1">_xlfn.SEQUENCE(ROWS(_xlfn.ANCHORARRAY(IB3)))</f>
        <v>1</v>
      </c>
      <c r="IB3" s="30" t="str" cm="1">
        <f t="array" aca="1" ref="IB3:IB26" ca="1">_xlfn.SORTBY(_xlfn.ANCHORARRAY(HU3),_xlfn.ANCHORARRAY(HY3),-1)</f>
        <v>Lafungo</v>
      </c>
      <c r="IC3" s="30" cm="1">
        <f t="array" aca="1" ref="IC3:IC26" ca="1">_xlfn._xlws.SORT(_xlfn.ANCHORARRAY(HY3),1,-1)</f>
        <v>3</v>
      </c>
      <c r="ID3" s="13"/>
      <c r="IE3" s="13">
        <v>11772</v>
      </c>
      <c r="IG3" s="29" cm="1">
        <f t="array" aca="1" ref="IG3:IG26" ca="1">_xlfn.SEQUENCE(ROWS(_xlfn.ANCHORARRAY(IH3)))</f>
        <v>1</v>
      </c>
      <c r="IH3" s="30" t="str" cm="1">
        <f t="array" aca="1" ref="IH3:IH26" ca="1">_xlfn.SORTBY(_xlfn.ANCHORARRAY(IB3),OFFSET(_xlfn.ANCHORARRAY(IB3),0,3))</f>
        <v>Antistar</v>
      </c>
      <c r="II3" s="30" t="e" cm="1" vm="15">
        <f t="array" aca="1" ref="II3:II26" ca="1">_xlfn.XLOOKUP(_xlfn.ANCHORARRAY(IH3),Registration[Nickname],_FV(Registration[Country],"Image"))</f>
        <v>#VALUE!</v>
      </c>
      <c r="IJ3" s="30" t="e" cm="1">
        <f t="array" aca="1" ref="IJ3:IJ26" ca="1">SUBSTITUTE(SUBSTITUTE(TEXT((INT(_xlfn._xlws.SORT(OFFSET(_xlfn.ANCHORARRAY(IB3),0,3),1)/10000)*6000+_xlfn.NUMBERVALUE(RIGHT(_xlfn._xlws.SORT(OFFSET(_xlfn.ANCHORARRAY(IB3),0,3),1),4)))/8640000,"mm:ss,00"),":","'"),",","""")</f>
        <v>#VALUE!</v>
      </c>
      <c r="IK3" s="13"/>
      <c r="IL3" s="30" cm="1">
        <f t="array" aca="1" ref="IL3:IL26" ca="1">_xlfn.XLOOKUP(_xlfn.ANCHORARRAY(IH3),_xlfn.ANCHORARRAY(IB3),OFFSET(_xlfn.ANCHORARRAY(IB3),0,1))+_xlfn.XLOOKUP(_xlfn.ANCHORARRAY(IH3),_xlfn.ANCHORARRAY(IB3),OFFSET(_xlfn.ANCHORARRAY(IB3),0,2))-OFFSET(_xlfn.ANCHORARRAY(IH3),0,3)</f>
        <v>2</v>
      </c>
      <c r="IN3" s="27" cm="1">
        <f t="array" aca="1" ref="IN3:IN26" ca="1">_xlfn.SEQUENCE(ROWS(_xlfn.ANCHORARRAY(IO3)))</f>
        <v>1</v>
      </c>
      <c r="IO3" s="30" t="str" cm="1">
        <f t="array" aca="1" ref="IO3:IO26" ca="1">_xlfn.SORTBY(_xlfn.ANCHORARRAY(IH3),_xlfn.ANCHORARRAY(IL3),-1)</f>
        <v>Lafungo</v>
      </c>
      <c r="IP3" s="30" cm="1">
        <f t="array" aca="1" ref="IP3:IP26" ca="1">_xlfn._xlws.SORT(_xlfn.ANCHORARRAY(IL3),1,-1)</f>
        <v>3</v>
      </c>
      <c r="IQ3" s="13"/>
      <c r="IR3" s="13">
        <v>5940</v>
      </c>
      <c r="IT3" s="29" cm="1">
        <f t="array" aca="1" ref="IT3:IT26" ca="1">_xlfn.SEQUENCE(ROWS(_xlfn.ANCHORARRAY(IU3)))</f>
        <v>1</v>
      </c>
      <c r="IU3" s="30" t="str" cm="1">
        <f t="array" aca="1" ref="IU3:IU26" ca="1">_xlfn.SORTBY(_xlfn.ANCHORARRAY(IO3),OFFSET(_xlfn.ANCHORARRAY(IO3),0,3))</f>
        <v>Antistar</v>
      </c>
      <c r="IV3" s="30" t="e" cm="1" vm="15">
        <f t="array" aca="1" ref="IV3:IV26" ca="1">_xlfn.XLOOKUP(_xlfn.ANCHORARRAY(IU3),Registration[Nickname],_FV(Registration[Country],"Image"))</f>
        <v>#VALUE!</v>
      </c>
      <c r="IW3" s="30" t="e" cm="1">
        <f t="array" aca="1" ref="IW3:IW26" ca="1">SUBSTITUTE(SUBSTITUTE(TEXT((INT(_xlfn._xlws.SORT(OFFSET(_xlfn.ANCHORARRAY(IO3),0,3),1)/10000)*6000+_xlfn.NUMBERVALUE(RIGHT(_xlfn._xlws.SORT(OFFSET(_xlfn.ANCHORARRAY(IO3),0,3),1),4)))/8640000,"mm:ss,00"),":","'"),",","""")</f>
        <v>#VALUE!</v>
      </c>
      <c r="IX3" s="13"/>
      <c r="IY3" s="30" cm="1">
        <f t="array" aca="1" ref="IY3:IY26" ca="1">_xlfn.XLOOKUP(_xlfn.ANCHORARRAY(IU3),_xlfn.ANCHORARRAY(IO3),OFFSET(_xlfn.ANCHORARRAY(IO3),0,1))+_xlfn.XLOOKUP(_xlfn.ANCHORARRAY(IU3),_xlfn.ANCHORARRAY(IO3),OFFSET(_xlfn.ANCHORARRAY(IO3),0,2))-OFFSET(_xlfn.ANCHORARRAY(IU3),0,3)</f>
        <v>3</v>
      </c>
      <c r="JA3" s="27" cm="1">
        <f t="array" aca="1" ref="JA3:JA26" ca="1">_xlfn.SEQUENCE(ROWS(_xlfn.ANCHORARRAY(JB3)))</f>
        <v>1</v>
      </c>
      <c r="JB3" s="30" t="str" cm="1">
        <f t="array" aca="1" ref="JB3:JB26" ca="1">_xlfn.SORTBY(_xlfn.ANCHORARRAY(IU3),_xlfn.ANCHORARRAY(IY3),-1)</f>
        <v>Antistar</v>
      </c>
      <c r="JC3" s="30" cm="1">
        <f t="array" aca="1" ref="JC3:JC26" ca="1">_xlfn._xlws.SORT(_xlfn.ANCHORARRAY(IY3),1,-1)</f>
        <v>3</v>
      </c>
      <c r="JD3" s="13"/>
      <c r="JE3" s="13">
        <v>11721</v>
      </c>
      <c r="JG3" s="29" cm="1">
        <f t="array" aca="1" ref="JG3:JG26" ca="1">_xlfn.SEQUENCE(ROWS(_xlfn.ANCHORARRAY(JH3)))</f>
        <v>1</v>
      </c>
      <c r="JH3" s="30" t="str" cm="1">
        <f t="array" aca="1" ref="JH3:JH26" ca="1">_xlfn.SORTBY(_xlfn.ANCHORARRAY(JB3),OFFSET(_xlfn.ANCHORARRAY(JB3),0,3))</f>
        <v>KVD</v>
      </c>
      <c r="JI3" s="30" t="e" cm="1" vm="12">
        <f t="array" aca="1" ref="JI3:JI26" ca="1">_xlfn.XLOOKUP(_xlfn.ANCHORARRAY(JH3),Registration[Nickname],_FV(Registration[Country],"Image"))</f>
        <v>#VALUE!</v>
      </c>
      <c r="JJ3" s="30" t="e" cm="1">
        <f t="array" aca="1" ref="JJ3:JJ26" ca="1">SUBSTITUTE(SUBSTITUTE(TEXT((INT(_xlfn._xlws.SORT(OFFSET(_xlfn.ANCHORARRAY(JB3),0,3),1)/10000)*6000+_xlfn.NUMBERVALUE(RIGHT(_xlfn._xlws.SORT(OFFSET(_xlfn.ANCHORARRAY(JB3),0,3),1),4)))/8640000,"mm:ss,00"),":","'"),",","""")</f>
        <v>#VALUE!</v>
      </c>
      <c r="JK3" s="13"/>
      <c r="JL3" s="30" cm="1">
        <f t="array" aca="1" ref="JL3:JL26" ca="1">_xlfn.XLOOKUP(_xlfn.ANCHORARRAY(JH3),_xlfn.ANCHORARRAY(JB3),OFFSET(_xlfn.ANCHORARRAY(JB3),0,1))+_xlfn.XLOOKUP(_xlfn.ANCHORARRAY(JH3),_xlfn.ANCHORARRAY(JB3),OFFSET(_xlfn.ANCHORARRAY(JB3),0,2))-OFFSET(_xlfn.ANCHORARRAY(JH3),0,3)</f>
        <v>2</v>
      </c>
      <c r="JN3" s="27" cm="1">
        <f t="array" aca="1" ref="JN3:JN26" ca="1">_xlfn.SEQUENCE(ROWS(_xlfn.ANCHORARRAY(JO3)))</f>
        <v>1</v>
      </c>
      <c r="JO3" s="30" t="str" cm="1">
        <f t="array" aca="1" ref="JO3:JO26" ca="1">_xlfn.SORTBY(_xlfn.ANCHORARRAY(JH3),_xlfn.ANCHORARRAY(JL3),-1)</f>
        <v>Antistar</v>
      </c>
      <c r="JP3" s="30" cm="1">
        <f t="array" aca="1" ref="JP3:JP26" ca="1">_xlfn._xlws.SORT(_xlfn.ANCHORARRAY(JL3),1,-1)</f>
        <v>3</v>
      </c>
      <c r="JQ3" s="13"/>
      <c r="JR3" s="13">
        <v>11221</v>
      </c>
      <c r="JT3" s="29" cm="1">
        <f t="array" aca="1" ref="JT3:JT26" ca="1">_xlfn.SEQUENCE(ROWS(_xlfn.ANCHORARRAY(JU3)))</f>
        <v>1</v>
      </c>
      <c r="JU3" s="30" t="str" cm="1">
        <f t="array" aca="1" ref="JU3:JU26" ca="1">_xlfn.SORTBY(_xlfn.ANCHORARRAY(JO3),OFFSET(_xlfn.ANCHORARRAY(JO3),0,3))</f>
        <v>KVD</v>
      </c>
      <c r="JV3" s="30" t="e" cm="1" vm="12">
        <f t="array" aca="1" ref="JV3:JV26" ca="1">_xlfn.XLOOKUP(_xlfn.ANCHORARRAY(JU3),Registration[Nickname],_FV(Registration[Country],"Image"))</f>
        <v>#VALUE!</v>
      </c>
      <c r="JW3" s="30" t="e" cm="1">
        <f t="array" aca="1" ref="JW3:JW26" ca="1">SUBSTITUTE(SUBSTITUTE(TEXT((INT(_xlfn._xlws.SORT(OFFSET(_xlfn.ANCHORARRAY(JO3),0,3),1)/10000)*6000+_xlfn.NUMBERVALUE(RIGHT(_xlfn._xlws.SORT(OFFSET(_xlfn.ANCHORARRAY(JO3),0,3),1),4)))/8640000,"mm:ss,00"),":","'"),",","""")</f>
        <v>#VALUE!</v>
      </c>
      <c r="JX3" s="13"/>
      <c r="JY3" s="30" cm="1">
        <f t="array" aca="1" ref="JY3:JY26" ca="1">_xlfn.XLOOKUP(_xlfn.ANCHORARRAY(JU3),_xlfn.ANCHORARRAY(JO3),OFFSET(_xlfn.ANCHORARRAY(JO3),0,1))+_xlfn.XLOOKUP(_xlfn.ANCHORARRAY(JU3),_xlfn.ANCHORARRAY(JO3),OFFSET(_xlfn.ANCHORARRAY(JO3),0,2))-OFFSET(_xlfn.ANCHORARRAY(JU3),0,3)</f>
        <v>2</v>
      </c>
      <c r="KA3" s="27" cm="1">
        <f t="array" aca="1" ref="KA3:KA26" ca="1">_xlfn.SEQUENCE(ROWS(_xlfn.ANCHORARRAY(KB3)))</f>
        <v>1</v>
      </c>
      <c r="KB3" s="30" t="str" cm="1">
        <f t="array" aca="1" ref="KB3:KB26" ca="1">_xlfn.SORTBY(_xlfn.ANCHORARRAY(JU3),_xlfn.ANCHORARRAY(JY3),-1)</f>
        <v>Antistar</v>
      </c>
      <c r="KC3" s="30" cm="1">
        <f t="array" aca="1" ref="KC3:KC26" ca="1">_xlfn._xlws.SORT(_xlfn.ANCHORARRAY(JY3),1,-1)</f>
        <v>3</v>
      </c>
      <c r="KD3" s="13"/>
      <c r="KE3" s="13">
        <v>10672</v>
      </c>
      <c r="KG3" s="29" cm="1">
        <f t="array" aca="1" ref="KG3:KG26" ca="1">_xlfn.SEQUENCE(ROWS(_xlfn.ANCHORARRAY(KH3)))</f>
        <v>1</v>
      </c>
      <c r="KH3" s="30" t="str" cm="1">
        <f t="array" aca="1" ref="KH3:KH26" ca="1">_xlfn.SORTBY(_xlfn.ANCHORARRAY(KB3),OFFSET(_xlfn.ANCHORARRAY(KB3),0,3))</f>
        <v>KVD</v>
      </c>
      <c r="KI3" s="30" t="e" cm="1" vm="12">
        <f t="array" aca="1" ref="KI3:KI26" ca="1">_xlfn.XLOOKUP(_xlfn.ANCHORARRAY(KH3),Registration[Nickname],_FV(Registration[Country],"Image"))</f>
        <v>#VALUE!</v>
      </c>
      <c r="KJ3" s="30" t="e" cm="1">
        <f t="array" aca="1" ref="KJ3:KJ26" ca="1">SUBSTITUTE(SUBSTITUTE(TEXT((INT(_xlfn._xlws.SORT(OFFSET(_xlfn.ANCHORARRAY(KB3),0,3),1)/10000)*6000+_xlfn.NUMBERVALUE(RIGHT(_xlfn._xlws.SORT(OFFSET(_xlfn.ANCHORARRAY(KB3),0,3),1),4)))/8640000,"mm:ss,00"),":","'"),",","""")</f>
        <v>#VALUE!</v>
      </c>
      <c r="KK3" s="13"/>
      <c r="KL3" s="30" cm="1">
        <f t="array" aca="1" ref="KL3:KL26" ca="1">_xlfn.XLOOKUP(_xlfn.ANCHORARRAY(KH3),_xlfn.ANCHORARRAY(KB3),OFFSET(_xlfn.ANCHORARRAY(KB3),0,1))+_xlfn.XLOOKUP(_xlfn.ANCHORARRAY(KH3),_xlfn.ANCHORARRAY(KB3),OFFSET(_xlfn.ANCHORARRAY(KB3),0,2))-OFFSET(_xlfn.ANCHORARRAY(KH3),0,3)</f>
        <v>2</v>
      </c>
      <c r="KN3" s="27" cm="1">
        <f t="array" aca="1" ref="KN3:KN26" ca="1">_xlfn.SEQUENCE(ROWS(_xlfn.ANCHORARRAY(KO3)))</f>
        <v>1</v>
      </c>
      <c r="KO3" s="30" t="str" cm="1">
        <f t="array" aca="1" ref="KO3:KO26" ca="1">_xlfn.SORTBY(_xlfn.ANCHORARRAY(KH3),_xlfn.ANCHORARRAY(KL3),-1)</f>
        <v>KVD</v>
      </c>
      <c r="KP3" s="30" cm="1">
        <f t="array" aca="1" ref="KP3:KP26" ca="1">_xlfn._xlws.SORT(_xlfn.ANCHORARRAY(KL3),1,-1)</f>
        <v>2</v>
      </c>
      <c r="KQ3" s="13"/>
      <c r="KR3" s="13">
        <v>12899</v>
      </c>
      <c r="KT3" s="29" cm="1">
        <f t="array" aca="1" ref="KT3:KT26" ca="1">_xlfn.SEQUENCE(ROWS(_xlfn.ANCHORARRAY(KU3)))</f>
        <v>1</v>
      </c>
      <c r="KU3" s="30" t="str" cm="1">
        <f t="array" aca="1" ref="KU3:KU26" ca="1">_xlfn.SORTBY(_xlfn.ANCHORARRAY(KO3),OFFSET(_xlfn.ANCHORARRAY(KO3),0,3))</f>
        <v>KVD</v>
      </c>
      <c r="KV3" s="30" t="e" cm="1" vm="12">
        <f t="array" aca="1" ref="KV3:KV26" ca="1">_xlfn.XLOOKUP(_xlfn.ANCHORARRAY(KU3),Registration[Nickname],_FV(Registration[Country],"Image"))</f>
        <v>#VALUE!</v>
      </c>
      <c r="KW3" s="30" t="e" cm="1">
        <f t="array" aca="1" ref="KW3:KW26" ca="1">SUBSTITUTE(SUBSTITUTE(TEXT((INT(_xlfn._xlws.SORT(OFFSET(_xlfn.ANCHORARRAY(KO3),0,3),1)/10000)*6000+_xlfn.NUMBERVALUE(RIGHT(_xlfn._xlws.SORT(OFFSET(_xlfn.ANCHORARRAY(KO3),0,3),1),4)))/8640000,"mm:ss,00"),":","'"),",","""")</f>
        <v>#VALUE!</v>
      </c>
      <c r="KX3" s="13"/>
      <c r="KY3" s="30" cm="1">
        <f t="array" aca="1" ref="KY3:KY26" ca="1">_xlfn.XLOOKUP(_xlfn.ANCHORARRAY(KU3),_xlfn.ANCHORARRAY(KO3),OFFSET(_xlfn.ANCHORARRAY(KO3),0,1))+_xlfn.XLOOKUP(_xlfn.ANCHORARRAY(KU3),_xlfn.ANCHORARRAY(KO3),OFFSET(_xlfn.ANCHORARRAY(KO3),0,2))-OFFSET(_xlfn.ANCHORARRAY(KU3),0,3)</f>
        <v>2</v>
      </c>
      <c r="LA3" s="27" cm="1">
        <f t="array" aca="1" ref="LA3:LA26" ca="1">_xlfn.SEQUENCE(ROWS(_xlfn.ANCHORARRAY(LB3)))</f>
        <v>1</v>
      </c>
      <c r="LB3" s="30" t="str" cm="1">
        <f t="array" aca="1" ref="LB3:LB26" ca="1">_xlfn.SORTBY(_xlfn.ANCHORARRAY(KU3),_xlfn.ANCHORARRAY(KY3),-1)</f>
        <v>KVD</v>
      </c>
      <c r="LC3" s="30" cm="1">
        <f t="array" aca="1" ref="LC3:LC26" ca="1">_xlfn._xlws.SORT(_xlfn.ANCHORARRAY(KY3),1,-1)</f>
        <v>2</v>
      </c>
      <c r="LD3" s="13">
        <v>1</v>
      </c>
      <c r="LE3" s="13">
        <v>10604</v>
      </c>
      <c r="LG3" s="29" cm="1">
        <f t="array" aca="1" ref="LG3:LG26" ca="1">_xlfn.SEQUENCE(ROWS(_xlfn.ANCHORARRAY(LH3)))</f>
        <v>1</v>
      </c>
      <c r="LH3" s="30" t="str" cm="1">
        <f t="array" aca="1" ref="LH3:LH26" ca="1">_xlfn.SORTBY(_xlfn.ANCHORARRAY(LB3),OFFSET(_xlfn.ANCHORARRAY(LB3),0,3))</f>
        <v>KVD</v>
      </c>
      <c r="LI3" s="30" t="e" cm="1" vm="12">
        <f t="array" aca="1" ref="LI3:LI26" ca="1">_xlfn.XLOOKUP(_xlfn.ANCHORARRAY(LH3),Registration[Nickname],_FV(Registration[Country],"Image"))</f>
        <v>#VALUE!</v>
      </c>
      <c r="LJ3" s="30" t="e" cm="1">
        <f t="array" aca="1" ref="LJ3:LJ26" ca="1">SUBSTITUTE(SUBSTITUTE(TEXT((INT(_xlfn._xlws.SORT(OFFSET(_xlfn.ANCHORARRAY(LB3),0,3),1)/10000)*6000+_xlfn.NUMBERVALUE(RIGHT(_xlfn._xlws.SORT(OFFSET(_xlfn.ANCHORARRAY(LB3),0,3),1),4)))/8640000,"mm:ss,00"),":","'"),",","""")</f>
        <v>#VALUE!</v>
      </c>
      <c r="LK3" s="13"/>
      <c r="LL3" s="30" cm="1">
        <f t="array" aca="1" ref="LL3:LL26" ca="1">_xlfn.XLOOKUP(_xlfn.ANCHORARRAY(LH3),_xlfn.ANCHORARRAY(LB3),OFFSET(_xlfn.ANCHORARRAY(LB3),0,1))+_xlfn.XLOOKUP(_xlfn.ANCHORARRAY(LH3),_xlfn.ANCHORARRAY(LB3),OFFSET(_xlfn.ANCHORARRAY(LB3),0,2))-OFFSET(_xlfn.ANCHORARRAY(LH3),0,3)</f>
        <v>3</v>
      </c>
      <c r="LN3" s="27" cm="1">
        <f t="array" aca="1" ref="LN3:LN26" ca="1">_xlfn.SEQUENCE(ROWS(_xlfn.ANCHORARRAY(LO3)))</f>
        <v>1</v>
      </c>
      <c r="LO3" s="30" t="str" cm="1">
        <f t="array" aca="1" ref="LO3:LO26" ca="1">_xlfn.SORTBY(_xlfn.ANCHORARRAY(LH3),_xlfn.ANCHORARRAY(LL3),-1)</f>
        <v>KVD</v>
      </c>
      <c r="LP3" s="30" cm="1">
        <f t="array" aca="1" ref="LP3:LP26" ca="1">_xlfn._xlws.SORT(_xlfn.ANCHORARRAY(LL3),1,-1)</f>
        <v>3</v>
      </c>
      <c r="LQ3" s="13"/>
      <c r="LR3" s="13">
        <v>5737</v>
      </c>
      <c r="LT3" s="29" cm="1">
        <f t="array" aca="1" ref="LT3:LT26" ca="1">_xlfn.SEQUENCE(ROWS(_xlfn.ANCHORARRAY(LU3)))</f>
        <v>1</v>
      </c>
      <c r="LU3" s="30" t="str" cm="1">
        <f t="array" aca="1" ref="LU3:LU26" ca="1">_xlfn.SORTBY(_xlfn.ANCHORARRAY(LO3),OFFSET(_xlfn.ANCHORARRAY(LO3),0,3))</f>
        <v>Antistar</v>
      </c>
      <c r="LV3" s="30" t="e" cm="1" vm="15">
        <f t="array" aca="1" ref="LV3:LV26" ca="1">_xlfn.XLOOKUP(_xlfn.ANCHORARRAY(LU3),Registration[Nickname],_FV(Registration[Country],"Image"))</f>
        <v>#VALUE!</v>
      </c>
      <c r="LW3" s="30" t="e" cm="1">
        <f t="array" aca="1" ref="LW3:LW26" ca="1">SUBSTITUTE(SUBSTITUTE(TEXT((INT(_xlfn._xlws.SORT(OFFSET(_xlfn.ANCHORARRAY(LO3),0,3),1)/10000)*6000+_xlfn.NUMBERVALUE(RIGHT(_xlfn._xlws.SORT(OFFSET(_xlfn.ANCHORARRAY(LO3),0,3),1),4)))/8640000,"mm:ss,00"),":","'"),",","""")</f>
        <v>#VALUE!</v>
      </c>
      <c r="LX3" s="13"/>
      <c r="LY3" s="30" cm="1">
        <f t="array" aca="1" ref="LY3:LY26" ca="1">_xlfn.XLOOKUP(_xlfn.ANCHORARRAY(LU3),_xlfn.ANCHORARRAY(LO3),OFFSET(_xlfn.ANCHORARRAY(LO3),0,1))+_xlfn.XLOOKUP(_xlfn.ANCHORARRAY(LU3),_xlfn.ANCHORARRAY(LO3),OFFSET(_xlfn.ANCHORARRAY(LO3),0,2))-OFFSET(_xlfn.ANCHORARRAY(LU3),0,3)</f>
        <v>2</v>
      </c>
      <c r="MA3" s="27" cm="1">
        <f t="array" aca="1" ref="MA3:MA26" ca="1">_xlfn.SEQUENCE(ROWS(_xlfn.ANCHORARRAY(MB3)))</f>
        <v>1</v>
      </c>
      <c r="MB3" s="30" t="str" cm="1">
        <f t="array" aca="1" ref="MB3:MB26" ca="1">_xlfn.SORTBY(_xlfn.ANCHORARRAY(LU3),_xlfn.ANCHORARRAY(LY3),-1)</f>
        <v>Antistar</v>
      </c>
      <c r="MC3" s="30" cm="1">
        <f t="array" aca="1" ref="MC3:MC26" ca="1">_xlfn._xlws.SORT(_xlfn.ANCHORARRAY(LY3),1,-1)</f>
        <v>2</v>
      </c>
      <c r="MD3" s="13"/>
      <c r="ME3" s="13">
        <v>10151</v>
      </c>
      <c r="MG3" s="29" cm="1">
        <f t="array" aca="1" ref="MG3:MG26" ca="1">_xlfn.SEQUENCE(ROWS(_xlfn.ANCHORARRAY(MH3)))</f>
        <v>1</v>
      </c>
      <c r="MH3" s="30" t="str" cm="1">
        <f t="array" aca="1" ref="MH3:MH26" ca="1">_xlfn.SORTBY(_xlfn.ANCHORARRAY(MB3),OFFSET(_xlfn.ANCHORARRAY(MB3),0,3))</f>
        <v>KVD</v>
      </c>
      <c r="MI3" s="30" t="e" cm="1" vm="12">
        <f t="array" aca="1" ref="MI3:MI26" ca="1">_xlfn.XLOOKUP(_xlfn.ANCHORARRAY(MH3),Registration[Nickname],_FV(Registration[Country],"Image"))</f>
        <v>#VALUE!</v>
      </c>
      <c r="MJ3" s="30" t="e" cm="1">
        <f t="array" aca="1" ref="MJ3:MJ26" ca="1">SUBSTITUTE(SUBSTITUTE(TEXT((INT(_xlfn._xlws.SORT(OFFSET(_xlfn.ANCHORARRAY(MB3),0,3),1)/10000)*6000+_xlfn.NUMBERVALUE(RIGHT(_xlfn._xlws.SORT(OFFSET(_xlfn.ANCHORARRAY(MB3),0,3),1),4)))/8640000,"mm:ss,00"),":","'"),",","""")</f>
        <v>#VALUE!</v>
      </c>
      <c r="MK3" s="13"/>
      <c r="ML3" s="30" cm="1">
        <f t="array" aca="1" ref="ML3:ML26" ca="1">_xlfn.XLOOKUP(_xlfn.ANCHORARRAY(MH3),_xlfn.ANCHORARRAY(MB3),OFFSET(_xlfn.ANCHORARRAY(MB3),0,1))+_xlfn.XLOOKUP(_xlfn.ANCHORARRAY(MH3),_xlfn.ANCHORARRAY(MB3),OFFSET(_xlfn.ANCHORARRAY(MB3),0,2))-OFFSET(_xlfn.ANCHORARRAY(MH3),0,3)</f>
        <v>2</v>
      </c>
      <c r="MN3" s="27" cm="1">
        <f t="array" aca="1" ref="MN3:MN26" ca="1">_xlfn.SEQUENCE(ROWS(_xlfn.ANCHORARRAY(MO3)))</f>
        <v>1</v>
      </c>
      <c r="MO3" s="30" t="str" cm="1">
        <f t="array" aca="1" ref="MO3:MO26" ca="1">_xlfn.SORTBY(_xlfn.ANCHORARRAY(MH3),_xlfn.ANCHORARRAY(ML3),-1)</f>
        <v>KVD</v>
      </c>
      <c r="MP3" s="30" cm="1">
        <f t="array" aca="1" ref="MP3:MP26" ca="1">_xlfn._xlws.SORT(_xlfn.ANCHORARRAY(ML3),1,-1)</f>
        <v>2</v>
      </c>
      <c r="MQ3" s="13"/>
      <c r="MR3" s="13">
        <v>10284</v>
      </c>
      <c r="MS3" s="1"/>
      <c r="MT3" s="29" cm="1">
        <f t="array" aca="1" ref="MT3:MT26" ca="1">_xlfn.SEQUENCE(ROWS(_xlfn.ANCHORARRAY(MU3)))</f>
        <v>1</v>
      </c>
      <c r="MU3" s="30" t="str" cm="1">
        <f t="array" aca="1" ref="MU3:MU26" ca="1">_xlfn.SORTBY(_xlfn.ANCHORARRAY(MO3),OFFSET(_xlfn.ANCHORARRAY(MO3),0,3))</f>
        <v>Antistar</v>
      </c>
      <c r="MV3" s="30" t="e" cm="1" vm="15">
        <f t="array" aca="1" ref="MV3:MV26" ca="1">_xlfn.XLOOKUP(_xlfn.ANCHORARRAY(MU3),Registration[Nickname],_FV(Registration[Country],"Image"))</f>
        <v>#VALUE!</v>
      </c>
      <c r="MW3" s="30" t="e" cm="1">
        <f t="array" aca="1" ref="MW3:MW26" ca="1">SUBSTITUTE(SUBSTITUTE(TEXT((INT(_xlfn._xlws.SORT(OFFSET(_xlfn.ANCHORARRAY(MO3),0,3),1)/10000)*6000+_xlfn.NUMBERVALUE(RIGHT(_xlfn._xlws.SORT(OFFSET(_xlfn.ANCHORARRAY(MO3),0,3),1),4)))/8640000,"mm:ss,00"),":","'"),",","""")</f>
        <v>#VALUE!</v>
      </c>
      <c r="MX3" s="13"/>
      <c r="MY3" s="30" cm="1">
        <f t="array" aca="1" ref="MY3:MY26" ca="1">_xlfn.XLOOKUP(_xlfn.ANCHORARRAY(MU3),_xlfn.ANCHORARRAY(MO3),OFFSET(_xlfn.ANCHORARRAY(MO3),0,1))+_xlfn.XLOOKUP(_xlfn.ANCHORARRAY(MU3),_xlfn.ANCHORARRAY(MO3),OFFSET(_xlfn.ANCHORARRAY(MO3),0,2))-OFFSET(_xlfn.ANCHORARRAY(MU3),0,3)</f>
        <v>1</v>
      </c>
      <c r="NA3" s="27" cm="1">
        <f t="array" aca="1" ref="NA3:NA26" ca="1">_xlfn.SEQUENCE(ROWS(_xlfn.ANCHORARRAY(NB3)))</f>
        <v>1</v>
      </c>
      <c r="NB3" s="30" t="str" cm="1">
        <f t="array" aca="1" ref="NB3:NB26" ca="1">_xlfn.SORTBY(_xlfn.ANCHORARRAY(MU3),_xlfn.ANCHORARRAY(MY3),-1)</f>
        <v>Antistar</v>
      </c>
      <c r="NC3" s="30" cm="1">
        <f t="array" aca="1" ref="NC3:NC26" ca="1">_xlfn._xlws.SORT(_xlfn.ANCHORARRAY(MY3),1,-1)</f>
        <v>1</v>
      </c>
      <c r="ND3" s="13"/>
      <c r="NE3" s="13">
        <v>12081</v>
      </c>
      <c r="NG3" s="29" cm="1">
        <f t="array" aca="1" ref="NG3:NG26" ca="1">_xlfn.SEQUENCE(ROWS(_xlfn.ANCHORARRAY(NH3)))</f>
        <v>1</v>
      </c>
      <c r="NH3" s="30" t="str" cm="1">
        <f t="array" aca="1" ref="NH3:NH26" ca="1">_xlfn.SORTBY(_xlfn.ANCHORARRAY(NB3),OFFSET(_xlfn.ANCHORARRAY(NB3),0,3))</f>
        <v>Antistar</v>
      </c>
      <c r="NI3" s="30" t="e" cm="1" vm="15">
        <f t="array" aca="1" ref="NI3:NI26" ca="1">_xlfn.XLOOKUP(_xlfn.ANCHORARRAY(NH3),Registration[Nickname],_FV(Registration[Country],"Image"))</f>
        <v>#VALUE!</v>
      </c>
      <c r="NJ3" s="30" t="e" cm="1">
        <f t="array" aca="1" ref="NJ3:NJ26" ca="1">SUBSTITUTE(SUBSTITUTE(TEXT((INT(_xlfn._xlws.SORT(OFFSET(_xlfn.ANCHORARRAY(NB3),0,3),1)/10000)*6000+_xlfn.NUMBERVALUE(RIGHT(_xlfn._xlws.SORT(OFFSET(_xlfn.ANCHORARRAY(NB3),0,3),1),4)))/8640000,"mm:ss,00"),":","'"),",","""")</f>
        <v>#VALUE!</v>
      </c>
      <c r="NK3" s="13"/>
      <c r="NL3" s="30" cm="1">
        <f t="array" aca="1" ref="NL3:NL26" ca="1">_xlfn.XLOOKUP(_xlfn.ANCHORARRAY(NH3),_xlfn.ANCHORARRAY(NB3),OFFSET(_xlfn.ANCHORARRAY(NB3),0,1))+_xlfn.XLOOKUP(_xlfn.ANCHORARRAY(NH3),_xlfn.ANCHORARRAY(NB3),OFFSET(_xlfn.ANCHORARRAY(NB3),0,2))-OFFSET(_xlfn.ANCHORARRAY(NH3),0,3)</f>
        <v>1</v>
      </c>
      <c r="NN3" s="27" cm="1">
        <f t="array" aca="1" ref="NN3:NN26" ca="1">_xlfn.SEQUENCE(ROWS(_xlfn.ANCHORARRAY(NO3)))</f>
        <v>1</v>
      </c>
      <c r="NO3" s="30" t="str" cm="1">
        <f t="array" aca="1" ref="NO3:NO26" ca="1">_xlfn.SORTBY(_xlfn.ANCHORARRAY(NH3),_xlfn.ANCHORARRAY(NL3),-1)</f>
        <v>Antistar</v>
      </c>
      <c r="NP3" s="30" cm="1">
        <f t="array" aca="1" ref="NP3:NP26" ca="1">_xlfn._xlws.SORT(_xlfn.ANCHORARRAY(NL3),1,-1)</f>
        <v>1</v>
      </c>
      <c r="NQ3" s="13"/>
      <c r="NR3" s="13"/>
      <c r="NT3" s="29" cm="1">
        <f t="array" aca="1" ref="NT3:NT26" ca="1">_xlfn.SEQUENCE(ROWS(_xlfn.ANCHORARRAY(NU3)))</f>
        <v>1</v>
      </c>
      <c r="NU3" s="30" t="str" cm="1">
        <f t="array" aca="1" ref="NU3:NU26" ca="1">_xlfn.SORTBY(_xlfn.ANCHORARRAY(NO3),OFFSET(_xlfn.ANCHORARRAY(NO3),0,3))</f>
        <v>Antistar</v>
      </c>
      <c r="NV3" s="30" t="e" cm="1" vm="15">
        <f t="array" aca="1" ref="NV3:NV26" ca="1">_xlfn.XLOOKUP(_xlfn.ANCHORARRAY(NU3),Registration[Nickname],_FV(Registration[Country],"Image"))</f>
        <v>#VALUE!</v>
      </c>
      <c r="NW3" s="30" t="e" cm="1">
        <f t="array" aca="1" ref="NW3:NW26" ca="1">SUBSTITUTE(SUBSTITUTE(TEXT((INT(_xlfn._xlws.SORT(OFFSET(_xlfn.ANCHORARRAY(NO3),0,3),1)/10000)*6000+_xlfn.NUMBERVALUE(RIGHT(_xlfn._xlws.SORT(OFFSET(_xlfn.ANCHORARRAY(NO3),0,3),1),4)))/8640000,"mm:ss,00"),":","'"),",","""")</f>
        <v>#VALUE!</v>
      </c>
      <c r="NX3" s="13"/>
      <c r="NY3" s="30" cm="1">
        <f t="array" aca="1" ref="NY3:NY26" ca="1">_xlfn.XLOOKUP(_xlfn.ANCHORARRAY(NU3),_xlfn.ANCHORARRAY(NO3),OFFSET(_xlfn.ANCHORARRAY(NO3),0,1))+_xlfn.XLOOKUP(_xlfn.ANCHORARRAY(NU3),_xlfn.ANCHORARRAY(NO3),OFFSET(_xlfn.ANCHORARRAY(NO3),0,2))-OFFSET(_xlfn.ANCHORARRAY(NU3),0,3)</f>
        <v>1</v>
      </c>
      <c r="OA3" s="27" cm="1">
        <f t="array" aca="1" ref="OA3:OA26" ca="1">_xlfn.SEQUENCE(ROWS(_xlfn.ANCHORARRAY(OB3)))</f>
        <v>1</v>
      </c>
      <c r="OB3" s="30" t="str" cm="1">
        <f t="array" aca="1" ref="OB3:OB26" ca="1">_xlfn.SORTBY(_xlfn.ANCHORARRAY(NU3),_xlfn.ANCHORARRAY(NY3),-1)</f>
        <v>Antistar</v>
      </c>
      <c r="OC3" s="30" cm="1">
        <f t="array" aca="1" ref="OC3:OC26" ca="1">_xlfn._xlws.SORT(_xlfn.ANCHORARRAY(NY3),1,-1)</f>
        <v>1</v>
      </c>
      <c r="OD3" s="13"/>
      <c r="OE3" s="13"/>
      <c r="OG3" s="29" cm="1">
        <f t="array" aca="1" ref="OG3:OG26" ca="1">_xlfn.SEQUENCE(ROWS(_xlfn.ANCHORARRAY(OH3)))</f>
        <v>1</v>
      </c>
      <c r="OH3" s="30" t="str" cm="1">
        <f t="array" aca="1" ref="OH3:OH26" ca="1">_xlfn.SORTBY(_xlfn.ANCHORARRAY(OB3),OFFSET(_xlfn.ANCHORARRAY(OB3),0,3))</f>
        <v>Antistar</v>
      </c>
      <c r="OI3" s="30" t="e" cm="1" vm="15">
        <f t="array" aca="1" ref="OI3:OI26" ca="1">_xlfn.XLOOKUP(_xlfn.ANCHORARRAY(OH3),Registration[Nickname],_FV(Registration[Country],"Image"))</f>
        <v>#VALUE!</v>
      </c>
      <c r="OJ3" s="30" t="e" cm="1">
        <f t="array" aca="1" ref="OJ3:OJ26" ca="1">SUBSTITUTE(SUBSTITUTE(TEXT((INT(_xlfn._xlws.SORT(OFFSET(_xlfn.ANCHORARRAY(OB3),0,3),1)/10000)*6000+_xlfn.NUMBERVALUE(RIGHT(_xlfn._xlws.SORT(OFFSET(_xlfn.ANCHORARRAY(OB3),0,3),1),4)))/8640000,"mm:ss,00"),":","'"),",","""")</f>
        <v>#VALUE!</v>
      </c>
      <c r="OK3" s="13"/>
      <c r="OL3" s="30" cm="1">
        <f t="array" aca="1" ref="OL3:OL26" ca="1">_xlfn.XLOOKUP(_xlfn.ANCHORARRAY(OH3),_xlfn.ANCHORARRAY(OB3),OFFSET(_xlfn.ANCHORARRAY(OB3),0,1))+_xlfn.XLOOKUP(_xlfn.ANCHORARRAY(OH3),_xlfn.ANCHORARRAY(OB3),OFFSET(_xlfn.ANCHORARRAY(OB3),0,2))-OFFSET(_xlfn.ANCHORARRAY(OH3),0,3)</f>
        <v>1</v>
      </c>
      <c r="ON3" s="27" cm="1">
        <f t="array" aca="1" ref="ON3:ON26" ca="1">_xlfn.SEQUENCE(ROWS(_xlfn.ANCHORARRAY(OO3)))</f>
        <v>1</v>
      </c>
      <c r="OO3" s="30" t="str" cm="1">
        <f t="array" aca="1" ref="OO3:OO26" ca="1">_xlfn.SORTBY(_xlfn.ANCHORARRAY(OH3),_xlfn.ANCHORARRAY(OL3),-1)</f>
        <v>Antistar</v>
      </c>
      <c r="OP3" s="30" cm="1">
        <f t="array" aca="1" ref="OP3:OP26" ca="1">_xlfn._xlws.SORT(_xlfn.ANCHORARRAY(OL3),1,-1)</f>
        <v>1</v>
      </c>
      <c r="OQ3" s="13"/>
      <c r="OR3" s="13"/>
      <c r="OT3" s="29" cm="1">
        <f t="array" aca="1" ref="OT3:OT26" ca="1">_xlfn.SEQUENCE(ROWS(_xlfn.ANCHORARRAY(OU3)))</f>
        <v>1</v>
      </c>
      <c r="OU3" s="30" t="str" cm="1">
        <f t="array" aca="1" ref="OU3:OU26" ca="1">_xlfn.SORTBY(_xlfn.ANCHORARRAY(OO3),OFFSET(_xlfn.ANCHORARRAY(OO3),0,3))</f>
        <v>Antistar</v>
      </c>
      <c r="OV3" s="30" t="e" cm="1" vm="15">
        <f t="array" aca="1" ref="OV3:OV26" ca="1">_xlfn.XLOOKUP(_xlfn.ANCHORARRAY(OU3),Registration[Nickname],_FV(Registration[Country],"Image"))</f>
        <v>#VALUE!</v>
      </c>
      <c r="OW3" s="30" t="e" cm="1">
        <f t="array" aca="1" ref="OW3:OW26" ca="1">SUBSTITUTE(SUBSTITUTE(TEXT((INT(_xlfn._xlws.SORT(OFFSET(_xlfn.ANCHORARRAY(OO3),0,3),1)/10000)*6000+_xlfn.NUMBERVALUE(RIGHT(_xlfn._xlws.SORT(OFFSET(_xlfn.ANCHORARRAY(OO3),0,3),1),4)))/8640000,"mm:ss,00"),":","'"),",","""")</f>
        <v>#VALUE!</v>
      </c>
      <c r="OX3" s="13"/>
      <c r="OY3" s="30" cm="1">
        <f t="array" aca="1" ref="OY3:OY26" ca="1">_xlfn.XLOOKUP(_xlfn.ANCHORARRAY(OU3),_xlfn.ANCHORARRAY(OO3),OFFSET(_xlfn.ANCHORARRAY(OO3),0,1))+_xlfn.XLOOKUP(_xlfn.ANCHORARRAY(OU3),_xlfn.ANCHORARRAY(OO3),OFFSET(_xlfn.ANCHORARRAY(OO3),0,2))-OFFSET(_xlfn.ANCHORARRAY(OU3),0,3)</f>
        <v>1</v>
      </c>
      <c r="PA3" s="27" cm="1">
        <f t="array" aca="1" ref="PA3:PA26" ca="1">_xlfn.SEQUENCE(ROWS(_xlfn.ANCHORARRAY(PB3)))</f>
        <v>1</v>
      </c>
      <c r="PB3" s="30" t="str" cm="1">
        <f t="array" aca="1" ref="PB3:PB26" ca="1">_xlfn.SORTBY(_xlfn.ANCHORARRAY(OU3),_xlfn.ANCHORARRAY(OY3),-1)</f>
        <v>Antistar</v>
      </c>
      <c r="PC3" s="30" cm="1">
        <f t="array" aca="1" ref="PC3:PC26" ca="1">_xlfn._xlws.SORT(_xlfn.ANCHORARRAY(OY3),1,-1)</f>
        <v>1</v>
      </c>
      <c r="PD3" s="13"/>
      <c r="PE3" s="13"/>
      <c r="PG3" s="29" cm="1">
        <f t="array" aca="1" ref="PG3:PG26" ca="1">_xlfn.SEQUENCE(ROWS(_xlfn.ANCHORARRAY(PH3)))</f>
        <v>1</v>
      </c>
      <c r="PH3" s="30" t="str" cm="1">
        <f t="array" aca="1" ref="PH3:PH26" ca="1">_xlfn.SORTBY(_xlfn.ANCHORARRAY(PB3),OFFSET(_xlfn.ANCHORARRAY(PB3),0,3))</f>
        <v>Antistar</v>
      </c>
      <c r="PI3" s="30" t="e" cm="1" vm="15">
        <f t="array" aca="1" ref="PI3:PI26" ca="1">_xlfn.XLOOKUP(_xlfn.ANCHORARRAY(PH3),Registration[Nickname],_FV(Registration[Country],"Image"))</f>
        <v>#VALUE!</v>
      </c>
      <c r="PJ3" s="30" t="e" cm="1">
        <f t="array" aca="1" ref="PJ3:PJ26" ca="1">SUBSTITUTE(SUBSTITUTE(TEXT((INT(_xlfn._xlws.SORT(OFFSET(_xlfn.ANCHORARRAY(PB3),0,3),1)/10000)*6000+_xlfn.NUMBERVALUE(RIGHT(_xlfn._xlws.SORT(OFFSET(_xlfn.ANCHORARRAY(PB3),0,3),1),4)))/8640000,"mm:ss,00"),":","'"),",","""")</f>
        <v>#VALUE!</v>
      </c>
      <c r="PK3" s="13"/>
      <c r="PL3" s="30" cm="1">
        <f t="array" aca="1" ref="PL3:PL26" ca="1">_xlfn.XLOOKUP(_xlfn.ANCHORARRAY(PH3),_xlfn.ANCHORARRAY(PB3),OFFSET(_xlfn.ANCHORARRAY(PB3),0,1))+_xlfn.XLOOKUP(_xlfn.ANCHORARRAY(PH3),_xlfn.ANCHORARRAY(PB3),OFFSET(_xlfn.ANCHORARRAY(PB3),0,2))-OFFSET(_xlfn.ANCHORARRAY(PH3),0,3)</f>
        <v>1</v>
      </c>
      <c r="PN3" s="27" cm="1">
        <f t="array" aca="1" ref="PN3:PN26" ca="1">_xlfn.SEQUENCE(ROWS(_xlfn.ANCHORARRAY(PO3)))</f>
        <v>1</v>
      </c>
      <c r="PO3" s="30" t="str" cm="1">
        <f t="array" aca="1" ref="PO3:PO26" ca="1">_xlfn.SORTBY(_xlfn.ANCHORARRAY(PH3),_xlfn.ANCHORARRAY(PL3),-1)</f>
        <v>Antistar</v>
      </c>
      <c r="PP3" s="30" cm="1">
        <f t="array" aca="1" ref="PP3:PP26" ca="1">_xlfn._xlws.SORT(_xlfn.ANCHORARRAY(PL3),1,-1)</f>
        <v>1</v>
      </c>
      <c r="PQ3" s="13"/>
      <c r="PR3" s="13"/>
      <c r="PT3" s="29" cm="1">
        <f t="array" aca="1" ref="PT3:PT26" ca="1">_xlfn.SEQUENCE(ROWS(_xlfn.ANCHORARRAY(PU3)))</f>
        <v>1</v>
      </c>
      <c r="PU3" s="30" t="str" cm="1">
        <f t="array" aca="1" ref="PU3:PU26" ca="1">_xlfn.SORTBY(_xlfn.ANCHORARRAY(PO3),OFFSET(_xlfn.ANCHORARRAY(PO3),0,3))</f>
        <v>Antistar</v>
      </c>
      <c r="PV3" s="30" t="e" cm="1" vm="15">
        <f t="array" aca="1" ref="PV3:PV26" ca="1">_xlfn.XLOOKUP(_xlfn.ANCHORARRAY(PU3),Registration[Nickname],_FV(Registration[Country],"Image"))</f>
        <v>#VALUE!</v>
      </c>
      <c r="PW3" s="30" t="e" cm="1">
        <f t="array" aca="1" ref="PW3:PW26" ca="1">SUBSTITUTE(SUBSTITUTE(TEXT((INT(_xlfn._xlws.SORT(OFFSET(_xlfn.ANCHORARRAY(PO3),0,3),1)/10000)*6000+_xlfn.NUMBERVALUE(RIGHT(_xlfn._xlws.SORT(OFFSET(_xlfn.ANCHORARRAY(PO3),0,3),1),4)))/8640000,"mm:ss,00"),":","'"),",","""")</f>
        <v>#VALUE!</v>
      </c>
      <c r="PX3" s="13"/>
      <c r="PY3" s="30" cm="1">
        <f t="array" aca="1" ref="PY3:PY26" ca="1">_xlfn.XLOOKUP(_xlfn.ANCHORARRAY(PU3),_xlfn.ANCHORARRAY(PO3),OFFSET(_xlfn.ANCHORARRAY(PO3),0,1))+_xlfn.XLOOKUP(_xlfn.ANCHORARRAY(PU3),_xlfn.ANCHORARRAY(PO3),OFFSET(_xlfn.ANCHORARRAY(PO3),0,2))-OFFSET(_xlfn.ANCHORARRAY(PU3),0,3)</f>
        <v>1</v>
      </c>
      <c r="QA3" s="27" cm="1">
        <f t="array" aca="1" ref="QA3:QA26" ca="1">_xlfn.SEQUENCE(ROWS(_xlfn.ANCHORARRAY(QB3)))</f>
        <v>1</v>
      </c>
      <c r="QB3" s="30" t="str" cm="1">
        <f t="array" aca="1" ref="QB3:QB26" ca="1">_xlfn.SORTBY(_xlfn.ANCHORARRAY(PU3),_xlfn.ANCHORARRAY(PY3),-1)</f>
        <v>Antistar</v>
      </c>
      <c r="QC3" s="30" cm="1">
        <f t="array" aca="1" ref="QC3:QC26" ca="1">_xlfn._xlws.SORT(_xlfn.ANCHORARRAY(PY3),1,-1)</f>
        <v>1</v>
      </c>
      <c r="QD3" s="13"/>
      <c r="QE3" s="13"/>
      <c r="QG3" s="29" cm="1">
        <f t="array" aca="1" ref="QG3:QG26" ca="1">_xlfn.SEQUENCE(ROWS(_xlfn.ANCHORARRAY(QH3)))</f>
        <v>1</v>
      </c>
      <c r="QH3" s="30" t="str" cm="1">
        <f t="array" aca="1" ref="QH3:QH26" ca="1">_xlfn.SORTBY(_xlfn.ANCHORARRAY(QB3),OFFSET(_xlfn.ANCHORARRAY(QB3),0,3))</f>
        <v>Antistar</v>
      </c>
      <c r="QI3" s="30" t="e" cm="1" vm="15">
        <f t="array" aca="1" ref="QI3:QI26" ca="1">_xlfn.XLOOKUP(_xlfn.ANCHORARRAY(QH3),Registration[Nickname],_FV(Registration[Country],"Image"))</f>
        <v>#VALUE!</v>
      </c>
      <c r="QJ3" s="30" t="e" cm="1">
        <f t="array" aca="1" ref="QJ3:QJ26" ca="1">SUBSTITUTE(SUBSTITUTE(TEXT((INT(_xlfn._xlws.SORT(OFFSET(_xlfn.ANCHORARRAY(QB3),0,3),1)/10000)*6000+_xlfn.NUMBERVALUE(RIGHT(_xlfn._xlws.SORT(OFFSET(_xlfn.ANCHORARRAY(QB3),0,3),1),4)))/8640000,"mm:ss,00"),":","'"),",","""")</f>
        <v>#VALUE!</v>
      </c>
      <c r="QK3" s="13"/>
      <c r="QL3" s="30" cm="1">
        <f t="array" aca="1" ref="QL3:QL26" ca="1">_xlfn.XLOOKUP(_xlfn.ANCHORARRAY(QH3),_xlfn.ANCHORARRAY(QB3),OFFSET(_xlfn.ANCHORARRAY(QB3),0,1))+_xlfn.XLOOKUP(_xlfn.ANCHORARRAY(QH3),_xlfn.ANCHORARRAY(QB3),OFFSET(_xlfn.ANCHORARRAY(QB3),0,2))-OFFSET(_xlfn.ANCHORARRAY(QH3),0,3)</f>
        <v>1</v>
      </c>
      <c r="QN3" s="27" cm="1">
        <f t="array" aca="1" ref="QN3:QN26" ca="1">_xlfn.SEQUENCE(ROWS(_xlfn.ANCHORARRAY(QO3)))</f>
        <v>1</v>
      </c>
      <c r="QO3" s="30" t="str" cm="1">
        <f t="array" aca="1" ref="QO3:QO26" ca="1">_xlfn.SORTBY(_xlfn.ANCHORARRAY(QH3),_xlfn.ANCHORARRAY(QL3),-1)</f>
        <v>Antistar</v>
      </c>
      <c r="QP3" s="30" cm="1">
        <f t="array" aca="1" ref="QP3:QP26" ca="1">_xlfn._xlws.SORT(_xlfn.ANCHORARRAY(QL3),1,-1)</f>
        <v>1</v>
      </c>
      <c r="QQ3" s="13"/>
      <c r="QR3" s="13"/>
      <c r="QT3" s="29" cm="1">
        <f t="array" aca="1" ref="QT3:QT26" ca="1">_xlfn.SEQUENCE(ROWS(_xlfn.ANCHORARRAY(QU3)))</f>
        <v>1</v>
      </c>
      <c r="QU3" s="30" t="str" cm="1">
        <f t="array" aca="1" ref="QU3:QU26" ca="1">_xlfn.SORTBY(_xlfn.ANCHORARRAY(QO3),OFFSET(_xlfn.ANCHORARRAY(QO3),0,3))</f>
        <v>Antistar</v>
      </c>
      <c r="QV3" s="30" t="e" cm="1" vm="15">
        <f t="array" aca="1" ref="QV3:QV26" ca="1">_xlfn.XLOOKUP(_xlfn.ANCHORARRAY(QU3),Registration[Nickname],_FV(Registration[Country],"Image"))</f>
        <v>#VALUE!</v>
      </c>
      <c r="QW3" s="30" t="e" cm="1">
        <f t="array" aca="1" ref="QW3:QW26" ca="1">SUBSTITUTE(SUBSTITUTE(TEXT((INT(_xlfn._xlws.SORT(OFFSET(_xlfn.ANCHORARRAY(QO3),0,3),1)/10000)*6000+_xlfn.NUMBERVALUE(RIGHT(_xlfn._xlws.SORT(OFFSET(_xlfn.ANCHORARRAY(QO3),0,3),1),4)))/8640000,"mm:ss,00"),":","'"),",","""")</f>
        <v>#VALUE!</v>
      </c>
      <c r="QX3" s="13"/>
      <c r="QY3" s="30" cm="1">
        <f t="array" aca="1" ref="QY3:QY26" ca="1">_xlfn.XLOOKUP(_xlfn.ANCHORARRAY(QU3),_xlfn.ANCHORARRAY(QO3),OFFSET(_xlfn.ANCHORARRAY(QO3),0,1))+_xlfn.XLOOKUP(_xlfn.ANCHORARRAY(QU3),_xlfn.ANCHORARRAY(QO3),OFFSET(_xlfn.ANCHORARRAY(QO3),0,2))-OFFSET(_xlfn.ANCHORARRAY(QU3),0,3)</f>
        <v>1</v>
      </c>
      <c r="RA3" s="27" cm="1">
        <f t="array" aca="1" ref="RA3:RA26" ca="1">_xlfn.SEQUENCE(ROWS(_xlfn.ANCHORARRAY(RB3)))</f>
        <v>1</v>
      </c>
      <c r="RB3" s="30" t="str" cm="1">
        <f t="array" aca="1" ref="RB3:RB26" ca="1">_xlfn.SORTBY(_xlfn.ANCHORARRAY(QU3),_xlfn.ANCHORARRAY(QY3),-1)</f>
        <v>Antistar</v>
      </c>
      <c r="RC3" s="30" cm="1">
        <f t="array" aca="1" ref="RC3:RC26" ca="1">_xlfn._xlws.SORT(_xlfn.ANCHORARRAY(QY3),1,-1)</f>
        <v>1</v>
      </c>
      <c r="RD3" s="13"/>
      <c r="RE3" s="13"/>
      <c r="RG3" s="29" cm="1">
        <f t="array" aca="1" ref="RG3:RG26" ca="1">_xlfn.SEQUENCE(ROWS(_xlfn.ANCHORARRAY(RH3)))</f>
        <v>1</v>
      </c>
      <c r="RH3" s="30" t="str" cm="1">
        <f t="array" aca="1" ref="RH3:RH26" ca="1">_xlfn.SORTBY(_xlfn.ANCHORARRAY(RB3),OFFSET(_xlfn.ANCHORARRAY(RB3),0,3))</f>
        <v>Antistar</v>
      </c>
      <c r="RI3" s="30" t="e" cm="1" vm="15">
        <f t="array" aca="1" ref="RI3:RI26" ca="1">_xlfn.XLOOKUP(_xlfn.ANCHORARRAY(RH3),Registration[Nickname],_FV(Registration[Country],"Image"))</f>
        <v>#VALUE!</v>
      </c>
      <c r="RJ3" s="30" t="e" cm="1">
        <f t="array" aca="1" ref="RJ3:RJ26" ca="1">SUBSTITUTE(SUBSTITUTE(TEXT((INT(_xlfn._xlws.SORT(OFFSET(_xlfn.ANCHORARRAY(RB3),0,3),1)/10000)*6000+_xlfn.NUMBERVALUE(RIGHT(_xlfn._xlws.SORT(OFFSET(_xlfn.ANCHORARRAY(RB3),0,3),1),4)))/8640000,"mm:ss,00"),":","'"),",","""")</f>
        <v>#VALUE!</v>
      </c>
      <c r="RK3" s="13"/>
      <c r="RL3" s="30" cm="1">
        <f t="array" aca="1" ref="RL3:RL26" ca="1">_xlfn.XLOOKUP(_xlfn.ANCHORARRAY(RH3),_xlfn.ANCHORARRAY(RB3),OFFSET(_xlfn.ANCHORARRAY(RB3),0,1))+_xlfn.XLOOKUP(_xlfn.ANCHORARRAY(RH3),_xlfn.ANCHORARRAY(RB3),OFFSET(_xlfn.ANCHORARRAY(RB3),0,2))-OFFSET(_xlfn.ANCHORARRAY(RH3),0,3)</f>
        <v>1</v>
      </c>
      <c r="RN3" s="27" cm="1">
        <f t="array" aca="1" ref="RN3:RN26" ca="1">_xlfn.SEQUENCE(ROWS(_xlfn.ANCHORARRAY(RO3)))</f>
        <v>1</v>
      </c>
      <c r="RO3" s="30" t="str" cm="1">
        <f t="array" aca="1" ref="RO3:RO26" ca="1">_xlfn.SORTBY(_xlfn.ANCHORARRAY(RH3),_xlfn.ANCHORARRAY(RL3),-1)</f>
        <v>Antistar</v>
      </c>
      <c r="RP3" s="30" cm="1">
        <f t="array" aca="1" ref="RP3:RP26" ca="1">_xlfn._xlws.SORT(_xlfn.ANCHORARRAY(RL3),1,-1)</f>
        <v>1</v>
      </c>
      <c r="RQ3" s="13"/>
      <c r="RR3" s="13"/>
      <c r="RT3" s="29" cm="1">
        <f t="array" aca="1" ref="RT3:RT26" ca="1">_xlfn.SEQUENCE(ROWS(_xlfn.ANCHORARRAY(RU3)))</f>
        <v>1</v>
      </c>
      <c r="RU3" s="30" t="str" cm="1">
        <f t="array" aca="1" ref="RU3:RU26" ca="1">_xlfn.SORTBY(_xlfn.ANCHORARRAY(RO3),OFFSET(_xlfn.ANCHORARRAY(RO3),0,3))</f>
        <v>Antistar</v>
      </c>
      <c r="RV3" s="30" t="e" cm="1" vm="15">
        <f t="array" aca="1" ref="RV3:RV26" ca="1">_xlfn.XLOOKUP(_xlfn.ANCHORARRAY(RU3),Registration[Nickname],_FV(Registration[Country],"Image"))</f>
        <v>#VALUE!</v>
      </c>
      <c r="RW3" s="30" t="e" cm="1">
        <f t="array" aca="1" ref="RW3:RW26" ca="1">SUBSTITUTE(SUBSTITUTE(TEXT((INT(_xlfn._xlws.SORT(OFFSET(_xlfn.ANCHORARRAY(RO3),0,3),1)/10000)*6000+_xlfn.NUMBERVALUE(RIGHT(_xlfn._xlws.SORT(OFFSET(_xlfn.ANCHORARRAY(RO3),0,3),1),4)))/8640000,"mm:ss,00"),":","'"),",","""")</f>
        <v>#VALUE!</v>
      </c>
      <c r="RX3" s="13"/>
      <c r="RY3" s="30" cm="1">
        <f t="array" aca="1" ref="RY3:RY26" ca="1">_xlfn.XLOOKUP(_xlfn.ANCHORARRAY(RU3),_xlfn.ANCHORARRAY(RO3),OFFSET(_xlfn.ANCHORARRAY(RO3),0,1))+_xlfn.XLOOKUP(_xlfn.ANCHORARRAY(RU3),_xlfn.ANCHORARRAY(RO3),OFFSET(_xlfn.ANCHORARRAY(RO3),0,2))-OFFSET(_xlfn.ANCHORARRAY(RU3),0,3)</f>
        <v>1</v>
      </c>
      <c r="SA3" s="27" cm="1">
        <f t="array" aca="1" ref="SA3:SA26" ca="1">_xlfn.SEQUENCE(ROWS(_xlfn.ANCHORARRAY(SB3)))</f>
        <v>1</v>
      </c>
      <c r="SB3" s="30" t="str" cm="1">
        <f t="array" aca="1" ref="SB3:SB26" ca="1">_xlfn.SORTBY(_xlfn.ANCHORARRAY(RU3),_xlfn.ANCHORARRAY(RY3),-1)</f>
        <v>Antistar</v>
      </c>
      <c r="SC3" s="30" cm="1">
        <f t="array" aca="1" ref="SC3:SC26" ca="1">_xlfn._xlws.SORT(_xlfn.ANCHORARRAY(RY3),1,-1)</f>
        <v>1</v>
      </c>
      <c r="SD3" s="13"/>
      <c r="SE3" s="13"/>
      <c r="SG3" s="29" cm="1">
        <f t="array" aca="1" ref="SG3:SG26" ca="1">_xlfn.SEQUENCE(ROWS(_xlfn.ANCHORARRAY(SH3)))</f>
        <v>1</v>
      </c>
      <c r="SH3" s="30" t="str" cm="1">
        <f t="array" aca="1" ref="SH3:SH26" ca="1">_xlfn.SORTBY(_xlfn.ANCHORARRAY(SB3),OFFSET(_xlfn.ANCHORARRAY(SB3),0,3))</f>
        <v>Antistar</v>
      </c>
      <c r="SI3" s="30" t="e" cm="1" vm="15">
        <f t="array" aca="1" ref="SI3:SI26" ca="1">_xlfn.XLOOKUP(_xlfn.ANCHORARRAY(SH3),Registration[Nickname],_FV(Registration[Country],"Image"))</f>
        <v>#VALUE!</v>
      </c>
      <c r="SJ3" s="30" t="e" cm="1">
        <f t="array" aca="1" ref="SJ3:SJ26" ca="1">SUBSTITUTE(SUBSTITUTE(TEXT((INT(_xlfn._xlws.SORT(OFFSET(_xlfn.ANCHORARRAY(SB3),0,3),1)/10000)*6000+_xlfn.NUMBERVALUE(RIGHT(_xlfn._xlws.SORT(OFFSET(_xlfn.ANCHORARRAY(SB3),0,3),1),4)))/8640000,"mm:ss,00"),":","'"),",","""")</f>
        <v>#VALUE!</v>
      </c>
      <c r="SK3" s="13"/>
      <c r="SL3" s="30" cm="1">
        <f t="array" aca="1" ref="SL3:SL26" ca="1">_xlfn.XLOOKUP(_xlfn.ANCHORARRAY(SH3),_xlfn.ANCHORARRAY(SB3),OFFSET(_xlfn.ANCHORARRAY(SB3),0,1))+_xlfn.XLOOKUP(_xlfn.ANCHORARRAY(SH3),_xlfn.ANCHORARRAY(SB3),OFFSET(_xlfn.ANCHORARRAY(SB3),0,2))-OFFSET(_xlfn.ANCHORARRAY(SH3),0,3)</f>
        <v>1</v>
      </c>
      <c r="SN3" s="27" cm="1">
        <f t="array" aca="1" ref="SN3:SN26" ca="1">_xlfn.SEQUENCE(ROWS(_xlfn.ANCHORARRAY(SO3)))</f>
        <v>1</v>
      </c>
      <c r="SO3" s="30" t="str" cm="1">
        <f t="array" aca="1" ref="SO3:SO26" ca="1">_xlfn.SORTBY(_xlfn.ANCHORARRAY(SH3),_xlfn.ANCHORARRAY(SL3),-1)</f>
        <v>Antistar</v>
      </c>
      <c r="SP3" s="30" cm="1">
        <f t="array" aca="1" ref="SP3:SP26" ca="1">_xlfn._xlws.SORT(_xlfn.ANCHORARRAY(SL3),1,-1)</f>
        <v>1</v>
      </c>
      <c r="SQ3" s="13"/>
      <c r="SR3" s="13"/>
      <c r="ST3" s="29" cm="1">
        <f t="array" aca="1" ref="ST3:ST26" ca="1">_xlfn.SEQUENCE(ROWS(_xlfn.ANCHORARRAY(SU3)))</f>
        <v>1</v>
      </c>
      <c r="SU3" s="30" t="str" cm="1">
        <f t="array" aca="1" ref="SU3:SU26" ca="1">_xlfn.SORTBY(_xlfn.ANCHORARRAY(SO3),OFFSET(_xlfn.ANCHORARRAY(SO3),0,3))</f>
        <v>Antistar</v>
      </c>
      <c r="SV3" s="30" t="e" cm="1" vm="15">
        <f t="array" aca="1" ref="SV3:SV26" ca="1">_xlfn.XLOOKUP(_xlfn.ANCHORARRAY(SU3),Registration[Nickname],_FV(Registration[Country],"Image"))</f>
        <v>#VALUE!</v>
      </c>
      <c r="SW3" s="30" t="e" cm="1">
        <f t="array" aca="1" ref="SW3:SW26" ca="1">SUBSTITUTE(SUBSTITUTE(TEXT((INT(_xlfn._xlws.SORT(OFFSET(_xlfn.ANCHORARRAY(SO3),0,3),1)/10000)*6000+_xlfn.NUMBERVALUE(RIGHT(_xlfn._xlws.SORT(OFFSET(_xlfn.ANCHORARRAY(SO3),0,3),1),4)))/8640000,"mm:ss,00"),":","'"),",","""")</f>
        <v>#VALUE!</v>
      </c>
      <c r="SX3" s="13"/>
      <c r="SY3" s="30" cm="1">
        <f t="array" aca="1" ref="SY3:SY26" ca="1">_xlfn.XLOOKUP(_xlfn.ANCHORARRAY(SU3),_xlfn.ANCHORARRAY(SO3),OFFSET(_xlfn.ANCHORARRAY(SO3),0,1))+_xlfn.XLOOKUP(_xlfn.ANCHORARRAY(SU3),_xlfn.ANCHORARRAY(SO3),OFFSET(_xlfn.ANCHORARRAY(SO3),0,2))-OFFSET(_xlfn.ANCHORARRAY(SU3),0,3)</f>
        <v>1</v>
      </c>
      <c r="TA3" s="29" cm="1">
        <f t="array" aca="1" ref="TA3:TA26" ca="1">_xlfn.ANCHORARRAY(A3)</f>
        <v>1</v>
      </c>
      <c r="TB3" s="30" t="str" cm="1">
        <f t="array" aca="1" ref="TB3:TB26" ca="1">_xlfn.SORTBY(_xlfn.ANCHORARRAY(SU3),_xlfn.ANCHORARRAY(SY3),-1)</f>
        <v>Antistar</v>
      </c>
      <c r="TC3" s="30" t="e" cm="1" vm="15">
        <f t="array" aca="1" ref="TC3:TC26" ca="1">_xlfn.XLOOKUP(_xlfn.ANCHORARRAY(TB3),Registration[Nickname],_FV(Registration[Country],"Image"))</f>
        <v>#VALUE!</v>
      </c>
      <c r="TD3" s="30" cm="1">
        <f t="array" aca="1" ref="TD3:TD26" ca="1">_xlfn.XLOOKUP(_xlfn.ANCHORARRAY(TA3),Parameters!L:L,Parameters!M:M,0,0)</f>
        <v>2000</v>
      </c>
    </row>
    <row r="4" spans="1:524" ht="20.100000000000001" customHeight="1">
      <c r="A4" s="27">
        <f ca="1"/>
        <v>2</v>
      </c>
      <c r="B4" s="30" t="str">
        <f ca="1"/>
        <v>Sami</v>
      </c>
      <c r="C4" s="30">
        <v>1</v>
      </c>
      <c r="D4" s="13"/>
      <c r="E4" s="57">
        <v>0</v>
      </c>
      <c r="G4" s="29">
        <f ca="1"/>
        <v>2</v>
      </c>
      <c r="H4" s="30" t="str">
        <f ca="1"/>
        <v>Sami</v>
      </c>
      <c r="I4" s="30" t="e" vm="13">
        <f ca="1"/>
        <v>#VALUE!</v>
      </c>
      <c r="J4" s="55" t="e">
        <f ca="1"/>
        <v>#VALUE!</v>
      </c>
      <c r="K4" s="13"/>
      <c r="L4" s="30">
        <f ca="1"/>
        <v>1</v>
      </c>
      <c r="N4" s="27">
        <f ca="1"/>
        <v>2</v>
      </c>
      <c r="O4" s="30" t="str">
        <f ca="1"/>
        <v>Sami</v>
      </c>
      <c r="P4" s="30">
        <f ca="1"/>
        <v>1</v>
      </c>
      <c r="Q4" s="13"/>
      <c r="R4" s="13">
        <v>0</v>
      </c>
      <c r="T4" s="29">
        <f ca="1"/>
        <v>2</v>
      </c>
      <c r="U4" s="30" t="str">
        <f ca="1"/>
        <v>Sami</v>
      </c>
      <c r="V4" s="30" t="e" vm="13">
        <f ca="1"/>
        <v>#VALUE!</v>
      </c>
      <c r="W4" s="30" t="e">
        <f ca="1"/>
        <v>#VALUE!</v>
      </c>
      <c r="X4" s="13"/>
      <c r="Y4" s="30">
        <f ca="1"/>
        <v>1</v>
      </c>
      <c r="AA4" s="27">
        <f ca="1"/>
        <v>2</v>
      </c>
      <c r="AB4" s="30" t="str">
        <f ca="1"/>
        <v>Sami</v>
      </c>
      <c r="AC4" s="30">
        <f ca="1"/>
        <v>1</v>
      </c>
      <c r="AD4" s="13"/>
      <c r="AE4" s="13">
        <v>0</v>
      </c>
      <c r="AG4" s="29">
        <f ca="1"/>
        <v>2</v>
      </c>
      <c r="AH4" s="30" t="str">
        <f ca="1"/>
        <v>Sami</v>
      </c>
      <c r="AI4" s="30" t="e" vm="13">
        <f ca="1"/>
        <v>#VALUE!</v>
      </c>
      <c r="AJ4" s="30" t="e">
        <f ca="1"/>
        <v>#VALUE!</v>
      </c>
      <c r="AK4" s="13"/>
      <c r="AL4" s="30">
        <f ca="1"/>
        <v>1</v>
      </c>
      <c r="AN4" s="27">
        <f ca="1"/>
        <v>2</v>
      </c>
      <c r="AO4" s="30" t="str">
        <f ca="1"/>
        <v>Sami</v>
      </c>
      <c r="AP4" s="30">
        <f ca="1"/>
        <v>1</v>
      </c>
      <c r="AQ4" s="13"/>
      <c r="AR4" s="13">
        <v>0</v>
      </c>
      <c r="AT4" s="29">
        <f ca="1"/>
        <v>2</v>
      </c>
      <c r="AU4" s="30" t="str">
        <f ca="1"/>
        <v>Sami</v>
      </c>
      <c r="AV4" s="30" t="e" vm="13">
        <f ca="1"/>
        <v>#VALUE!</v>
      </c>
      <c r="AW4" s="30" t="e">
        <f ca="1"/>
        <v>#VALUE!</v>
      </c>
      <c r="AX4" s="13"/>
      <c r="AY4" s="30">
        <f ca="1"/>
        <v>1</v>
      </c>
      <c r="BA4" s="27">
        <f ca="1"/>
        <v>2</v>
      </c>
      <c r="BB4" s="30" t="str">
        <f ca="1"/>
        <v>Sami</v>
      </c>
      <c r="BC4" s="30">
        <f ca="1"/>
        <v>1</v>
      </c>
      <c r="BD4" s="13"/>
      <c r="BE4" s="13">
        <v>0</v>
      </c>
      <c r="BG4" s="29">
        <f ca="1"/>
        <v>2</v>
      </c>
      <c r="BH4" s="30" t="str">
        <f ca="1"/>
        <v>Sami</v>
      </c>
      <c r="BI4" s="30" t="e" vm="13">
        <f ca="1"/>
        <v>#VALUE!</v>
      </c>
      <c r="BJ4" s="30" t="e">
        <f ca="1"/>
        <v>#VALUE!</v>
      </c>
      <c r="BK4" s="13"/>
      <c r="BL4" s="30">
        <f ca="1"/>
        <v>1</v>
      </c>
      <c r="BN4" s="27">
        <f ca="1"/>
        <v>2</v>
      </c>
      <c r="BO4" s="30" t="str">
        <f ca="1"/>
        <v>Sami</v>
      </c>
      <c r="BP4" s="30">
        <f ca="1"/>
        <v>1</v>
      </c>
      <c r="BQ4" s="13"/>
      <c r="BR4" s="13">
        <v>0</v>
      </c>
      <c r="BS4" s="1"/>
      <c r="BT4" s="29">
        <f ca="1"/>
        <v>2</v>
      </c>
      <c r="BU4" s="30" t="str">
        <f ca="1"/>
        <v>Sami</v>
      </c>
      <c r="BV4" s="30" t="e" vm="13">
        <f ca="1"/>
        <v>#VALUE!</v>
      </c>
      <c r="BW4" s="30" t="e">
        <f ca="1"/>
        <v>#VALUE!</v>
      </c>
      <c r="BX4" s="13"/>
      <c r="BY4" s="30">
        <f ca="1"/>
        <v>1</v>
      </c>
      <c r="CA4" s="27">
        <f ca="1"/>
        <v>2</v>
      </c>
      <c r="CB4" s="30" t="str">
        <f ca="1"/>
        <v>Sami</v>
      </c>
      <c r="CC4" s="30">
        <f ca="1"/>
        <v>1</v>
      </c>
      <c r="CD4" s="13"/>
      <c r="CE4" s="13">
        <v>0</v>
      </c>
      <c r="CG4" s="29">
        <f ca="1"/>
        <v>2</v>
      </c>
      <c r="CH4" s="30" t="str">
        <f ca="1"/>
        <v>Sami</v>
      </c>
      <c r="CI4" s="30" t="e" vm="13">
        <f ca="1"/>
        <v>#VALUE!</v>
      </c>
      <c r="CJ4" s="30" t="e">
        <f ca="1"/>
        <v>#VALUE!</v>
      </c>
      <c r="CK4" s="13"/>
      <c r="CL4" s="30">
        <f ca="1"/>
        <v>1</v>
      </c>
      <c r="CN4" s="27">
        <f ca="1"/>
        <v>2</v>
      </c>
      <c r="CO4" s="30" t="str">
        <f ca="1"/>
        <v>Sami</v>
      </c>
      <c r="CP4" s="30">
        <f ca="1"/>
        <v>1</v>
      </c>
      <c r="CQ4" s="13"/>
      <c r="CR4" s="13">
        <v>0</v>
      </c>
      <c r="CT4" s="29">
        <f ca="1"/>
        <v>2</v>
      </c>
      <c r="CU4" s="30" t="str">
        <f ca="1"/>
        <v>Sami</v>
      </c>
      <c r="CV4" s="30" t="e" vm="13">
        <f ca="1"/>
        <v>#VALUE!</v>
      </c>
      <c r="CW4" s="30" t="e">
        <f ca="1"/>
        <v>#VALUE!</v>
      </c>
      <c r="CX4" s="13"/>
      <c r="CY4" s="30">
        <f ca="1"/>
        <v>1</v>
      </c>
      <c r="DA4" s="27">
        <f ca="1"/>
        <v>2</v>
      </c>
      <c r="DB4" s="30" t="str">
        <f ca="1"/>
        <v>Sami</v>
      </c>
      <c r="DC4" s="30">
        <f ca="1"/>
        <v>1</v>
      </c>
      <c r="DD4" s="13">
        <v>2</v>
      </c>
      <c r="DE4" s="13">
        <v>5390</v>
      </c>
      <c r="DG4" s="29">
        <f ca="1"/>
        <v>2</v>
      </c>
      <c r="DH4" s="30" t="str">
        <f ca="1"/>
        <v>KVD</v>
      </c>
      <c r="DI4" s="30" t="e" vm="12">
        <f ca="1"/>
        <v>#VALUE!</v>
      </c>
      <c r="DJ4" s="30" t="e">
        <f ca="1"/>
        <v>#VALUE!</v>
      </c>
      <c r="DK4" s="13"/>
      <c r="DL4" s="30">
        <f ca="1"/>
        <v>3</v>
      </c>
      <c r="DN4" s="27">
        <f ca="1"/>
        <v>2</v>
      </c>
      <c r="DO4" s="30" t="str">
        <f ca="1"/>
        <v>KVD</v>
      </c>
      <c r="DP4" s="30">
        <f ca="1"/>
        <v>3</v>
      </c>
      <c r="DQ4" s="13"/>
      <c r="DR4" s="13">
        <v>12889</v>
      </c>
      <c r="DT4" s="29">
        <f ca="1"/>
        <v>2</v>
      </c>
      <c r="DU4" s="30" t="str">
        <f ca="1"/>
        <v>Sami</v>
      </c>
      <c r="DV4" s="30" t="e" vm="13">
        <f ca="1"/>
        <v>#VALUE!</v>
      </c>
      <c r="DW4" s="30" t="e">
        <f ca="1"/>
        <v>#VALUE!</v>
      </c>
      <c r="DX4" s="13"/>
      <c r="DY4" s="30">
        <f ca="1"/>
        <v>3</v>
      </c>
      <c r="EA4" s="27">
        <f ca="1"/>
        <v>2</v>
      </c>
      <c r="EB4" s="30" t="str">
        <f ca="1"/>
        <v>Sami</v>
      </c>
      <c r="EC4" s="30">
        <f ca="1"/>
        <v>3</v>
      </c>
      <c r="ED4" s="13"/>
      <c r="EE4" s="13">
        <v>10362</v>
      </c>
      <c r="EG4" s="29">
        <f ca="1"/>
        <v>2</v>
      </c>
      <c r="EH4" s="30" t="str">
        <f ca="1"/>
        <v>KVD</v>
      </c>
      <c r="EI4" s="30" t="e" vm="12">
        <f ca="1"/>
        <v>#VALUE!</v>
      </c>
      <c r="EJ4" s="30" t="e">
        <f ca="1"/>
        <v>#VALUE!</v>
      </c>
      <c r="EK4" s="13"/>
      <c r="EL4" s="30">
        <f ca="1"/>
        <v>3</v>
      </c>
      <c r="EN4" s="27">
        <f ca="1"/>
        <v>2</v>
      </c>
      <c r="EO4" s="30" t="str">
        <f ca="1"/>
        <v>KVD</v>
      </c>
      <c r="EP4" s="30">
        <f ca="1"/>
        <v>3</v>
      </c>
      <c r="EQ4" s="13"/>
      <c r="ER4" s="13">
        <v>12945</v>
      </c>
      <c r="ET4" s="29">
        <f ca="1"/>
        <v>2</v>
      </c>
      <c r="EU4" s="30" t="str">
        <f ca="1"/>
        <v>Takashi</v>
      </c>
      <c r="EV4" s="30" t="e" vm="16">
        <f ca="1"/>
        <v>#VALUE!</v>
      </c>
      <c r="EW4" s="30" t="e">
        <f ca="1"/>
        <v>#VALUE!</v>
      </c>
      <c r="EX4" s="13"/>
      <c r="EY4" s="30">
        <f ca="1"/>
        <v>3</v>
      </c>
      <c r="FA4" s="27">
        <f ca="1"/>
        <v>2</v>
      </c>
      <c r="FB4" s="30" t="str">
        <f ca="1"/>
        <v>Takashi</v>
      </c>
      <c r="FC4" s="30">
        <f ca="1"/>
        <v>3</v>
      </c>
      <c r="FD4" s="13"/>
      <c r="FE4" s="13">
        <v>13058</v>
      </c>
      <c r="FG4" s="29">
        <f ca="1"/>
        <v>2</v>
      </c>
      <c r="FH4" s="30" t="str">
        <f ca="1"/>
        <v>Jarmou</v>
      </c>
      <c r="FI4" s="30" t="e" vm="17">
        <f ca="1"/>
        <v>#VALUE!</v>
      </c>
      <c r="FJ4" s="30" t="e">
        <f ca="1"/>
        <v>#VALUE!</v>
      </c>
      <c r="FK4" s="13"/>
      <c r="FL4" s="30">
        <f ca="1"/>
        <v>1</v>
      </c>
      <c r="FN4" s="27">
        <f ca="1"/>
        <v>2</v>
      </c>
      <c r="FO4" s="30" t="str">
        <f ca="1"/>
        <v>Takashi</v>
      </c>
      <c r="FP4" s="30">
        <f ca="1"/>
        <v>3</v>
      </c>
      <c r="FQ4" s="13"/>
      <c r="FR4" s="13">
        <v>13601</v>
      </c>
      <c r="FT4" s="29">
        <f ca="1"/>
        <v>2</v>
      </c>
      <c r="FU4" s="30" t="str">
        <f ca="1"/>
        <v>Antistar</v>
      </c>
      <c r="FV4" s="30" t="e" vm="15">
        <f ca="1"/>
        <v>#VALUE!</v>
      </c>
      <c r="FW4" s="30" t="e">
        <f ca="1"/>
        <v>#VALUE!</v>
      </c>
      <c r="FX4" s="13"/>
      <c r="FY4" s="30">
        <f ca="1"/>
        <v>1</v>
      </c>
      <c r="GA4" s="27">
        <f ca="1"/>
        <v>2</v>
      </c>
      <c r="GB4" s="30" t="str">
        <f ca="1"/>
        <v>JDR</v>
      </c>
      <c r="GC4" s="30">
        <f ca="1"/>
        <v>3</v>
      </c>
      <c r="GD4" s="13"/>
      <c r="GE4" s="13">
        <v>0</v>
      </c>
      <c r="GG4" s="29">
        <f ca="1"/>
        <v>2</v>
      </c>
      <c r="GH4" s="30" t="str">
        <f ca="1"/>
        <v>JDR</v>
      </c>
      <c r="GI4" s="30" t="e" vm="15">
        <f ca="1"/>
        <v>#VALUE!</v>
      </c>
      <c r="GJ4" s="30" t="e">
        <f ca="1"/>
        <v>#VALUE!</v>
      </c>
      <c r="GK4" s="13"/>
      <c r="GL4" s="30">
        <f ca="1"/>
        <v>3</v>
      </c>
      <c r="GN4" s="27">
        <f ca="1"/>
        <v>2</v>
      </c>
      <c r="GO4" s="30" t="str">
        <f ca="1"/>
        <v>JDR</v>
      </c>
      <c r="GP4" s="30">
        <f ca="1"/>
        <v>3</v>
      </c>
      <c r="GQ4" s="13">
        <v>0</v>
      </c>
      <c r="GR4" s="13">
        <v>10783</v>
      </c>
      <c r="GT4" s="29">
        <f ca="1"/>
        <v>2</v>
      </c>
      <c r="GU4" s="30" t="str">
        <f ca="1"/>
        <v>Lafungo</v>
      </c>
      <c r="GV4" s="30" t="e" vm="14">
        <f ca="1"/>
        <v>#VALUE!</v>
      </c>
      <c r="GW4" s="30" t="e">
        <f ca="1"/>
        <v>#VALUE!</v>
      </c>
      <c r="GX4" s="13"/>
      <c r="GY4" s="30">
        <f ca="1"/>
        <v>3</v>
      </c>
      <c r="HA4" s="27">
        <f ca="1"/>
        <v>2</v>
      </c>
      <c r="HB4" s="30" t="str">
        <f ca="1"/>
        <v>Lafungo</v>
      </c>
      <c r="HC4" s="30">
        <f ca="1"/>
        <v>3</v>
      </c>
      <c r="HD4" s="13"/>
      <c r="HE4" s="13">
        <v>5679</v>
      </c>
      <c r="HF4" s="1"/>
      <c r="HG4" s="29">
        <f ca="1"/>
        <v>2</v>
      </c>
      <c r="HH4" s="30" t="str">
        <f ca="1"/>
        <v>Lafungo</v>
      </c>
      <c r="HI4" s="30" t="e" vm="14">
        <f ca="1"/>
        <v>#VALUE!</v>
      </c>
      <c r="HJ4" s="30" t="e">
        <f ca="1"/>
        <v>#VALUE!</v>
      </c>
      <c r="HK4" s="13"/>
      <c r="HL4" s="30">
        <f ca="1"/>
        <v>3</v>
      </c>
      <c r="HN4" s="27">
        <f ca="1"/>
        <v>2</v>
      </c>
      <c r="HO4" s="30" t="str">
        <f ca="1"/>
        <v>KVD</v>
      </c>
      <c r="HP4" s="30">
        <f ca="1"/>
        <v>3</v>
      </c>
      <c r="HQ4" s="13"/>
      <c r="HR4" s="13">
        <v>14736</v>
      </c>
      <c r="HT4" s="29">
        <f ca="1"/>
        <v>2</v>
      </c>
      <c r="HU4" s="30" t="str">
        <f ca="1"/>
        <v>Lafungo</v>
      </c>
      <c r="HV4" s="30" t="e" vm="14">
        <f ca="1"/>
        <v>#VALUE!</v>
      </c>
      <c r="HW4" s="30" t="e">
        <f ca="1"/>
        <v>#VALUE!</v>
      </c>
      <c r="HX4" s="13"/>
      <c r="HY4" s="30">
        <f ca="1"/>
        <v>3</v>
      </c>
      <c r="IA4" s="27">
        <f ca="1"/>
        <v>2</v>
      </c>
      <c r="IB4" s="30" t="str">
        <f ca="1"/>
        <v>Antistar</v>
      </c>
      <c r="IC4" s="30">
        <f ca="1"/>
        <v>2</v>
      </c>
      <c r="ID4" s="13"/>
      <c r="IE4" s="13">
        <v>11657</v>
      </c>
      <c r="IG4" s="29">
        <f ca="1"/>
        <v>2</v>
      </c>
      <c r="IH4" s="30" t="str">
        <f ca="1"/>
        <v>KVD</v>
      </c>
      <c r="II4" s="30" t="e" vm="12">
        <f ca="1"/>
        <v>#VALUE!</v>
      </c>
      <c r="IJ4" s="30" t="e">
        <f ca="1"/>
        <v>#VALUE!</v>
      </c>
      <c r="IK4" s="13"/>
      <c r="IL4" s="30">
        <f ca="1"/>
        <v>2</v>
      </c>
      <c r="IN4" s="27">
        <f ca="1"/>
        <v>2</v>
      </c>
      <c r="IO4" s="30" t="str">
        <f ca="1"/>
        <v>Antistar</v>
      </c>
      <c r="IP4" s="30">
        <f ca="1"/>
        <v>2</v>
      </c>
      <c r="IQ4" s="13">
        <v>1</v>
      </c>
      <c r="IR4" s="13">
        <v>5912</v>
      </c>
      <c r="IT4" s="29">
        <f ca="1"/>
        <v>2</v>
      </c>
      <c r="IU4" s="30" t="str">
        <f ca="1"/>
        <v>Lafungo</v>
      </c>
      <c r="IV4" s="30" t="e" vm="14">
        <f ca="1"/>
        <v>#VALUE!</v>
      </c>
      <c r="IW4" s="30" t="e">
        <f ca="1"/>
        <v>#VALUE!</v>
      </c>
      <c r="IX4" s="13"/>
      <c r="IY4" s="30">
        <f ca="1"/>
        <v>3</v>
      </c>
      <c r="JA4" s="27">
        <f ca="1"/>
        <v>2</v>
      </c>
      <c r="JB4" s="30" t="str">
        <f ca="1"/>
        <v>Lafungo</v>
      </c>
      <c r="JC4" s="30">
        <f ca="1"/>
        <v>3</v>
      </c>
      <c r="JD4" s="13"/>
      <c r="JE4" s="13">
        <v>11729</v>
      </c>
      <c r="JG4" s="29">
        <f ca="1"/>
        <v>2</v>
      </c>
      <c r="JH4" s="30" t="str">
        <f ca="1"/>
        <v>Antistar</v>
      </c>
      <c r="JI4" s="30" t="e" vm="15">
        <f ca="1"/>
        <v>#VALUE!</v>
      </c>
      <c r="JJ4" s="30" t="e">
        <f ca="1"/>
        <v>#VALUE!</v>
      </c>
      <c r="JK4" s="13"/>
      <c r="JL4" s="30">
        <f ca="1"/>
        <v>3</v>
      </c>
      <c r="JN4" s="27">
        <f ca="1"/>
        <v>2</v>
      </c>
      <c r="JO4" s="30" t="str">
        <f ca="1"/>
        <v>KVD</v>
      </c>
      <c r="JP4" s="30">
        <f ca="1"/>
        <v>2</v>
      </c>
      <c r="JQ4" s="13"/>
      <c r="JR4" s="13">
        <v>11205</v>
      </c>
      <c r="JT4" s="29">
        <f ca="1"/>
        <v>2</v>
      </c>
      <c r="JU4" s="30" t="str">
        <f ca="1"/>
        <v>Antistar</v>
      </c>
      <c r="JV4" s="30" t="e" vm="15">
        <f ca="1"/>
        <v>#VALUE!</v>
      </c>
      <c r="JW4" s="30" t="e">
        <f ca="1"/>
        <v>#VALUE!</v>
      </c>
      <c r="JX4" s="13"/>
      <c r="JY4" s="30">
        <f ca="1"/>
        <v>3</v>
      </c>
      <c r="KA4" s="27">
        <f ca="1"/>
        <v>2</v>
      </c>
      <c r="KB4" s="30" t="str">
        <f ca="1"/>
        <v>KVD</v>
      </c>
      <c r="KC4" s="30">
        <f ca="1"/>
        <v>2</v>
      </c>
      <c r="KD4" s="13"/>
      <c r="KE4" s="13">
        <v>5510</v>
      </c>
      <c r="KG4" s="29">
        <f ca="1"/>
        <v>2</v>
      </c>
      <c r="KH4" s="30" t="str">
        <f ca="1"/>
        <v>Lafungo</v>
      </c>
      <c r="KI4" s="30" t="e" vm="14">
        <f ca="1"/>
        <v>#VALUE!</v>
      </c>
      <c r="KJ4" s="30" t="e">
        <f ca="1"/>
        <v>#VALUE!</v>
      </c>
      <c r="KK4" s="13"/>
      <c r="KL4" s="30">
        <f ca="1"/>
        <v>1</v>
      </c>
      <c r="KN4" s="27">
        <f ca="1"/>
        <v>2</v>
      </c>
      <c r="KO4" s="30" t="str">
        <f ca="1"/>
        <v>Antistar</v>
      </c>
      <c r="KP4" s="30">
        <f ca="1"/>
        <v>2</v>
      </c>
      <c r="KQ4" s="13"/>
      <c r="KR4" s="13">
        <v>12907</v>
      </c>
      <c r="KT4" s="29">
        <f ca="1"/>
        <v>2</v>
      </c>
      <c r="KU4" s="30" t="str">
        <f ca="1"/>
        <v>Antistar</v>
      </c>
      <c r="KV4" s="30" t="e" vm="15">
        <f ca="1"/>
        <v>#VALUE!</v>
      </c>
      <c r="KW4" s="30" t="e">
        <f ca="1"/>
        <v>#VALUE!</v>
      </c>
      <c r="KX4" s="13"/>
      <c r="KY4" s="30">
        <f ca="1"/>
        <v>2</v>
      </c>
      <c r="LA4" s="27">
        <f ca="1"/>
        <v>2</v>
      </c>
      <c r="LB4" s="30" t="str">
        <f ca="1"/>
        <v>Antistar</v>
      </c>
      <c r="LC4" s="30">
        <f ca="1"/>
        <v>2</v>
      </c>
      <c r="LD4" s="13">
        <v>1</v>
      </c>
      <c r="LE4" s="13">
        <v>10664</v>
      </c>
      <c r="LG4" s="29">
        <f ca="1"/>
        <v>2</v>
      </c>
      <c r="LH4" s="30" t="str">
        <f ca="1"/>
        <v>Antistar</v>
      </c>
      <c r="LI4" s="30" t="e" vm="15">
        <f ca="1"/>
        <v>#VALUE!</v>
      </c>
      <c r="LJ4" s="30" t="e">
        <f ca="1"/>
        <v>#VALUE!</v>
      </c>
      <c r="LK4" s="13">
        <v>1</v>
      </c>
      <c r="LL4" s="30">
        <f ca="1"/>
        <v>2</v>
      </c>
      <c r="LN4" s="27">
        <f ca="1"/>
        <v>2</v>
      </c>
      <c r="LO4" s="30" t="str">
        <f ca="1"/>
        <v>Antistar</v>
      </c>
      <c r="LP4" s="30">
        <f ca="1"/>
        <v>2</v>
      </c>
      <c r="LQ4" s="13"/>
      <c r="LR4" s="13">
        <v>5601</v>
      </c>
      <c r="LT4" s="29">
        <f ca="1"/>
        <v>2</v>
      </c>
      <c r="LU4" s="30" t="str">
        <f ca="1"/>
        <v>KVD</v>
      </c>
      <c r="LV4" s="30" t="e" vm="12">
        <f ca="1"/>
        <v>#VALUE!</v>
      </c>
      <c r="LW4" s="30" t="e">
        <f ca="1"/>
        <v>#VALUE!</v>
      </c>
      <c r="LX4" s="13">
        <v>1</v>
      </c>
      <c r="LY4" s="30">
        <f ca="1"/>
        <v>2</v>
      </c>
      <c r="MA4" s="27">
        <f ca="1"/>
        <v>2</v>
      </c>
      <c r="MB4" s="30" t="str">
        <f ca="1"/>
        <v>KVD</v>
      </c>
      <c r="MC4" s="30">
        <f ca="1"/>
        <v>2</v>
      </c>
      <c r="MD4" s="13"/>
      <c r="ME4" s="13">
        <v>5472</v>
      </c>
      <c r="MG4" s="29">
        <f ca="1"/>
        <v>2</v>
      </c>
      <c r="MH4" s="30" t="str">
        <f ca="1"/>
        <v>Antistar</v>
      </c>
      <c r="MI4" s="30" t="e" vm="15">
        <f ca="1"/>
        <v>#VALUE!</v>
      </c>
      <c r="MJ4" s="30" t="e">
        <f ca="1"/>
        <v>#VALUE!</v>
      </c>
      <c r="MK4" s="13">
        <v>1</v>
      </c>
      <c r="ML4" s="30">
        <f ca="1"/>
        <v>1</v>
      </c>
      <c r="MN4" s="27">
        <f ca="1"/>
        <v>2</v>
      </c>
      <c r="MO4" s="30" t="str">
        <f ca="1"/>
        <v>Antistar</v>
      </c>
      <c r="MP4" s="30">
        <f ca="1"/>
        <v>1</v>
      </c>
      <c r="MQ4" s="13"/>
      <c r="MR4" s="13">
        <v>5631</v>
      </c>
      <c r="MS4" s="1"/>
      <c r="MT4" s="29">
        <f ca="1"/>
        <v>2</v>
      </c>
      <c r="MU4" s="30" t="str">
        <f ca="1"/>
        <v>KVD</v>
      </c>
      <c r="MV4" s="30" t="e" vm="12">
        <f ca="1"/>
        <v>#VALUE!</v>
      </c>
      <c r="MW4" s="30" t="e">
        <f ca="1"/>
        <v>#VALUE!</v>
      </c>
      <c r="MX4" s="13">
        <v>1</v>
      </c>
      <c r="MY4" s="30">
        <f ca="1"/>
        <v>1</v>
      </c>
      <c r="NA4" s="27">
        <f ca="1"/>
        <v>2</v>
      </c>
      <c r="NB4" s="30" t="str">
        <f ca="1"/>
        <v>KVD</v>
      </c>
      <c r="NC4" s="30">
        <f ca="1"/>
        <v>1</v>
      </c>
      <c r="ND4" s="13"/>
      <c r="NE4" s="13">
        <v>13094</v>
      </c>
      <c r="NG4" s="29">
        <f ca="1"/>
        <v>2</v>
      </c>
      <c r="NH4" s="30" t="str">
        <f ca="1"/>
        <v>KVD</v>
      </c>
      <c r="NI4" s="30" t="e" vm="12">
        <f ca="1"/>
        <v>#VALUE!</v>
      </c>
      <c r="NJ4" s="30" t="e">
        <f ca="1"/>
        <v>#VALUE!</v>
      </c>
      <c r="NK4" s="13">
        <v>1</v>
      </c>
      <c r="NL4" s="30">
        <f ca="1"/>
        <v>0</v>
      </c>
      <c r="NN4" s="27">
        <f ca="1"/>
        <v>2</v>
      </c>
      <c r="NO4" s="30" t="str">
        <f ca="1"/>
        <v>KVD</v>
      </c>
      <c r="NP4" s="30">
        <f ca="1"/>
        <v>0</v>
      </c>
      <c r="NQ4" s="13"/>
      <c r="NR4" s="13"/>
      <c r="NT4" s="29">
        <f ca="1"/>
        <v>2</v>
      </c>
      <c r="NU4" s="30" t="str">
        <f ca="1"/>
        <v>KVD</v>
      </c>
      <c r="NV4" s="30" t="e" vm="12">
        <f ca="1"/>
        <v>#VALUE!</v>
      </c>
      <c r="NW4" s="30" t="e">
        <f ca="1"/>
        <v>#VALUE!</v>
      </c>
      <c r="NX4" s="13"/>
      <c r="NY4" s="30">
        <f ca="1"/>
        <v>0</v>
      </c>
      <c r="OA4" s="27">
        <f ca="1"/>
        <v>2</v>
      </c>
      <c r="OB4" s="30" t="str">
        <f ca="1"/>
        <v>KVD</v>
      </c>
      <c r="OC4" s="30">
        <f ca="1"/>
        <v>0</v>
      </c>
      <c r="OD4" s="13"/>
      <c r="OE4" s="13"/>
      <c r="OG4" s="29">
        <f ca="1"/>
        <v>2</v>
      </c>
      <c r="OH4" s="30" t="str">
        <f ca="1"/>
        <v>KVD</v>
      </c>
      <c r="OI4" s="30" t="e" vm="12">
        <f ca="1"/>
        <v>#VALUE!</v>
      </c>
      <c r="OJ4" s="30" t="e">
        <f ca="1"/>
        <v>#VALUE!</v>
      </c>
      <c r="OK4" s="13"/>
      <c r="OL4" s="30">
        <f ca="1"/>
        <v>0</v>
      </c>
      <c r="ON4" s="27">
        <f ca="1"/>
        <v>2</v>
      </c>
      <c r="OO4" s="30" t="str">
        <f ca="1"/>
        <v>KVD</v>
      </c>
      <c r="OP4" s="30">
        <f ca="1"/>
        <v>0</v>
      </c>
      <c r="OQ4" s="13"/>
      <c r="OR4" s="13"/>
      <c r="OT4" s="29">
        <f ca="1"/>
        <v>2</v>
      </c>
      <c r="OU4" s="30" t="str">
        <f ca="1"/>
        <v>KVD</v>
      </c>
      <c r="OV4" s="30" t="e" vm="12">
        <f ca="1"/>
        <v>#VALUE!</v>
      </c>
      <c r="OW4" s="30" t="e">
        <f ca="1"/>
        <v>#VALUE!</v>
      </c>
      <c r="OX4" s="13"/>
      <c r="OY4" s="30">
        <f ca="1"/>
        <v>0</v>
      </c>
      <c r="PA4" s="27">
        <f ca="1"/>
        <v>2</v>
      </c>
      <c r="PB4" s="30" t="str">
        <f ca="1"/>
        <v>KVD</v>
      </c>
      <c r="PC4" s="30">
        <f ca="1"/>
        <v>0</v>
      </c>
      <c r="PD4" s="13"/>
      <c r="PE4" s="13"/>
      <c r="PG4" s="29">
        <f ca="1"/>
        <v>2</v>
      </c>
      <c r="PH4" s="30" t="str">
        <f ca="1"/>
        <v>KVD</v>
      </c>
      <c r="PI4" s="30" t="e" vm="12">
        <f ca="1"/>
        <v>#VALUE!</v>
      </c>
      <c r="PJ4" s="30" t="e">
        <f ca="1"/>
        <v>#VALUE!</v>
      </c>
      <c r="PK4" s="13"/>
      <c r="PL4" s="30">
        <f ca="1"/>
        <v>0</v>
      </c>
      <c r="PN4" s="27">
        <f ca="1"/>
        <v>2</v>
      </c>
      <c r="PO4" s="30" t="str">
        <f ca="1"/>
        <v>KVD</v>
      </c>
      <c r="PP4" s="30">
        <f ca="1"/>
        <v>0</v>
      </c>
      <c r="PQ4" s="13"/>
      <c r="PR4" s="13"/>
      <c r="PT4" s="29">
        <f ca="1"/>
        <v>2</v>
      </c>
      <c r="PU4" s="30" t="str">
        <f ca="1"/>
        <v>KVD</v>
      </c>
      <c r="PV4" s="30" t="e" vm="12">
        <f ca="1"/>
        <v>#VALUE!</v>
      </c>
      <c r="PW4" s="30" t="e">
        <f ca="1"/>
        <v>#VALUE!</v>
      </c>
      <c r="PX4" s="13"/>
      <c r="PY4" s="30">
        <f ca="1"/>
        <v>0</v>
      </c>
      <c r="QA4" s="27">
        <f ca="1"/>
        <v>2</v>
      </c>
      <c r="QB4" s="30" t="str">
        <f ca="1"/>
        <v>KVD</v>
      </c>
      <c r="QC4" s="30">
        <f ca="1"/>
        <v>0</v>
      </c>
      <c r="QD4" s="13"/>
      <c r="QE4" s="13"/>
      <c r="QG4" s="29">
        <f ca="1"/>
        <v>2</v>
      </c>
      <c r="QH4" s="30" t="str">
        <f ca="1"/>
        <v>KVD</v>
      </c>
      <c r="QI4" s="30" t="e" vm="12">
        <f ca="1"/>
        <v>#VALUE!</v>
      </c>
      <c r="QJ4" s="30" t="e">
        <f ca="1"/>
        <v>#VALUE!</v>
      </c>
      <c r="QK4" s="13"/>
      <c r="QL4" s="30">
        <f ca="1"/>
        <v>0</v>
      </c>
      <c r="QN4" s="27">
        <f ca="1"/>
        <v>2</v>
      </c>
      <c r="QO4" s="30" t="str">
        <f ca="1"/>
        <v>KVD</v>
      </c>
      <c r="QP4" s="30">
        <f ca="1"/>
        <v>0</v>
      </c>
      <c r="QQ4" s="13"/>
      <c r="QR4" s="13"/>
      <c r="QT4" s="29">
        <f ca="1"/>
        <v>2</v>
      </c>
      <c r="QU4" s="30" t="str">
        <f ca="1"/>
        <v>KVD</v>
      </c>
      <c r="QV4" s="30" t="e" vm="12">
        <f ca="1"/>
        <v>#VALUE!</v>
      </c>
      <c r="QW4" s="30" t="e">
        <f ca="1"/>
        <v>#VALUE!</v>
      </c>
      <c r="QX4" s="13"/>
      <c r="QY4" s="30">
        <f ca="1"/>
        <v>0</v>
      </c>
      <c r="RA4" s="27">
        <f ca="1"/>
        <v>2</v>
      </c>
      <c r="RB4" s="30" t="str">
        <f ca="1"/>
        <v>KVD</v>
      </c>
      <c r="RC4" s="30">
        <f ca="1"/>
        <v>0</v>
      </c>
      <c r="RD4" s="13"/>
      <c r="RE4" s="13"/>
      <c r="RG4" s="29">
        <f ca="1"/>
        <v>2</v>
      </c>
      <c r="RH4" s="30" t="str">
        <f ca="1"/>
        <v>KVD</v>
      </c>
      <c r="RI4" s="30" t="e" vm="12">
        <f ca="1"/>
        <v>#VALUE!</v>
      </c>
      <c r="RJ4" s="30" t="e">
        <f ca="1"/>
        <v>#VALUE!</v>
      </c>
      <c r="RK4" s="13"/>
      <c r="RL4" s="30">
        <f ca="1"/>
        <v>0</v>
      </c>
      <c r="RN4" s="27">
        <f ca="1"/>
        <v>2</v>
      </c>
      <c r="RO4" s="30" t="str">
        <f ca="1"/>
        <v>KVD</v>
      </c>
      <c r="RP4" s="30">
        <f ca="1"/>
        <v>0</v>
      </c>
      <c r="RQ4" s="13"/>
      <c r="RR4" s="13"/>
      <c r="RT4" s="29">
        <f ca="1"/>
        <v>2</v>
      </c>
      <c r="RU4" s="30" t="str">
        <f ca="1"/>
        <v>KVD</v>
      </c>
      <c r="RV4" s="30" t="e" vm="12">
        <f ca="1"/>
        <v>#VALUE!</v>
      </c>
      <c r="RW4" s="30" t="e">
        <f ca="1"/>
        <v>#VALUE!</v>
      </c>
      <c r="RX4" s="13"/>
      <c r="RY4" s="30">
        <f ca="1"/>
        <v>0</v>
      </c>
      <c r="SA4" s="27">
        <f ca="1"/>
        <v>2</v>
      </c>
      <c r="SB4" s="30" t="str">
        <f ca="1"/>
        <v>KVD</v>
      </c>
      <c r="SC4" s="30">
        <f ca="1"/>
        <v>0</v>
      </c>
      <c r="SD4" s="13"/>
      <c r="SE4" s="13"/>
      <c r="SG4" s="29">
        <f ca="1"/>
        <v>2</v>
      </c>
      <c r="SH4" s="30" t="str">
        <f ca="1"/>
        <v>KVD</v>
      </c>
      <c r="SI4" s="30" t="e" vm="12">
        <f ca="1"/>
        <v>#VALUE!</v>
      </c>
      <c r="SJ4" s="30" t="e">
        <f ca="1"/>
        <v>#VALUE!</v>
      </c>
      <c r="SK4" s="13"/>
      <c r="SL4" s="30">
        <f ca="1"/>
        <v>0</v>
      </c>
      <c r="SN4" s="27">
        <f ca="1"/>
        <v>2</v>
      </c>
      <c r="SO4" s="30" t="str">
        <f ca="1"/>
        <v>KVD</v>
      </c>
      <c r="SP4" s="30">
        <f ca="1"/>
        <v>0</v>
      </c>
      <c r="SQ4" s="13"/>
      <c r="SR4" s="13"/>
      <c r="ST4" s="29">
        <f ca="1"/>
        <v>2</v>
      </c>
      <c r="SU4" s="30" t="str">
        <f ca="1"/>
        <v>KVD</v>
      </c>
      <c r="SV4" s="30" t="e" vm="12">
        <f ca="1"/>
        <v>#VALUE!</v>
      </c>
      <c r="SW4" s="30" t="e">
        <f ca="1"/>
        <v>#VALUE!</v>
      </c>
      <c r="SX4" s="13"/>
      <c r="SY4" s="30">
        <f ca="1"/>
        <v>0</v>
      </c>
      <c r="TA4" s="29">
        <f ca="1"/>
        <v>2</v>
      </c>
      <c r="TB4" s="30" t="str">
        <f ca="1"/>
        <v>KVD</v>
      </c>
      <c r="TC4" s="30" t="e" vm="12">
        <f ca="1"/>
        <v>#VALUE!</v>
      </c>
      <c r="TD4" s="30">
        <f ca="1"/>
        <v>1600</v>
      </c>
    </row>
    <row r="5" spans="1:524" ht="20.100000000000001" customHeight="1">
      <c r="A5" s="27">
        <f ca="1"/>
        <v>3</v>
      </c>
      <c r="B5" s="30" t="str">
        <f ca="1"/>
        <v>Lafungo</v>
      </c>
      <c r="C5" s="30">
        <v>1</v>
      </c>
      <c r="D5" s="13"/>
      <c r="E5" s="57">
        <v>0</v>
      </c>
      <c r="G5" s="29">
        <f ca="1"/>
        <v>3</v>
      </c>
      <c r="H5" s="30" t="str">
        <f ca="1"/>
        <v>Lafungo</v>
      </c>
      <c r="I5" s="30" t="e" vm="14">
        <f ca="1"/>
        <v>#VALUE!</v>
      </c>
      <c r="J5" s="55" t="e">
        <f ca="1"/>
        <v>#VALUE!</v>
      </c>
      <c r="K5" s="13"/>
      <c r="L5" s="30">
        <f ca="1"/>
        <v>1</v>
      </c>
      <c r="N5" s="27">
        <f ca="1"/>
        <v>3</v>
      </c>
      <c r="O5" s="30" t="str">
        <f ca="1"/>
        <v>Lafungo</v>
      </c>
      <c r="P5" s="30">
        <f ca="1"/>
        <v>1</v>
      </c>
      <c r="Q5" s="13"/>
      <c r="R5" s="13">
        <v>0</v>
      </c>
      <c r="T5" s="29">
        <f ca="1"/>
        <v>3</v>
      </c>
      <c r="U5" s="30" t="str">
        <f ca="1"/>
        <v>Lafungo</v>
      </c>
      <c r="V5" s="30" t="e" vm="14">
        <f ca="1"/>
        <v>#VALUE!</v>
      </c>
      <c r="W5" s="30" t="e">
        <f ca="1"/>
        <v>#VALUE!</v>
      </c>
      <c r="X5" s="13"/>
      <c r="Y5" s="30">
        <f ca="1"/>
        <v>1</v>
      </c>
      <c r="AA5" s="27">
        <f ca="1"/>
        <v>3</v>
      </c>
      <c r="AB5" s="30" t="str">
        <f ca="1"/>
        <v>Lafungo</v>
      </c>
      <c r="AC5" s="30">
        <f ca="1"/>
        <v>1</v>
      </c>
      <c r="AD5" s="13"/>
      <c r="AE5" s="13">
        <v>0</v>
      </c>
      <c r="AG5" s="29">
        <f ca="1"/>
        <v>3</v>
      </c>
      <c r="AH5" s="30" t="str">
        <f ca="1"/>
        <v>Lafungo</v>
      </c>
      <c r="AI5" s="30" t="e" vm="14">
        <f ca="1"/>
        <v>#VALUE!</v>
      </c>
      <c r="AJ5" s="30" t="e">
        <f ca="1"/>
        <v>#VALUE!</v>
      </c>
      <c r="AK5" s="13"/>
      <c r="AL5" s="30">
        <f ca="1"/>
        <v>1</v>
      </c>
      <c r="AN5" s="27">
        <f ca="1"/>
        <v>3</v>
      </c>
      <c r="AO5" s="30" t="str">
        <f ca="1"/>
        <v>Lafungo</v>
      </c>
      <c r="AP5" s="30">
        <f ca="1"/>
        <v>1</v>
      </c>
      <c r="AQ5" s="13"/>
      <c r="AR5" s="13">
        <v>0</v>
      </c>
      <c r="AT5" s="29">
        <f ca="1"/>
        <v>3</v>
      </c>
      <c r="AU5" s="30" t="str">
        <f ca="1"/>
        <v>Lafungo</v>
      </c>
      <c r="AV5" s="30" t="e" vm="14">
        <f ca="1"/>
        <v>#VALUE!</v>
      </c>
      <c r="AW5" s="30" t="e">
        <f ca="1"/>
        <v>#VALUE!</v>
      </c>
      <c r="AX5" s="13"/>
      <c r="AY5" s="30">
        <f ca="1"/>
        <v>1</v>
      </c>
      <c r="BA5" s="27">
        <f ca="1"/>
        <v>3</v>
      </c>
      <c r="BB5" s="30" t="str">
        <f ca="1"/>
        <v>Lafungo</v>
      </c>
      <c r="BC5" s="30">
        <f ca="1"/>
        <v>1</v>
      </c>
      <c r="BD5" s="13"/>
      <c r="BE5" s="13">
        <v>0</v>
      </c>
      <c r="BG5" s="29">
        <f ca="1"/>
        <v>3</v>
      </c>
      <c r="BH5" s="30" t="str">
        <f ca="1"/>
        <v>Lafungo</v>
      </c>
      <c r="BI5" s="30" t="e" vm="14">
        <f ca="1"/>
        <v>#VALUE!</v>
      </c>
      <c r="BJ5" s="30" t="e">
        <f ca="1"/>
        <v>#VALUE!</v>
      </c>
      <c r="BK5" s="13"/>
      <c r="BL5" s="30">
        <f ca="1"/>
        <v>1</v>
      </c>
      <c r="BN5" s="27">
        <f ca="1"/>
        <v>3</v>
      </c>
      <c r="BO5" s="30" t="str">
        <f ca="1"/>
        <v>Lafungo</v>
      </c>
      <c r="BP5" s="30">
        <f ca="1"/>
        <v>1</v>
      </c>
      <c r="BQ5" s="13"/>
      <c r="BR5" s="13">
        <v>0</v>
      </c>
      <c r="BS5" s="1"/>
      <c r="BT5" s="29">
        <f ca="1"/>
        <v>3</v>
      </c>
      <c r="BU5" s="30" t="str">
        <f ca="1"/>
        <v>Lafungo</v>
      </c>
      <c r="BV5" s="30" t="e" vm="14">
        <f ca="1"/>
        <v>#VALUE!</v>
      </c>
      <c r="BW5" s="30" t="e">
        <f ca="1"/>
        <v>#VALUE!</v>
      </c>
      <c r="BX5" s="13"/>
      <c r="BY5" s="30">
        <f ca="1"/>
        <v>1</v>
      </c>
      <c r="CA5" s="27">
        <f ca="1"/>
        <v>3</v>
      </c>
      <c r="CB5" s="30" t="str">
        <f ca="1"/>
        <v>Lafungo</v>
      </c>
      <c r="CC5" s="30">
        <f ca="1"/>
        <v>1</v>
      </c>
      <c r="CD5" s="13"/>
      <c r="CE5" s="13">
        <v>0</v>
      </c>
      <c r="CG5" s="29">
        <f ca="1"/>
        <v>3</v>
      </c>
      <c r="CH5" s="30" t="str">
        <f ca="1"/>
        <v>Lafungo</v>
      </c>
      <c r="CI5" s="30" t="e" vm="14">
        <f ca="1"/>
        <v>#VALUE!</v>
      </c>
      <c r="CJ5" s="30" t="e">
        <f ca="1"/>
        <v>#VALUE!</v>
      </c>
      <c r="CK5" s="13"/>
      <c r="CL5" s="30">
        <f ca="1"/>
        <v>1</v>
      </c>
      <c r="CN5" s="27">
        <f ca="1"/>
        <v>3</v>
      </c>
      <c r="CO5" s="30" t="str">
        <f ca="1"/>
        <v>Lafungo</v>
      </c>
      <c r="CP5" s="30">
        <f ca="1"/>
        <v>1</v>
      </c>
      <c r="CQ5" s="13"/>
      <c r="CR5" s="13">
        <v>0</v>
      </c>
      <c r="CT5" s="29">
        <f ca="1"/>
        <v>3</v>
      </c>
      <c r="CU5" s="30" t="str">
        <f ca="1"/>
        <v>Lafungo</v>
      </c>
      <c r="CV5" s="30" t="e" vm="14">
        <f ca="1"/>
        <v>#VALUE!</v>
      </c>
      <c r="CW5" s="30" t="e">
        <f ca="1"/>
        <v>#VALUE!</v>
      </c>
      <c r="CX5" s="13"/>
      <c r="CY5" s="30">
        <f ca="1"/>
        <v>1</v>
      </c>
      <c r="DA5" s="27">
        <f ca="1"/>
        <v>3</v>
      </c>
      <c r="DB5" s="30" t="str">
        <f ca="1"/>
        <v>Lafungo</v>
      </c>
      <c r="DC5" s="30">
        <f ca="1"/>
        <v>1</v>
      </c>
      <c r="DD5" s="13">
        <v>2</v>
      </c>
      <c r="DE5" s="13">
        <v>10694</v>
      </c>
      <c r="DG5" s="29">
        <f ca="1"/>
        <v>3</v>
      </c>
      <c r="DH5" s="30" t="str">
        <f ca="1"/>
        <v>JDR</v>
      </c>
      <c r="DI5" s="30" t="e" vm="15">
        <f ca="1"/>
        <v>#VALUE!</v>
      </c>
      <c r="DJ5" s="30" t="e">
        <f ca="1"/>
        <v>#VALUE!</v>
      </c>
      <c r="DK5" s="13"/>
      <c r="DL5" s="30">
        <f ca="1"/>
        <v>3</v>
      </c>
      <c r="DN5" s="27">
        <f ca="1"/>
        <v>3</v>
      </c>
      <c r="DO5" s="30" t="str">
        <f ca="1"/>
        <v>JDR</v>
      </c>
      <c r="DP5" s="30">
        <f ca="1"/>
        <v>3</v>
      </c>
      <c r="DQ5" s="13"/>
      <c r="DR5" s="13">
        <v>13251</v>
      </c>
      <c r="DT5" s="29">
        <f ca="1"/>
        <v>3</v>
      </c>
      <c r="DU5" s="30" t="str">
        <f ca="1"/>
        <v>Lafungo</v>
      </c>
      <c r="DV5" s="30" t="e" vm="14">
        <f ca="1"/>
        <v>#VALUE!</v>
      </c>
      <c r="DW5" s="30" t="e">
        <f ca="1"/>
        <v>#VALUE!</v>
      </c>
      <c r="DX5" s="13"/>
      <c r="DY5" s="30">
        <f ca="1"/>
        <v>2</v>
      </c>
      <c r="EA5" s="27">
        <f ca="1"/>
        <v>3</v>
      </c>
      <c r="EB5" s="30" t="str">
        <f ca="1"/>
        <v>Takashi</v>
      </c>
      <c r="EC5" s="30">
        <f ca="1"/>
        <v>3</v>
      </c>
      <c r="ED5" s="13"/>
      <c r="EE5" s="13">
        <v>10411</v>
      </c>
      <c r="EG5" s="29">
        <f ca="1"/>
        <v>3</v>
      </c>
      <c r="EH5" s="30" t="str">
        <f ca="1"/>
        <v>Lafungo</v>
      </c>
      <c r="EI5" s="30" t="e" vm="14">
        <f ca="1"/>
        <v>#VALUE!</v>
      </c>
      <c r="EJ5" s="30" t="e">
        <f ca="1"/>
        <v>#VALUE!</v>
      </c>
      <c r="EK5" s="13"/>
      <c r="EL5" s="30">
        <f ca="1"/>
        <v>2</v>
      </c>
      <c r="EN5" s="27">
        <f ca="1"/>
        <v>3</v>
      </c>
      <c r="EO5" s="30" t="str">
        <f ca="1"/>
        <v>JDR</v>
      </c>
      <c r="EP5" s="30">
        <f ca="1"/>
        <v>3</v>
      </c>
      <c r="EQ5" s="13"/>
      <c r="ER5" s="13">
        <v>12019</v>
      </c>
      <c r="ET5" s="29">
        <f ca="1"/>
        <v>3</v>
      </c>
      <c r="EU5" s="30" t="str">
        <f ca="1"/>
        <v>Lafungo</v>
      </c>
      <c r="EV5" s="30" t="e" vm="14">
        <f ca="1"/>
        <v>#VALUE!</v>
      </c>
      <c r="EW5" s="30" t="e">
        <f ca="1"/>
        <v>#VALUE!</v>
      </c>
      <c r="EX5" s="13"/>
      <c r="EY5" s="30">
        <f ca="1"/>
        <v>2</v>
      </c>
      <c r="FA5" s="27">
        <f ca="1"/>
        <v>3</v>
      </c>
      <c r="FB5" s="30" t="str">
        <f ca="1"/>
        <v>Sami</v>
      </c>
      <c r="FC5" s="30">
        <f ca="1"/>
        <v>3</v>
      </c>
      <c r="FD5" s="13"/>
      <c r="FE5" s="13">
        <v>13416</v>
      </c>
      <c r="FG5" s="29">
        <f ca="1"/>
        <v>3</v>
      </c>
      <c r="FH5" s="30" t="str">
        <f ca="1"/>
        <v>Takashi</v>
      </c>
      <c r="FI5" s="30" t="e" vm="16">
        <f ca="1"/>
        <v>#VALUE!</v>
      </c>
      <c r="FJ5" s="30" t="e">
        <f ca="1"/>
        <v>#VALUE!</v>
      </c>
      <c r="FK5" s="13"/>
      <c r="FL5" s="30">
        <f ca="1"/>
        <v>3</v>
      </c>
      <c r="FN5" s="27">
        <f ca="1"/>
        <v>3</v>
      </c>
      <c r="FO5" s="30" t="str">
        <f ca="1"/>
        <v>KVD</v>
      </c>
      <c r="FP5" s="30">
        <f ca="1"/>
        <v>2</v>
      </c>
      <c r="FQ5" s="13"/>
      <c r="FR5" s="13">
        <v>13480</v>
      </c>
      <c r="FT5" s="29">
        <f ca="1"/>
        <v>3</v>
      </c>
      <c r="FU5" s="30" t="str">
        <f ca="1"/>
        <v>Lafungo</v>
      </c>
      <c r="FV5" s="30" t="e" vm="14">
        <f ca="1"/>
        <v>#VALUE!</v>
      </c>
      <c r="FW5" s="30" t="e">
        <f ca="1"/>
        <v>#VALUE!</v>
      </c>
      <c r="FX5" s="13"/>
      <c r="FY5" s="30">
        <f ca="1"/>
        <v>1</v>
      </c>
      <c r="GA5" s="27">
        <f ca="1"/>
        <v>3</v>
      </c>
      <c r="GB5" s="30" t="str">
        <f ca="1"/>
        <v>KVD</v>
      </c>
      <c r="GC5" s="30">
        <f ca="1"/>
        <v>2</v>
      </c>
      <c r="GD5" s="13"/>
      <c r="GE5" s="13">
        <v>0</v>
      </c>
      <c r="GG5" s="29">
        <f ca="1"/>
        <v>3</v>
      </c>
      <c r="GH5" s="30" t="str">
        <f ca="1"/>
        <v>KVD</v>
      </c>
      <c r="GI5" s="30" t="e" vm="12">
        <f ca="1"/>
        <v>#VALUE!</v>
      </c>
      <c r="GJ5" s="30" t="e">
        <f ca="1"/>
        <v>#VALUE!</v>
      </c>
      <c r="GK5" s="13"/>
      <c r="GL5" s="30">
        <f ca="1"/>
        <v>2</v>
      </c>
      <c r="GN5" s="27">
        <f ca="1"/>
        <v>3</v>
      </c>
      <c r="GO5" s="30" t="str">
        <f ca="1"/>
        <v>KVD</v>
      </c>
      <c r="GP5" s="30">
        <f ca="1"/>
        <v>2</v>
      </c>
      <c r="GQ5" s="13">
        <v>1</v>
      </c>
      <c r="GR5" s="13">
        <v>10732</v>
      </c>
      <c r="GT5" s="29">
        <f ca="1"/>
        <v>3</v>
      </c>
      <c r="GU5" s="30" t="str">
        <f ca="1"/>
        <v>Antistar</v>
      </c>
      <c r="GV5" s="30" t="e" vm="15">
        <f ca="1"/>
        <v>#VALUE!</v>
      </c>
      <c r="GW5" s="30" t="e">
        <f ca="1"/>
        <v>#VALUE!</v>
      </c>
      <c r="GX5" s="13"/>
      <c r="GY5" s="30">
        <f ca="1"/>
        <v>3</v>
      </c>
      <c r="HA5" s="27">
        <f ca="1"/>
        <v>3</v>
      </c>
      <c r="HB5" s="30" t="str">
        <f ca="1"/>
        <v>Antistar</v>
      </c>
      <c r="HC5" s="30">
        <f ca="1"/>
        <v>3</v>
      </c>
      <c r="HD5" s="13"/>
      <c r="HE5" s="13">
        <v>5856</v>
      </c>
      <c r="HF5" s="1"/>
      <c r="HG5" s="29">
        <f ca="1"/>
        <v>3</v>
      </c>
      <c r="HH5" s="30" t="str">
        <f ca="1"/>
        <v>Sami</v>
      </c>
      <c r="HI5" s="30" t="e" vm="13">
        <f ca="1"/>
        <v>#VALUE!</v>
      </c>
      <c r="HJ5" s="30" t="e">
        <f ca="1"/>
        <v>#VALUE!</v>
      </c>
      <c r="HK5" s="13"/>
      <c r="HL5" s="30">
        <f ca="1"/>
        <v>2</v>
      </c>
      <c r="HN5" s="27">
        <f ca="1"/>
        <v>3</v>
      </c>
      <c r="HO5" s="30" t="str">
        <f ca="1"/>
        <v>Takashi</v>
      </c>
      <c r="HP5" s="30">
        <f ca="1"/>
        <v>2</v>
      </c>
      <c r="HQ5" s="13"/>
      <c r="HR5" s="13">
        <v>15177</v>
      </c>
      <c r="HT5" s="29">
        <f ca="1"/>
        <v>3</v>
      </c>
      <c r="HU5" s="30" t="str">
        <f ca="1"/>
        <v>Jarmou</v>
      </c>
      <c r="HV5" s="30" t="e" vm="17">
        <f ca="1"/>
        <v>#VALUE!</v>
      </c>
      <c r="HW5" s="30" t="e">
        <f ca="1"/>
        <v>#VALUE!</v>
      </c>
      <c r="HX5" s="13"/>
      <c r="HY5" s="30">
        <f ca="1"/>
        <v>1</v>
      </c>
      <c r="IA5" s="27">
        <f ca="1"/>
        <v>3</v>
      </c>
      <c r="IB5" s="30" t="str">
        <f ca="1"/>
        <v>Sami</v>
      </c>
      <c r="IC5" s="30">
        <f ca="1"/>
        <v>2</v>
      </c>
      <c r="ID5" s="13"/>
      <c r="IE5" s="13">
        <v>11733</v>
      </c>
      <c r="IG5" s="29">
        <f ca="1"/>
        <v>3</v>
      </c>
      <c r="IH5" s="30" t="str">
        <f ca="1"/>
        <v>Sami</v>
      </c>
      <c r="II5" s="30" t="e" vm="13">
        <f ca="1"/>
        <v>#VALUE!</v>
      </c>
      <c r="IJ5" s="30" t="e">
        <f ca="1"/>
        <v>#VALUE!</v>
      </c>
      <c r="IK5" s="13"/>
      <c r="IL5" s="30">
        <f ca="1"/>
        <v>2</v>
      </c>
      <c r="IN5" s="27">
        <f ca="1"/>
        <v>3</v>
      </c>
      <c r="IO5" s="30" t="str">
        <f ca="1"/>
        <v>KVD</v>
      </c>
      <c r="IP5" s="30">
        <f ca="1"/>
        <v>2</v>
      </c>
      <c r="IQ5" s="13">
        <v>1</v>
      </c>
      <c r="IR5" s="13">
        <v>5958</v>
      </c>
      <c r="IT5" s="29">
        <f ca="1"/>
        <v>3</v>
      </c>
      <c r="IU5" s="30" t="str">
        <f ca="1"/>
        <v>Sami</v>
      </c>
      <c r="IV5" s="30" t="e" vm="13">
        <f ca="1"/>
        <v>#VALUE!</v>
      </c>
      <c r="IW5" s="30" t="e">
        <f ca="1"/>
        <v>#VALUE!</v>
      </c>
      <c r="IX5" s="13">
        <v>1</v>
      </c>
      <c r="IY5" s="30">
        <f ca="1"/>
        <v>2</v>
      </c>
      <c r="JA5" s="27">
        <f ca="1"/>
        <v>3</v>
      </c>
      <c r="JB5" s="30" t="str">
        <f ca="1"/>
        <v>Sami</v>
      </c>
      <c r="JC5" s="30">
        <f ca="1"/>
        <v>2</v>
      </c>
      <c r="JD5" s="13"/>
      <c r="JE5" s="13">
        <v>12019</v>
      </c>
      <c r="JG5" s="29">
        <f ca="1"/>
        <v>3</v>
      </c>
      <c r="JH5" s="30" t="str">
        <f ca="1"/>
        <v>Lafungo</v>
      </c>
      <c r="JI5" s="30" t="e" vm="14">
        <f ca="1"/>
        <v>#VALUE!</v>
      </c>
      <c r="JJ5" s="30" t="e">
        <f ca="1"/>
        <v>#VALUE!</v>
      </c>
      <c r="JK5" s="13">
        <v>1</v>
      </c>
      <c r="JL5" s="30">
        <f ca="1"/>
        <v>2</v>
      </c>
      <c r="JN5" s="27">
        <f ca="1"/>
        <v>3</v>
      </c>
      <c r="JO5" s="30" t="str">
        <f ca="1"/>
        <v>Lafungo</v>
      </c>
      <c r="JP5" s="30">
        <f ca="1"/>
        <v>2</v>
      </c>
      <c r="JQ5" s="13"/>
      <c r="JR5" s="13">
        <v>11331</v>
      </c>
      <c r="JT5" s="29">
        <f ca="1"/>
        <v>3</v>
      </c>
      <c r="JU5" s="30" t="str">
        <f ca="1"/>
        <v>Lafungo</v>
      </c>
      <c r="JV5" s="30" t="e" vm="14">
        <f ca="1"/>
        <v>#VALUE!</v>
      </c>
      <c r="JW5" s="30" t="e">
        <f ca="1"/>
        <v>#VALUE!</v>
      </c>
      <c r="JX5" s="13">
        <v>1</v>
      </c>
      <c r="JY5" s="30">
        <f ca="1"/>
        <v>1</v>
      </c>
      <c r="KA5" s="27">
        <f ca="1"/>
        <v>3</v>
      </c>
      <c r="KB5" s="30" t="str">
        <f ca="1"/>
        <v>Lafungo</v>
      </c>
      <c r="KC5" s="30">
        <f ca="1"/>
        <v>1</v>
      </c>
      <c r="KD5" s="13"/>
      <c r="KE5" s="13">
        <v>10288</v>
      </c>
      <c r="KG5" s="29">
        <f ca="1"/>
        <v>3</v>
      </c>
      <c r="KH5" s="30" t="str">
        <f ca="1"/>
        <v>Antistar</v>
      </c>
      <c r="KI5" s="30" t="e" vm="15">
        <f ca="1"/>
        <v>#VALUE!</v>
      </c>
      <c r="KJ5" s="30" t="e">
        <f ca="1"/>
        <v>#VALUE!</v>
      </c>
      <c r="KK5" s="13">
        <v>1</v>
      </c>
      <c r="KL5" s="30">
        <f ca="1"/>
        <v>2</v>
      </c>
      <c r="KN5" s="27">
        <f ca="1"/>
        <v>3</v>
      </c>
      <c r="KO5" s="30" t="str">
        <f ca="1"/>
        <v>Lafungo</v>
      </c>
      <c r="KP5" s="30">
        <f ca="1"/>
        <v>1</v>
      </c>
      <c r="KQ5" s="13"/>
      <c r="KR5" s="13">
        <v>12947</v>
      </c>
      <c r="KT5" s="29">
        <f ca="1"/>
        <v>3</v>
      </c>
      <c r="KU5" s="30" t="str">
        <f ca="1"/>
        <v>Lafungo</v>
      </c>
      <c r="KV5" s="30" t="e" vm="14">
        <f ca="1"/>
        <v>#VALUE!</v>
      </c>
      <c r="KW5" s="30" t="e">
        <f ca="1"/>
        <v>#VALUE!</v>
      </c>
      <c r="KX5" s="13">
        <v>1</v>
      </c>
      <c r="KY5" s="30">
        <f ca="1"/>
        <v>0</v>
      </c>
      <c r="LA5" s="27">
        <f ca="1"/>
        <v>3</v>
      </c>
      <c r="LB5" s="30" t="str">
        <f ca="1"/>
        <v>Lafungo</v>
      </c>
      <c r="LC5" s="30">
        <f ca="1"/>
        <v>0</v>
      </c>
      <c r="LD5" s="13"/>
      <c r="LE5" s="13"/>
      <c r="LG5" s="29">
        <f ca="1"/>
        <v>3</v>
      </c>
      <c r="LH5" s="30" t="str">
        <f ca="1"/>
        <v>Lafungo</v>
      </c>
      <c r="LI5" s="30" t="e" vm="14">
        <f ca="1"/>
        <v>#VALUE!</v>
      </c>
      <c r="LJ5" s="30" t="e">
        <f ca="1"/>
        <v>#VALUE!</v>
      </c>
      <c r="LK5" s="13"/>
      <c r="LL5" s="30">
        <f ca="1"/>
        <v>0</v>
      </c>
      <c r="LN5" s="27">
        <f ca="1"/>
        <v>3</v>
      </c>
      <c r="LO5" s="30" t="str">
        <f ca="1"/>
        <v>Lafungo</v>
      </c>
      <c r="LP5" s="30">
        <f ca="1"/>
        <v>0</v>
      </c>
      <c r="LQ5" s="13"/>
      <c r="LR5" s="13"/>
      <c r="LT5" s="29">
        <f ca="1"/>
        <v>3</v>
      </c>
      <c r="LU5" s="30" t="str">
        <f ca="1"/>
        <v>Lafungo</v>
      </c>
      <c r="LV5" s="30" t="e" vm="14">
        <f ca="1"/>
        <v>#VALUE!</v>
      </c>
      <c r="LW5" s="30" t="e">
        <f ca="1"/>
        <v>#VALUE!</v>
      </c>
      <c r="LX5" s="13"/>
      <c r="LY5" s="30">
        <f ca="1"/>
        <v>0</v>
      </c>
      <c r="MA5" s="27">
        <f ca="1"/>
        <v>3</v>
      </c>
      <c r="MB5" s="30" t="str">
        <f ca="1"/>
        <v>Lafungo</v>
      </c>
      <c r="MC5" s="30">
        <f ca="1"/>
        <v>0</v>
      </c>
      <c r="MD5" s="13"/>
      <c r="ME5" s="13"/>
      <c r="MG5" s="29">
        <f ca="1"/>
        <v>3</v>
      </c>
      <c r="MH5" s="30" t="str">
        <f ca="1"/>
        <v>Lafungo</v>
      </c>
      <c r="MI5" s="30" t="e" vm="14">
        <f ca="1"/>
        <v>#VALUE!</v>
      </c>
      <c r="MJ5" s="30" t="e">
        <f ca="1"/>
        <v>#VALUE!</v>
      </c>
      <c r="MK5" s="13"/>
      <c r="ML5" s="30">
        <f ca="1"/>
        <v>0</v>
      </c>
      <c r="MN5" s="27">
        <f ca="1"/>
        <v>3</v>
      </c>
      <c r="MO5" s="30" t="str">
        <f ca="1"/>
        <v>Lafungo</v>
      </c>
      <c r="MP5" s="30">
        <f ca="1"/>
        <v>0</v>
      </c>
      <c r="MQ5" s="13"/>
      <c r="MR5" s="13"/>
      <c r="MS5" s="1"/>
      <c r="MT5" s="29">
        <f ca="1"/>
        <v>3</v>
      </c>
      <c r="MU5" s="30" t="str">
        <f ca="1"/>
        <v>Lafungo</v>
      </c>
      <c r="MV5" s="30" t="e" vm="14">
        <f ca="1"/>
        <v>#VALUE!</v>
      </c>
      <c r="MW5" s="30" t="e">
        <f ca="1"/>
        <v>#VALUE!</v>
      </c>
      <c r="MX5" s="13"/>
      <c r="MY5" s="30">
        <f ca="1"/>
        <v>0</v>
      </c>
      <c r="NA5" s="27">
        <f ca="1"/>
        <v>3</v>
      </c>
      <c r="NB5" s="30" t="str">
        <f ca="1"/>
        <v>Lafungo</v>
      </c>
      <c r="NC5" s="30">
        <f ca="1"/>
        <v>0</v>
      </c>
      <c r="ND5" s="13"/>
      <c r="NE5" s="13"/>
      <c r="NG5" s="29">
        <f ca="1"/>
        <v>3</v>
      </c>
      <c r="NH5" s="30" t="str">
        <f ca="1"/>
        <v>Lafungo</v>
      </c>
      <c r="NI5" s="30" t="e" vm="14">
        <f ca="1"/>
        <v>#VALUE!</v>
      </c>
      <c r="NJ5" s="30" t="e">
        <f ca="1"/>
        <v>#VALUE!</v>
      </c>
      <c r="NK5" s="13"/>
      <c r="NL5" s="30">
        <f ca="1"/>
        <v>0</v>
      </c>
      <c r="NN5" s="27">
        <f ca="1"/>
        <v>3</v>
      </c>
      <c r="NO5" s="30" t="str">
        <f ca="1"/>
        <v>Lafungo</v>
      </c>
      <c r="NP5" s="30">
        <f ca="1"/>
        <v>0</v>
      </c>
      <c r="NQ5" s="13"/>
      <c r="NR5" s="13"/>
      <c r="NT5" s="29">
        <f ca="1"/>
        <v>3</v>
      </c>
      <c r="NU5" s="30" t="str">
        <f ca="1"/>
        <v>Lafungo</v>
      </c>
      <c r="NV5" s="30" t="e" vm="14">
        <f ca="1"/>
        <v>#VALUE!</v>
      </c>
      <c r="NW5" s="30" t="e">
        <f ca="1"/>
        <v>#VALUE!</v>
      </c>
      <c r="NX5" s="13"/>
      <c r="NY5" s="30">
        <f ca="1"/>
        <v>0</v>
      </c>
      <c r="OA5" s="27">
        <f ca="1"/>
        <v>3</v>
      </c>
      <c r="OB5" s="30" t="str">
        <f ca="1"/>
        <v>Lafungo</v>
      </c>
      <c r="OC5" s="30">
        <f ca="1"/>
        <v>0</v>
      </c>
      <c r="OD5" s="13"/>
      <c r="OE5" s="13"/>
      <c r="OG5" s="29">
        <f ca="1"/>
        <v>3</v>
      </c>
      <c r="OH5" s="30" t="str">
        <f ca="1"/>
        <v>Lafungo</v>
      </c>
      <c r="OI5" s="30" t="e" vm="14">
        <f ca="1"/>
        <v>#VALUE!</v>
      </c>
      <c r="OJ5" s="30" t="e">
        <f ca="1"/>
        <v>#VALUE!</v>
      </c>
      <c r="OK5" s="13"/>
      <c r="OL5" s="30">
        <f ca="1"/>
        <v>0</v>
      </c>
      <c r="ON5" s="27">
        <f ca="1"/>
        <v>3</v>
      </c>
      <c r="OO5" s="30" t="str">
        <f ca="1"/>
        <v>Lafungo</v>
      </c>
      <c r="OP5" s="30">
        <f ca="1"/>
        <v>0</v>
      </c>
      <c r="OQ5" s="13"/>
      <c r="OR5" s="13"/>
      <c r="OT5" s="29">
        <f ca="1"/>
        <v>3</v>
      </c>
      <c r="OU5" s="30" t="str">
        <f ca="1"/>
        <v>Lafungo</v>
      </c>
      <c r="OV5" s="30" t="e" vm="14">
        <f ca="1"/>
        <v>#VALUE!</v>
      </c>
      <c r="OW5" s="30" t="e">
        <f ca="1"/>
        <v>#VALUE!</v>
      </c>
      <c r="OX5" s="13"/>
      <c r="OY5" s="30">
        <f ca="1"/>
        <v>0</v>
      </c>
      <c r="PA5" s="27">
        <f ca="1"/>
        <v>3</v>
      </c>
      <c r="PB5" s="30" t="str">
        <f ca="1"/>
        <v>Lafungo</v>
      </c>
      <c r="PC5" s="30">
        <f ca="1"/>
        <v>0</v>
      </c>
      <c r="PD5" s="13"/>
      <c r="PE5" s="13"/>
      <c r="PG5" s="29">
        <f ca="1"/>
        <v>3</v>
      </c>
      <c r="PH5" s="30" t="str">
        <f ca="1"/>
        <v>Lafungo</v>
      </c>
      <c r="PI5" s="30" t="e" vm="14">
        <f ca="1"/>
        <v>#VALUE!</v>
      </c>
      <c r="PJ5" s="30" t="e">
        <f ca="1"/>
        <v>#VALUE!</v>
      </c>
      <c r="PK5" s="13"/>
      <c r="PL5" s="30">
        <f ca="1"/>
        <v>0</v>
      </c>
      <c r="PN5" s="27">
        <f ca="1"/>
        <v>3</v>
      </c>
      <c r="PO5" s="30" t="str">
        <f ca="1"/>
        <v>Lafungo</v>
      </c>
      <c r="PP5" s="30">
        <f ca="1"/>
        <v>0</v>
      </c>
      <c r="PQ5" s="13"/>
      <c r="PR5" s="13"/>
      <c r="PT5" s="29">
        <f ca="1"/>
        <v>3</v>
      </c>
      <c r="PU5" s="30" t="str">
        <f ca="1"/>
        <v>Lafungo</v>
      </c>
      <c r="PV5" s="30" t="e" vm="14">
        <f ca="1"/>
        <v>#VALUE!</v>
      </c>
      <c r="PW5" s="30" t="e">
        <f ca="1"/>
        <v>#VALUE!</v>
      </c>
      <c r="PX5" s="13"/>
      <c r="PY5" s="30">
        <f ca="1"/>
        <v>0</v>
      </c>
      <c r="QA5" s="27">
        <f ca="1"/>
        <v>3</v>
      </c>
      <c r="QB5" s="30" t="str">
        <f ca="1"/>
        <v>Lafungo</v>
      </c>
      <c r="QC5" s="30">
        <f ca="1"/>
        <v>0</v>
      </c>
      <c r="QD5" s="13"/>
      <c r="QE5" s="13"/>
      <c r="QG5" s="29">
        <f ca="1"/>
        <v>3</v>
      </c>
      <c r="QH5" s="30" t="str">
        <f ca="1"/>
        <v>Lafungo</v>
      </c>
      <c r="QI5" s="30" t="e" vm="14">
        <f ca="1"/>
        <v>#VALUE!</v>
      </c>
      <c r="QJ5" s="30" t="e">
        <f ca="1"/>
        <v>#VALUE!</v>
      </c>
      <c r="QK5" s="13"/>
      <c r="QL5" s="30">
        <f ca="1"/>
        <v>0</v>
      </c>
      <c r="QN5" s="27">
        <f ca="1"/>
        <v>3</v>
      </c>
      <c r="QO5" s="30" t="str">
        <f ca="1"/>
        <v>Lafungo</v>
      </c>
      <c r="QP5" s="30">
        <f ca="1"/>
        <v>0</v>
      </c>
      <c r="QQ5" s="13"/>
      <c r="QR5" s="13"/>
      <c r="QT5" s="29">
        <f ca="1"/>
        <v>3</v>
      </c>
      <c r="QU5" s="30" t="str">
        <f ca="1"/>
        <v>Lafungo</v>
      </c>
      <c r="QV5" s="30" t="e" vm="14">
        <f ca="1"/>
        <v>#VALUE!</v>
      </c>
      <c r="QW5" s="30" t="e">
        <f ca="1"/>
        <v>#VALUE!</v>
      </c>
      <c r="QX5" s="13"/>
      <c r="QY5" s="30">
        <f ca="1"/>
        <v>0</v>
      </c>
      <c r="RA5" s="27">
        <f ca="1"/>
        <v>3</v>
      </c>
      <c r="RB5" s="30" t="str">
        <f ca="1"/>
        <v>Lafungo</v>
      </c>
      <c r="RC5" s="30">
        <f ca="1"/>
        <v>0</v>
      </c>
      <c r="RD5" s="13"/>
      <c r="RE5" s="13"/>
      <c r="RG5" s="29">
        <f ca="1"/>
        <v>3</v>
      </c>
      <c r="RH5" s="30" t="str">
        <f ca="1"/>
        <v>Lafungo</v>
      </c>
      <c r="RI5" s="30" t="e" vm="14">
        <f ca="1"/>
        <v>#VALUE!</v>
      </c>
      <c r="RJ5" s="30" t="e">
        <f ca="1"/>
        <v>#VALUE!</v>
      </c>
      <c r="RK5" s="13"/>
      <c r="RL5" s="30">
        <f ca="1"/>
        <v>0</v>
      </c>
      <c r="RN5" s="27">
        <f ca="1"/>
        <v>3</v>
      </c>
      <c r="RO5" s="30" t="str">
        <f ca="1"/>
        <v>Lafungo</v>
      </c>
      <c r="RP5" s="30">
        <f ca="1"/>
        <v>0</v>
      </c>
      <c r="RQ5" s="13"/>
      <c r="RR5" s="13"/>
      <c r="RT5" s="29">
        <f ca="1"/>
        <v>3</v>
      </c>
      <c r="RU5" s="30" t="str">
        <f ca="1"/>
        <v>Lafungo</v>
      </c>
      <c r="RV5" s="30" t="e" vm="14">
        <f ca="1"/>
        <v>#VALUE!</v>
      </c>
      <c r="RW5" s="30" t="e">
        <f ca="1"/>
        <v>#VALUE!</v>
      </c>
      <c r="RX5" s="13"/>
      <c r="RY5" s="30">
        <f ca="1"/>
        <v>0</v>
      </c>
      <c r="SA5" s="27">
        <f ca="1"/>
        <v>3</v>
      </c>
      <c r="SB5" s="30" t="str">
        <f ca="1"/>
        <v>Lafungo</v>
      </c>
      <c r="SC5" s="30">
        <f ca="1"/>
        <v>0</v>
      </c>
      <c r="SD5" s="13"/>
      <c r="SE5" s="13"/>
      <c r="SG5" s="29">
        <f ca="1"/>
        <v>3</v>
      </c>
      <c r="SH5" s="30" t="str">
        <f ca="1"/>
        <v>Lafungo</v>
      </c>
      <c r="SI5" s="30" t="e" vm="14">
        <f ca="1"/>
        <v>#VALUE!</v>
      </c>
      <c r="SJ5" s="30" t="e">
        <f ca="1"/>
        <v>#VALUE!</v>
      </c>
      <c r="SK5" s="13"/>
      <c r="SL5" s="30">
        <f ca="1"/>
        <v>0</v>
      </c>
      <c r="SN5" s="27">
        <f ca="1"/>
        <v>3</v>
      </c>
      <c r="SO5" s="30" t="str">
        <f ca="1"/>
        <v>Lafungo</v>
      </c>
      <c r="SP5" s="30">
        <f ca="1"/>
        <v>0</v>
      </c>
      <c r="SQ5" s="13"/>
      <c r="SR5" s="13"/>
      <c r="ST5" s="29">
        <f ca="1"/>
        <v>3</v>
      </c>
      <c r="SU5" s="30" t="str">
        <f ca="1"/>
        <v>Lafungo</v>
      </c>
      <c r="SV5" s="30" t="e" vm="14">
        <f ca="1"/>
        <v>#VALUE!</v>
      </c>
      <c r="SW5" s="30" t="e">
        <f ca="1"/>
        <v>#VALUE!</v>
      </c>
      <c r="SX5" s="13"/>
      <c r="SY5" s="30">
        <f ca="1"/>
        <v>0</v>
      </c>
      <c r="TA5" s="29">
        <f ca="1"/>
        <v>3</v>
      </c>
      <c r="TB5" s="30" t="str">
        <f ca="1"/>
        <v>Lafungo</v>
      </c>
      <c r="TC5" s="30" t="e" vm="14">
        <f ca="1"/>
        <v>#VALUE!</v>
      </c>
      <c r="TD5" s="30">
        <f ca="1"/>
        <v>1300</v>
      </c>
    </row>
    <row r="6" spans="1:524" ht="20.100000000000001" customHeight="1">
      <c r="A6" s="27">
        <f ca="1"/>
        <v>4</v>
      </c>
      <c r="B6" s="30" t="str">
        <f ca="1"/>
        <v>Antistar</v>
      </c>
      <c r="C6" s="30">
        <v>1</v>
      </c>
      <c r="D6" s="13"/>
      <c r="E6" s="57">
        <v>0</v>
      </c>
      <c r="G6" s="29">
        <f ca="1"/>
        <v>4</v>
      </c>
      <c r="H6" s="30" t="str">
        <f ca="1"/>
        <v>Antistar</v>
      </c>
      <c r="I6" s="30" t="e" vm="15">
        <f ca="1"/>
        <v>#VALUE!</v>
      </c>
      <c r="J6" s="55" t="e">
        <f ca="1"/>
        <v>#VALUE!</v>
      </c>
      <c r="K6" s="13"/>
      <c r="L6" s="30">
        <f ca="1"/>
        <v>1</v>
      </c>
      <c r="N6" s="27">
        <f ca="1"/>
        <v>4</v>
      </c>
      <c r="O6" s="30" t="str">
        <f ca="1"/>
        <v>Antistar</v>
      </c>
      <c r="P6" s="30">
        <f ca="1"/>
        <v>1</v>
      </c>
      <c r="Q6" s="13"/>
      <c r="R6" s="13">
        <v>0</v>
      </c>
      <c r="T6" s="29">
        <f ca="1"/>
        <v>4</v>
      </c>
      <c r="U6" s="30" t="str">
        <f ca="1"/>
        <v>Antistar</v>
      </c>
      <c r="V6" s="30" t="e" vm="15">
        <f ca="1"/>
        <v>#VALUE!</v>
      </c>
      <c r="W6" s="30" t="e">
        <f ca="1"/>
        <v>#VALUE!</v>
      </c>
      <c r="X6" s="13"/>
      <c r="Y6" s="30">
        <f ca="1"/>
        <v>1</v>
      </c>
      <c r="AA6" s="27">
        <f ca="1"/>
        <v>4</v>
      </c>
      <c r="AB6" s="30" t="str">
        <f ca="1"/>
        <v>Antistar</v>
      </c>
      <c r="AC6" s="30">
        <f ca="1"/>
        <v>1</v>
      </c>
      <c r="AD6" s="13"/>
      <c r="AE6" s="13">
        <v>0</v>
      </c>
      <c r="AG6" s="29">
        <f ca="1"/>
        <v>4</v>
      </c>
      <c r="AH6" s="30" t="str">
        <f ca="1"/>
        <v>Antistar</v>
      </c>
      <c r="AI6" s="30" t="e" vm="15">
        <f ca="1"/>
        <v>#VALUE!</v>
      </c>
      <c r="AJ6" s="30" t="e">
        <f ca="1"/>
        <v>#VALUE!</v>
      </c>
      <c r="AK6" s="13"/>
      <c r="AL6" s="30">
        <f ca="1"/>
        <v>1</v>
      </c>
      <c r="AN6" s="27">
        <f ca="1"/>
        <v>4</v>
      </c>
      <c r="AO6" s="30" t="str">
        <f ca="1"/>
        <v>Antistar</v>
      </c>
      <c r="AP6" s="30">
        <f ca="1"/>
        <v>1</v>
      </c>
      <c r="AQ6" s="13"/>
      <c r="AR6" s="13">
        <v>0</v>
      </c>
      <c r="AT6" s="29">
        <f ca="1"/>
        <v>4</v>
      </c>
      <c r="AU6" s="30" t="str">
        <f ca="1"/>
        <v>Antistar</v>
      </c>
      <c r="AV6" s="30" t="e" vm="15">
        <f ca="1"/>
        <v>#VALUE!</v>
      </c>
      <c r="AW6" s="30" t="e">
        <f ca="1"/>
        <v>#VALUE!</v>
      </c>
      <c r="AX6" s="13"/>
      <c r="AY6" s="30">
        <f ca="1"/>
        <v>1</v>
      </c>
      <c r="BA6" s="27">
        <f ca="1"/>
        <v>4</v>
      </c>
      <c r="BB6" s="30" t="str">
        <f ca="1"/>
        <v>Antistar</v>
      </c>
      <c r="BC6" s="30">
        <f ca="1"/>
        <v>1</v>
      </c>
      <c r="BD6" s="13"/>
      <c r="BE6" s="13">
        <v>0</v>
      </c>
      <c r="BG6" s="29">
        <f ca="1"/>
        <v>4</v>
      </c>
      <c r="BH6" s="30" t="str">
        <f ca="1"/>
        <v>Antistar</v>
      </c>
      <c r="BI6" s="30" t="e" vm="15">
        <f ca="1"/>
        <v>#VALUE!</v>
      </c>
      <c r="BJ6" s="30" t="e">
        <f ca="1"/>
        <v>#VALUE!</v>
      </c>
      <c r="BK6" s="13"/>
      <c r="BL6" s="30">
        <f ca="1"/>
        <v>1</v>
      </c>
      <c r="BN6" s="27">
        <f ca="1"/>
        <v>4</v>
      </c>
      <c r="BO6" s="30" t="str">
        <f ca="1"/>
        <v>Antistar</v>
      </c>
      <c r="BP6" s="30">
        <f ca="1"/>
        <v>1</v>
      </c>
      <c r="BQ6" s="13"/>
      <c r="BR6" s="13">
        <v>0</v>
      </c>
      <c r="BS6" s="1"/>
      <c r="BT6" s="29">
        <f ca="1"/>
        <v>4</v>
      </c>
      <c r="BU6" s="30" t="str">
        <f ca="1"/>
        <v>Antistar</v>
      </c>
      <c r="BV6" s="30" t="e" vm="15">
        <f ca="1"/>
        <v>#VALUE!</v>
      </c>
      <c r="BW6" s="30" t="e">
        <f ca="1"/>
        <v>#VALUE!</v>
      </c>
      <c r="BX6" s="13"/>
      <c r="BY6" s="30">
        <f ca="1"/>
        <v>1</v>
      </c>
      <c r="CA6" s="27">
        <f ca="1"/>
        <v>4</v>
      </c>
      <c r="CB6" s="30" t="str">
        <f ca="1"/>
        <v>Antistar</v>
      </c>
      <c r="CC6" s="30">
        <f ca="1"/>
        <v>1</v>
      </c>
      <c r="CD6" s="13"/>
      <c r="CE6" s="13">
        <v>0</v>
      </c>
      <c r="CG6" s="29">
        <f ca="1"/>
        <v>4</v>
      </c>
      <c r="CH6" s="30" t="str">
        <f ca="1"/>
        <v>Antistar</v>
      </c>
      <c r="CI6" s="30" t="e" vm="15">
        <f ca="1"/>
        <v>#VALUE!</v>
      </c>
      <c r="CJ6" s="30" t="e">
        <f ca="1"/>
        <v>#VALUE!</v>
      </c>
      <c r="CK6" s="13"/>
      <c r="CL6" s="30">
        <f ca="1"/>
        <v>1</v>
      </c>
      <c r="CN6" s="27">
        <f ca="1"/>
        <v>4</v>
      </c>
      <c r="CO6" s="30" t="str">
        <f ca="1"/>
        <v>Antistar</v>
      </c>
      <c r="CP6" s="30">
        <f ca="1"/>
        <v>1</v>
      </c>
      <c r="CQ6" s="13"/>
      <c r="CR6" s="13">
        <v>0</v>
      </c>
      <c r="CT6" s="29">
        <f ca="1"/>
        <v>4</v>
      </c>
      <c r="CU6" s="30" t="str">
        <f ca="1"/>
        <v>Antistar</v>
      </c>
      <c r="CV6" s="30" t="e" vm="15">
        <f ca="1"/>
        <v>#VALUE!</v>
      </c>
      <c r="CW6" s="30" t="e">
        <f ca="1"/>
        <v>#VALUE!</v>
      </c>
      <c r="CX6" s="13"/>
      <c r="CY6" s="30">
        <f ca="1"/>
        <v>1</v>
      </c>
      <c r="DA6" s="27">
        <f ca="1"/>
        <v>4</v>
      </c>
      <c r="DB6" s="30" t="str">
        <f ca="1"/>
        <v>Antistar</v>
      </c>
      <c r="DC6" s="30">
        <f ca="1"/>
        <v>1</v>
      </c>
      <c r="DD6" s="13">
        <v>2</v>
      </c>
      <c r="DE6" s="13">
        <v>5619</v>
      </c>
      <c r="DG6" s="29">
        <f ca="1"/>
        <v>4</v>
      </c>
      <c r="DH6" s="30" t="str">
        <f ca="1"/>
        <v>Takashi</v>
      </c>
      <c r="DI6" s="30" t="e" vm="16">
        <f ca="1"/>
        <v>#VALUE!</v>
      </c>
      <c r="DJ6" s="30" t="e">
        <f ca="1"/>
        <v>#VALUE!</v>
      </c>
      <c r="DK6" s="13"/>
      <c r="DL6" s="30">
        <f ca="1"/>
        <v>3</v>
      </c>
      <c r="DN6" s="27">
        <f ca="1"/>
        <v>4</v>
      </c>
      <c r="DO6" s="30" t="str">
        <f ca="1"/>
        <v>Takashi</v>
      </c>
      <c r="DP6" s="30">
        <f ca="1"/>
        <v>3</v>
      </c>
      <c r="DQ6" s="13"/>
      <c r="DR6" s="13">
        <v>13114</v>
      </c>
      <c r="DT6" s="29">
        <f ca="1"/>
        <v>4</v>
      </c>
      <c r="DU6" s="30" t="str">
        <f ca="1"/>
        <v>Takashi</v>
      </c>
      <c r="DV6" s="30" t="e" vm="16">
        <f ca="1"/>
        <v>#VALUE!</v>
      </c>
      <c r="DW6" s="30" t="e">
        <f ca="1"/>
        <v>#VALUE!</v>
      </c>
      <c r="DX6" s="13"/>
      <c r="DY6" s="30">
        <f ca="1"/>
        <v>3</v>
      </c>
      <c r="EA6" s="27">
        <f ca="1"/>
        <v>4</v>
      </c>
      <c r="EB6" s="30" t="str">
        <f ca="1"/>
        <v>Onwa</v>
      </c>
      <c r="EC6" s="30">
        <f ca="1"/>
        <v>3</v>
      </c>
      <c r="ED6" s="13"/>
      <c r="EE6" s="13">
        <v>10505</v>
      </c>
      <c r="EG6" s="29">
        <f ca="1"/>
        <v>4</v>
      </c>
      <c r="EH6" s="30" t="str">
        <f ca="1"/>
        <v>Mike</v>
      </c>
      <c r="EI6" s="30" t="e" vm="12">
        <f ca="1"/>
        <v>#VALUE!</v>
      </c>
      <c r="EJ6" s="30" t="e">
        <f ca="1"/>
        <v>#VALUE!</v>
      </c>
      <c r="EK6" s="13"/>
      <c r="EL6" s="30">
        <f ca="1"/>
        <v>2</v>
      </c>
      <c r="EN6" s="27">
        <f ca="1"/>
        <v>4</v>
      </c>
      <c r="EO6" s="30" t="str">
        <f ca="1"/>
        <v>Takashi</v>
      </c>
      <c r="EP6" s="30">
        <f ca="1"/>
        <v>3</v>
      </c>
      <c r="EQ6" s="13"/>
      <c r="ER6" s="13">
        <v>12051</v>
      </c>
      <c r="ET6" s="29">
        <f ca="1"/>
        <v>4</v>
      </c>
      <c r="EU6" s="30" t="str">
        <f ca="1"/>
        <v>Sami</v>
      </c>
      <c r="EV6" s="30" t="e" vm="13">
        <f ca="1"/>
        <v>#VALUE!</v>
      </c>
      <c r="EW6" s="30" t="e">
        <f ca="1"/>
        <v>#VALUE!</v>
      </c>
      <c r="EX6" s="13"/>
      <c r="EY6" s="30">
        <f ca="1"/>
        <v>3</v>
      </c>
      <c r="FA6" s="27">
        <f ca="1"/>
        <v>4</v>
      </c>
      <c r="FB6" s="30" t="str">
        <f ca="1"/>
        <v>Lafungo</v>
      </c>
      <c r="FC6" s="30">
        <f ca="1"/>
        <v>2</v>
      </c>
      <c r="FD6" s="13"/>
      <c r="FE6" s="13">
        <v>13402</v>
      </c>
      <c r="FG6" s="29">
        <f ca="1"/>
        <v>4</v>
      </c>
      <c r="FH6" s="30" t="str">
        <f ca="1"/>
        <v>Onwa</v>
      </c>
      <c r="FI6" s="30" t="e" vm="16">
        <f ca="1"/>
        <v>#VALUE!</v>
      </c>
      <c r="FJ6" s="30" t="e">
        <f ca="1"/>
        <v>#VALUE!</v>
      </c>
      <c r="FK6" s="13"/>
      <c r="FL6" s="30">
        <f ca="1"/>
        <v>1</v>
      </c>
      <c r="FN6" s="27">
        <f ca="1"/>
        <v>4</v>
      </c>
      <c r="FO6" s="30" t="str">
        <f ca="1"/>
        <v>Sami</v>
      </c>
      <c r="FP6" s="30">
        <f ca="1"/>
        <v>2</v>
      </c>
      <c r="FQ6" s="13"/>
      <c r="FR6" s="13">
        <v>13804</v>
      </c>
      <c r="FT6" s="29">
        <f ca="1"/>
        <v>4</v>
      </c>
      <c r="FU6" s="30" t="str">
        <f ca="1"/>
        <v>Takashi</v>
      </c>
      <c r="FV6" s="30" t="e" vm="16">
        <f ca="1"/>
        <v>#VALUE!</v>
      </c>
      <c r="FW6" s="30" t="e">
        <f ca="1"/>
        <v>#VALUE!</v>
      </c>
      <c r="FX6" s="13"/>
      <c r="FY6" s="30">
        <f ca="1"/>
        <v>3</v>
      </c>
      <c r="GA6" s="27">
        <f ca="1"/>
        <v>4</v>
      </c>
      <c r="GB6" s="30" t="str">
        <f ca="1"/>
        <v>Antistar</v>
      </c>
      <c r="GC6" s="30">
        <f ca="1"/>
        <v>1</v>
      </c>
      <c r="GD6" s="13"/>
      <c r="GE6" s="13">
        <v>0</v>
      </c>
      <c r="GG6" s="29">
        <f ca="1"/>
        <v>4</v>
      </c>
      <c r="GH6" s="30" t="str">
        <f ca="1"/>
        <v>Antistar</v>
      </c>
      <c r="GI6" s="30" t="e" vm="15">
        <f ca="1"/>
        <v>#VALUE!</v>
      </c>
      <c r="GJ6" s="30" t="e">
        <f ca="1"/>
        <v>#VALUE!</v>
      </c>
      <c r="GK6" s="13"/>
      <c r="GL6" s="30">
        <f ca="1"/>
        <v>1</v>
      </c>
      <c r="GN6" s="27">
        <f ca="1"/>
        <v>4</v>
      </c>
      <c r="GO6" s="30" t="str">
        <f ca="1"/>
        <v>Antistar</v>
      </c>
      <c r="GP6" s="30">
        <f ca="1"/>
        <v>1</v>
      </c>
      <c r="GQ6" s="13">
        <v>2</v>
      </c>
      <c r="GR6" s="13">
        <v>10779</v>
      </c>
      <c r="GT6" s="29">
        <f ca="1"/>
        <v>4</v>
      </c>
      <c r="GU6" s="30" t="str">
        <f ca="1"/>
        <v>JDR</v>
      </c>
      <c r="GV6" s="30" t="e" vm="15">
        <f ca="1"/>
        <v>#VALUE!</v>
      </c>
      <c r="GW6" s="30" t="e">
        <f ca="1"/>
        <v>#VALUE!</v>
      </c>
      <c r="GX6" s="13"/>
      <c r="GY6" s="30">
        <f ca="1"/>
        <v>3</v>
      </c>
      <c r="HA6" s="27">
        <f ca="1"/>
        <v>4</v>
      </c>
      <c r="HB6" s="30" t="str">
        <f ca="1"/>
        <v>JDR</v>
      </c>
      <c r="HC6" s="30">
        <f ca="1"/>
        <v>3</v>
      </c>
      <c r="HD6" s="13"/>
      <c r="HE6" s="13">
        <v>10085</v>
      </c>
      <c r="HF6" s="1"/>
      <c r="HG6" s="29">
        <f ca="1"/>
        <v>4</v>
      </c>
      <c r="HH6" s="30" t="str">
        <f ca="1"/>
        <v>KVD</v>
      </c>
      <c r="HI6" s="30" t="e" vm="12">
        <f ca="1"/>
        <v>#VALUE!</v>
      </c>
      <c r="HJ6" s="30" t="e">
        <f ca="1"/>
        <v>#VALUE!</v>
      </c>
      <c r="HK6" s="13"/>
      <c r="HL6" s="30">
        <f ca="1"/>
        <v>3</v>
      </c>
      <c r="HN6" s="27">
        <f ca="1"/>
        <v>4</v>
      </c>
      <c r="HO6" s="30" t="str">
        <f ca="1"/>
        <v>Sami</v>
      </c>
      <c r="HP6" s="30">
        <f ca="1"/>
        <v>2</v>
      </c>
      <c r="HQ6" s="13"/>
      <c r="HR6" s="13">
        <v>14624</v>
      </c>
      <c r="HT6" s="29">
        <f ca="1"/>
        <v>4</v>
      </c>
      <c r="HU6" s="30" t="str">
        <f ca="1"/>
        <v>Sami</v>
      </c>
      <c r="HV6" s="30" t="e" vm="13">
        <f ca="1"/>
        <v>#VALUE!</v>
      </c>
      <c r="HW6" s="30" t="e">
        <f ca="1"/>
        <v>#VALUE!</v>
      </c>
      <c r="HX6" s="13"/>
      <c r="HY6" s="30">
        <f ca="1"/>
        <v>2</v>
      </c>
      <c r="IA6" s="27">
        <f ca="1"/>
        <v>4</v>
      </c>
      <c r="IB6" s="30" t="str">
        <f ca="1"/>
        <v>KVD</v>
      </c>
      <c r="IC6" s="30">
        <f ca="1"/>
        <v>2</v>
      </c>
      <c r="ID6" s="13"/>
      <c r="IE6" s="13">
        <v>11727</v>
      </c>
      <c r="IG6" s="29">
        <f ca="1"/>
        <v>4</v>
      </c>
      <c r="IH6" s="30" t="str">
        <f ca="1"/>
        <v>Lafungo</v>
      </c>
      <c r="II6" s="30" t="e" vm="14">
        <f ca="1"/>
        <v>#VALUE!</v>
      </c>
      <c r="IJ6" s="30" t="e">
        <f ca="1"/>
        <v>#VALUE!</v>
      </c>
      <c r="IK6" s="13"/>
      <c r="IL6" s="30">
        <f ca="1"/>
        <v>3</v>
      </c>
      <c r="IN6" s="27">
        <f ca="1"/>
        <v>4</v>
      </c>
      <c r="IO6" s="30" t="str">
        <f ca="1"/>
        <v>Sami</v>
      </c>
      <c r="IP6" s="30">
        <f ca="1"/>
        <v>2</v>
      </c>
      <c r="IQ6" s="13">
        <v>1</v>
      </c>
      <c r="IR6" s="13">
        <v>5944</v>
      </c>
      <c r="IT6" s="29">
        <f ca="1"/>
        <v>4</v>
      </c>
      <c r="IU6" s="30" t="str">
        <f ca="1"/>
        <v>KVD</v>
      </c>
      <c r="IV6" s="30" t="e" vm="12">
        <f ca="1"/>
        <v>#VALUE!</v>
      </c>
      <c r="IW6" s="30" t="e">
        <f ca="1"/>
        <v>#VALUE!</v>
      </c>
      <c r="IX6" s="13">
        <v>1</v>
      </c>
      <c r="IY6" s="30">
        <f ca="1"/>
        <v>2</v>
      </c>
      <c r="JA6" s="27">
        <f ca="1"/>
        <v>4</v>
      </c>
      <c r="JB6" s="30" t="str">
        <f ca="1"/>
        <v>KVD</v>
      </c>
      <c r="JC6" s="30">
        <f ca="1"/>
        <v>2</v>
      </c>
      <c r="JD6" s="13"/>
      <c r="JE6" s="13">
        <v>11711</v>
      </c>
      <c r="JG6" s="29">
        <f ca="1"/>
        <v>4</v>
      </c>
      <c r="JH6" s="30" t="str">
        <f ca="1"/>
        <v>Sami</v>
      </c>
      <c r="JI6" s="30" t="e" vm="13">
        <f ca="1"/>
        <v>#VALUE!</v>
      </c>
      <c r="JJ6" s="30" t="e">
        <f ca="1"/>
        <v>#VALUE!</v>
      </c>
      <c r="JK6" s="13">
        <v>1</v>
      </c>
      <c r="JL6" s="30">
        <f ca="1"/>
        <v>1</v>
      </c>
      <c r="JN6" s="27">
        <f ca="1"/>
        <v>4</v>
      </c>
      <c r="JO6" s="30" t="str">
        <f ca="1"/>
        <v>Sami</v>
      </c>
      <c r="JP6" s="30">
        <f ca="1"/>
        <v>1</v>
      </c>
      <c r="JQ6" s="13"/>
      <c r="JR6" s="13">
        <v>11611</v>
      </c>
      <c r="JT6" s="29">
        <f ca="1"/>
        <v>4</v>
      </c>
      <c r="JU6" s="30" t="str">
        <f ca="1"/>
        <v>Sami</v>
      </c>
      <c r="JV6" s="30" t="e" vm="13">
        <f ca="1"/>
        <v>#VALUE!</v>
      </c>
      <c r="JW6" s="30" t="e">
        <f ca="1"/>
        <v>#VALUE!</v>
      </c>
      <c r="JX6" s="13">
        <v>1</v>
      </c>
      <c r="JY6" s="30">
        <f ca="1"/>
        <v>0</v>
      </c>
      <c r="KA6" s="27">
        <f ca="1"/>
        <v>4</v>
      </c>
      <c r="KB6" s="30" t="str">
        <f ca="1"/>
        <v>Sami</v>
      </c>
      <c r="KC6" s="30">
        <f ca="1"/>
        <v>0</v>
      </c>
      <c r="KD6" s="13"/>
      <c r="KE6" s="13"/>
      <c r="KG6" s="29">
        <f ca="1"/>
        <v>4</v>
      </c>
      <c r="KH6" s="30" t="str">
        <f ca="1"/>
        <v>Sami</v>
      </c>
      <c r="KI6" s="30" t="e" vm="13">
        <f ca="1"/>
        <v>#VALUE!</v>
      </c>
      <c r="KJ6" s="30" t="e">
        <f ca="1"/>
        <v>#VALUE!</v>
      </c>
      <c r="KK6" s="13"/>
      <c r="KL6" s="30">
        <f ca="1"/>
        <v>0</v>
      </c>
      <c r="KN6" s="27">
        <f ca="1"/>
        <v>4</v>
      </c>
      <c r="KO6" s="30" t="str">
        <f ca="1"/>
        <v>Sami</v>
      </c>
      <c r="KP6" s="30">
        <f ca="1"/>
        <v>0</v>
      </c>
      <c r="KQ6" s="13"/>
      <c r="KR6" s="13"/>
      <c r="KT6" s="29">
        <f ca="1"/>
        <v>4</v>
      </c>
      <c r="KU6" s="30" t="str">
        <f ca="1"/>
        <v>Sami</v>
      </c>
      <c r="KV6" s="30" t="e" vm="13">
        <f ca="1"/>
        <v>#VALUE!</v>
      </c>
      <c r="KW6" s="30" t="e">
        <f ca="1"/>
        <v>#VALUE!</v>
      </c>
      <c r="KX6" s="13"/>
      <c r="KY6" s="30">
        <f ca="1"/>
        <v>0</v>
      </c>
      <c r="LA6" s="27">
        <f ca="1"/>
        <v>4</v>
      </c>
      <c r="LB6" s="30" t="str">
        <f ca="1"/>
        <v>Sami</v>
      </c>
      <c r="LC6" s="30">
        <f ca="1"/>
        <v>0</v>
      </c>
      <c r="LD6" s="13"/>
      <c r="LE6" s="13"/>
      <c r="LG6" s="29">
        <f ca="1"/>
        <v>4</v>
      </c>
      <c r="LH6" s="30" t="str">
        <f ca="1"/>
        <v>Sami</v>
      </c>
      <c r="LI6" s="30" t="e" vm="13">
        <f ca="1"/>
        <v>#VALUE!</v>
      </c>
      <c r="LJ6" s="30" t="e">
        <f ca="1"/>
        <v>#VALUE!</v>
      </c>
      <c r="LK6" s="13"/>
      <c r="LL6" s="30">
        <f ca="1"/>
        <v>0</v>
      </c>
      <c r="LN6" s="27">
        <f ca="1"/>
        <v>4</v>
      </c>
      <c r="LO6" s="30" t="str">
        <f ca="1"/>
        <v>Sami</v>
      </c>
      <c r="LP6" s="30">
        <f ca="1"/>
        <v>0</v>
      </c>
      <c r="LQ6" s="13"/>
      <c r="LR6" s="13"/>
      <c r="LT6" s="29">
        <f ca="1"/>
        <v>4</v>
      </c>
      <c r="LU6" s="30" t="str">
        <f ca="1"/>
        <v>Sami</v>
      </c>
      <c r="LV6" s="30" t="e" vm="13">
        <f ca="1"/>
        <v>#VALUE!</v>
      </c>
      <c r="LW6" s="30" t="e">
        <f ca="1"/>
        <v>#VALUE!</v>
      </c>
      <c r="LX6" s="13"/>
      <c r="LY6" s="30">
        <f ca="1"/>
        <v>0</v>
      </c>
      <c r="MA6" s="27">
        <f ca="1"/>
        <v>4</v>
      </c>
      <c r="MB6" s="30" t="str">
        <f ca="1"/>
        <v>Sami</v>
      </c>
      <c r="MC6" s="30">
        <f ca="1"/>
        <v>0</v>
      </c>
      <c r="MD6" s="13"/>
      <c r="ME6" s="13"/>
      <c r="MG6" s="29">
        <f ca="1"/>
        <v>4</v>
      </c>
      <c r="MH6" s="30" t="str">
        <f ca="1"/>
        <v>Sami</v>
      </c>
      <c r="MI6" s="30" t="e" vm="13">
        <f ca="1"/>
        <v>#VALUE!</v>
      </c>
      <c r="MJ6" s="30" t="e">
        <f ca="1"/>
        <v>#VALUE!</v>
      </c>
      <c r="MK6" s="13"/>
      <c r="ML6" s="30">
        <f ca="1"/>
        <v>0</v>
      </c>
      <c r="MN6" s="27">
        <f ca="1"/>
        <v>4</v>
      </c>
      <c r="MO6" s="30" t="str">
        <f ca="1"/>
        <v>Sami</v>
      </c>
      <c r="MP6" s="30">
        <f ca="1"/>
        <v>0</v>
      </c>
      <c r="MQ6" s="13"/>
      <c r="MR6" s="13"/>
      <c r="MS6" s="1"/>
      <c r="MT6" s="29">
        <f ca="1"/>
        <v>4</v>
      </c>
      <c r="MU6" s="30" t="str">
        <f ca="1"/>
        <v>Sami</v>
      </c>
      <c r="MV6" s="30" t="e" vm="13">
        <f ca="1"/>
        <v>#VALUE!</v>
      </c>
      <c r="MW6" s="30" t="e">
        <f ca="1"/>
        <v>#VALUE!</v>
      </c>
      <c r="MX6" s="13"/>
      <c r="MY6" s="30">
        <f ca="1"/>
        <v>0</v>
      </c>
      <c r="NA6" s="27">
        <f ca="1"/>
        <v>4</v>
      </c>
      <c r="NB6" s="30" t="str">
        <f ca="1"/>
        <v>Sami</v>
      </c>
      <c r="NC6" s="30">
        <f ca="1"/>
        <v>0</v>
      </c>
      <c r="ND6" s="13"/>
      <c r="NE6" s="13"/>
      <c r="NG6" s="29">
        <f ca="1"/>
        <v>4</v>
      </c>
      <c r="NH6" s="30" t="str">
        <f ca="1"/>
        <v>Sami</v>
      </c>
      <c r="NI6" s="30" t="e" vm="13">
        <f ca="1"/>
        <v>#VALUE!</v>
      </c>
      <c r="NJ6" s="30" t="e">
        <f ca="1"/>
        <v>#VALUE!</v>
      </c>
      <c r="NK6" s="13"/>
      <c r="NL6" s="30">
        <f ca="1"/>
        <v>0</v>
      </c>
      <c r="NN6" s="27">
        <f ca="1"/>
        <v>4</v>
      </c>
      <c r="NO6" s="30" t="str">
        <f ca="1"/>
        <v>Sami</v>
      </c>
      <c r="NP6" s="30">
        <f ca="1"/>
        <v>0</v>
      </c>
      <c r="NQ6" s="13"/>
      <c r="NR6" s="13"/>
      <c r="NT6" s="29">
        <f ca="1"/>
        <v>4</v>
      </c>
      <c r="NU6" s="30" t="str">
        <f ca="1"/>
        <v>Sami</v>
      </c>
      <c r="NV6" s="30" t="e" vm="13">
        <f ca="1"/>
        <v>#VALUE!</v>
      </c>
      <c r="NW6" s="30" t="e">
        <f ca="1"/>
        <v>#VALUE!</v>
      </c>
      <c r="NX6" s="13"/>
      <c r="NY6" s="30">
        <f ca="1"/>
        <v>0</v>
      </c>
      <c r="OA6" s="27">
        <f ca="1"/>
        <v>4</v>
      </c>
      <c r="OB6" s="30" t="str">
        <f ca="1"/>
        <v>Sami</v>
      </c>
      <c r="OC6" s="30">
        <f ca="1"/>
        <v>0</v>
      </c>
      <c r="OD6" s="13"/>
      <c r="OE6" s="13"/>
      <c r="OG6" s="29">
        <f ca="1"/>
        <v>4</v>
      </c>
      <c r="OH6" s="30" t="str">
        <f ca="1"/>
        <v>Sami</v>
      </c>
      <c r="OI6" s="30" t="e" vm="13">
        <f ca="1"/>
        <v>#VALUE!</v>
      </c>
      <c r="OJ6" s="30" t="e">
        <f ca="1"/>
        <v>#VALUE!</v>
      </c>
      <c r="OK6" s="13"/>
      <c r="OL6" s="30">
        <f ca="1"/>
        <v>0</v>
      </c>
      <c r="ON6" s="27">
        <f ca="1"/>
        <v>4</v>
      </c>
      <c r="OO6" s="30" t="str">
        <f ca="1"/>
        <v>Sami</v>
      </c>
      <c r="OP6" s="30">
        <f ca="1"/>
        <v>0</v>
      </c>
      <c r="OQ6" s="13"/>
      <c r="OR6" s="13"/>
      <c r="OT6" s="29">
        <f ca="1"/>
        <v>4</v>
      </c>
      <c r="OU6" s="30" t="str">
        <f ca="1"/>
        <v>Sami</v>
      </c>
      <c r="OV6" s="30" t="e" vm="13">
        <f ca="1"/>
        <v>#VALUE!</v>
      </c>
      <c r="OW6" s="30" t="e">
        <f ca="1"/>
        <v>#VALUE!</v>
      </c>
      <c r="OX6" s="13"/>
      <c r="OY6" s="30">
        <f ca="1"/>
        <v>0</v>
      </c>
      <c r="PA6" s="27">
        <f ca="1"/>
        <v>4</v>
      </c>
      <c r="PB6" s="30" t="str">
        <f ca="1"/>
        <v>Sami</v>
      </c>
      <c r="PC6" s="30">
        <f ca="1"/>
        <v>0</v>
      </c>
      <c r="PD6" s="13"/>
      <c r="PE6" s="13"/>
      <c r="PG6" s="29">
        <f ca="1"/>
        <v>4</v>
      </c>
      <c r="PH6" s="30" t="str">
        <f ca="1"/>
        <v>Sami</v>
      </c>
      <c r="PI6" s="30" t="e" vm="13">
        <f ca="1"/>
        <v>#VALUE!</v>
      </c>
      <c r="PJ6" s="30" t="e">
        <f ca="1"/>
        <v>#VALUE!</v>
      </c>
      <c r="PK6" s="13"/>
      <c r="PL6" s="30">
        <f ca="1"/>
        <v>0</v>
      </c>
      <c r="PN6" s="27">
        <f ca="1"/>
        <v>4</v>
      </c>
      <c r="PO6" s="30" t="str">
        <f ca="1"/>
        <v>Sami</v>
      </c>
      <c r="PP6" s="30">
        <f ca="1"/>
        <v>0</v>
      </c>
      <c r="PQ6" s="13"/>
      <c r="PR6" s="13"/>
      <c r="PT6" s="29">
        <f ca="1"/>
        <v>4</v>
      </c>
      <c r="PU6" s="30" t="str">
        <f ca="1"/>
        <v>Sami</v>
      </c>
      <c r="PV6" s="30" t="e" vm="13">
        <f ca="1"/>
        <v>#VALUE!</v>
      </c>
      <c r="PW6" s="30" t="e">
        <f ca="1"/>
        <v>#VALUE!</v>
      </c>
      <c r="PX6" s="13"/>
      <c r="PY6" s="30">
        <f ca="1"/>
        <v>0</v>
      </c>
      <c r="QA6" s="27">
        <f ca="1"/>
        <v>4</v>
      </c>
      <c r="QB6" s="30" t="str">
        <f ca="1"/>
        <v>Sami</v>
      </c>
      <c r="QC6" s="30">
        <f ca="1"/>
        <v>0</v>
      </c>
      <c r="QD6" s="13"/>
      <c r="QE6" s="13"/>
      <c r="QG6" s="29">
        <f ca="1"/>
        <v>4</v>
      </c>
      <c r="QH6" s="30" t="str">
        <f ca="1"/>
        <v>Sami</v>
      </c>
      <c r="QI6" s="30" t="e" vm="13">
        <f ca="1"/>
        <v>#VALUE!</v>
      </c>
      <c r="QJ6" s="30" t="e">
        <f ca="1"/>
        <v>#VALUE!</v>
      </c>
      <c r="QK6" s="13"/>
      <c r="QL6" s="30">
        <f ca="1"/>
        <v>0</v>
      </c>
      <c r="QN6" s="27">
        <f ca="1"/>
        <v>4</v>
      </c>
      <c r="QO6" s="30" t="str">
        <f ca="1"/>
        <v>Sami</v>
      </c>
      <c r="QP6" s="30">
        <f ca="1"/>
        <v>0</v>
      </c>
      <c r="QQ6" s="13"/>
      <c r="QR6" s="13"/>
      <c r="QT6" s="29">
        <f ca="1"/>
        <v>4</v>
      </c>
      <c r="QU6" s="30" t="str">
        <f ca="1"/>
        <v>Sami</v>
      </c>
      <c r="QV6" s="30" t="e" vm="13">
        <f ca="1"/>
        <v>#VALUE!</v>
      </c>
      <c r="QW6" s="30" t="e">
        <f ca="1"/>
        <v>#VALUE!</v>
      </c>
      <c r="QX6" s="13"/>
      <c r="QY6" s="30">
        <f ca="1"/>
        <v>0</v>
      </c>
      <c r="RA6" s="27">
        <f ca="1"/>
        <v>4</v>
      </c>
      <c r="RB6" s="30" t="str">
        <f ca="1"/>
        <v>Sami</v>
      </c>
      <c r="RC6" s="30">
        <f ca="1"/>
        <v>0</v>
      </c>
      <c r="RD6" s="13"/>
      <c r="RE6" s="13"/>
      <c r="RG6" s="29">
        <f ca="1"/>
        <v>4</v>
      </c>
      <c r="RH6" s="30" t="str">
        <f ca="1"/>
        <v>Sami</v>
      </c>
      <c r="RI6" s="30" t="e" vm="13">
        <f ca="1"/>
        <v>#VALUE!</v>
      </c>
      <c r="RJ6" s="30" t="e">
        <f ca="1"/>
        <v>#VALUE!</v>
      </c>
      <c r="RK6" s="13"/>
      <c r="RL6" s="30">
        <f ca="1"/>
        <v>0</v>
      </c>
      <c r="RN6" s="27">
        <f ca="1"/>
        <v>4</v>
      </c>
      <c r="RO6" s="30" t="str">
        <f ca="1"/>
        <v>Sami</v>
      </c>
      <c r="RP6" s="30">
        <f ca="1"/>
        <v>0</v>
      </c>
      <c r="RQ6" s="13"/>
      <c r="RR6" s="13"/>
      <c r="RT6" s="29">
        <f ca="1"/>
        <v>4</v>
      </c>
      <c r="RU6" s="30" t="str">
        <f ca="1"/>
        <v>Sami</v>
      </c>
      <c r="RV6" s="30" t="e" vm="13">
        <f ca="1"/>
        <v>#VALUE!</v>
      </c>
      <c r="RW6" s="30" t="e">
        <f ca="1"/>
        <v>#VALUE!</v>
      </c>
      <c r="RX6" s="13"/>
      <c r="RY6" s="30">
        <f ca="1"/>
        <v>0</v>
      </c>
      <c r="SA6" s="27">
        <f ca="1"/>
        <v>4</v>
      </c>
      <c r="SB6" s="30" t="str">
        <f ca="1"/>
        <v>Sami</v>
      </c>
      <c r="SC6" s="30">
        <f ca="1"/>
        <v>0</v>
      </c>
      <c r="SD6" s="13"/>
      <c r="SE6" s="13"/>
      <c r="SG6" s="29">
        <f ca="1"/>
        <v>4</v>
      </c>
      <c r="SH6" s="30" t="str">
        <f ca="1"/>
        <v>Sami</v>
      </c>
      <c r="SI6" s="30" t="e" vm="13">
        <f ca="1"/>
        <v>#VALUE!</v>
      </c>
      <c r="SJ6" s="30" t="e">
        <f ca="1"/>
        <v>#VALUE!</v>
      </c>
      <c r="SK6" s="13"/>
      <c r="SL6" s="30">
        <f ca="1"/>
        <v>0</v>
      </c>
      <c r="SN6" s="27">
        <f ca="1"/>
        <v>4</v>
      </c>
      <c r="SO6" s="30" t="str">
        <f ca="1"/>
        <v>Sami</v>
      </c>
      <c r="SP6" s="30">
        <f ca="1"/>
        <v>0</v>
      </c>
      <c r="SQ6" s="13"/>
      <c r="SR6" s="13"/>
      <c r="ST6" s="29">
        <f ca="1"/>
        <v>4</v>
      </c>
      <c r="SU6" s="30" t="str">
        <f ca="1"/>
        <v>Sami</v>
      </c>
      <c r="SV6" s="30" t="e" vm="13">
        <f ca="1"/>
        <v>#VALUE!</v>
      </c>
      <c r="SW6" s="30" t="e">
        <f ca="1"/>
        <v>#VALUE!</v>
      </c>
      <c r="SX6" s="13"/>
      <c r="SY6" s="30">
        <f ca="1"/>
        <v>0</v>
      </c>
      <c r="TA6" s="29">
        <f ca="1"/>
        <v>4</v>
      </c>
      <c r="TB6" s="30" t="str">
        <f ca="1"/>
        <v>Sami</v>
      </c>
      <c r="TC6" s="30" t="e" vm="13">
        <f ca="1"/>
        <v>#VALUE!</v>
      </c>
      <c r="TD6" s="30">
        <f ca="1"/>
        <v>1000</v>
      </c>
    </row>
    <row r="7" spans="1:524" ht="20.100000000000001" customHeight="1">
      <c r="A7" s="27">
        <f ca="1"/>
        <v>5</v>
      </c>
      <c r="B7" s="30" t="str">
        <f ca="1"/>
        <v>Takashi</v>
      </c>
      <c r="C7" s="30">
        <v>1</v>
      </c>
      <c r="D7" s="13"/>
      <c r="E7" s="57">
        <v>0</v>
      </c>
      <c r="G7" s="29">
        <f ca="1"/>
        <v>5</v>
      </c>
      <c r="H7" s="30" t="str">
        <f ca="1"/>
        <v>Takashi</v>
      </c>
      <c r="I7" s="30" t="e" vm="16">
        <f ca="1"/>
        <v>#VALUE!</v>
      </c>
      <c r="J7" s="55" t="e">
        <f ca="1"/>
        <v>#VALUE!</v>
      </c>
      <c r="K7" s="13"/>
      <c r="L7" s="30">
        <f ca="1"/>
        <v>1</v>
      </c>
      <c r="N7" s="27">
        <f ca="1"/>
        <v>5</v>
      </c>
      <c r="O7" s="30" t="str">
        <f ca="1"/>
        <v>Takashi</v>
      </c>
      <c r="P7" s="30">
        <f ca="1"/>
        <v>1</v>
      </c>
      <c r="Q7" s="13"/>
      <c r="R7" s="13">
        <v>0</v>
      </c>
      <c r="T7" s="29">
        <f ca="1"/>
        <v>5</v>
      </c>
      <c r="U7" s="30" t="str">
        <f ca="1"/>
        <v>Takashi</v>
      </c>
      <c r="V7" s="30" t="e" vm="16">
        <f ca="1"/>
        <v>#VALUE!</v>
      </c>
      <c r="W7" s="30" t="e">
        <f ca="1"/>
        <v>#VALUE!</v>
      </c>
      <c r="X7" s="13"/>
      <c r="Y7" s="30">
        <f ca="1"/>
        <v>1</v>
      </c>
      <c r="AA7" s="27">
        <f ca="1"/>
        <v>5</v>
      </c>
      <c r="AB7" s="30" t="str">
        <f ca="1"/>
        <v>Takashi</v>
      </c>
      <c r="AC7" s="30">
        <f ca="1"/>
        <v>1</v>
      </c>
      <c r="AD7" s="13"/>
      <c r="AE7" s="13">
        <v>0</v>
      </c>
      <c r="AG7" s="29">
        <f ca="1"/>
        <v>5</v>
      </c>
      <c r="AH7" s="30" t="str">
        <f ca="1"/>
        <v>Takashi</v>
      </c>
      <c r="AI7" s="30" t="e" vm="16">
        <f ca="1"/>
        <v>#VALUE!</v>
      </c>
      <c r="AJ7" s="30" t="e">
        <f ca="1"/>
        <v>#VALUE!</v>
      </c>
      <c r="AK7" s="13"/>
      <c r="AL7" s="30">
        <f ca="1"/>
        <v>1</v>
      </c>
      <c r="AN7" s="27">
        <f ca="1"/>
        <v>5</v>
      </c>
      <c r="AO7" s="30" t="str">
        <f ca="1"/>
        <v>Takashi</v>
      </c>
      <c r="AP7" s="30">
        <f ca="1"/>
        <v>1</v>
      </c>
      <c r="AQ7" s="13"/>
      <c r="AR7" s="13">
        <v>0</v>
      </c>
      <c r="AT7" s="29">
        <f ca="1"/>
        <v>5</v>
      </c>
      <c r="AU7" s="30" t="str">
        <f ca="1"/>
        <v>Takashi</v>
      </c>
      <c r="AV7" s="30" t="e" vm="16">
        <f ca="1"/>
        <v>#VALUE!</v>
      </c>
      <c r="AW7" s="30" t="e">
        <f ca="1"/>
        <v>#VALUE!</v>
      </c>
      <c r="AX7" s="13"/>
      <c r="AY7" s="30">
        <f ca="1"/>
        <v>1</v>
      </c>
      <c r="BA7" s="27">
        <f ca="1"/>
        <v>5</v>
      </c>
      <c r="BB7" s="30" t="str">
        <f ca="1"/>
        <v>Takashi</v>
      </c>
      <c r="BC7" s="30">
        <f ca="1"/>
        <v>1</v>
      </c>
      <c r="BD7" s="13"/>
      <c r="BE7" s="13">
        <v>0</v>
      </c>
      <c r="BG7" s="29">
        <f ca="1"/>
        <v>5</v>
      </c>
      <c r="BH7" s="30" t="str">
        <f ca="1"/>
        <v>Takashi</v>
      </c>
      <c r="BI7" s="30" t="e" vm="16">
        <f ca="1"/>
        <v>#VALUE!</v>
      </c>
      <c r="BJ7" s="30" t="e">
        <f ca="1"/>
        <v>#VALUE!</v>
      </c>
      <c r="BK7" s="13"/>
      <c r="BL7" s="30">
        <f ca="1"/>
        <v>1</v>
      </c>
      <c r="BN7" s="27">
        <f ca="1"/>
        <v>5</v>
      </c>
      <c r="BO7" s="30" t="str">
        <f ca="1"/>
        <v>Takashi</v>
      </c>
      <c r="BP7" s="30">
        <f ca="1"/>
        <v>1</v>
      </c>
      <c r="BQ7" s="13"/>
      <c r="BR7" s="13">
        <v>0</v>
      </c>
      <c r="BS7" s="1"/>
      <c r="BT7" s="29">
        <f ca="1"/>
        <v>5</v>
      </c>
      <c r="BU7" s="30" t="str">
        <f ca="1"/>
        <v>Takashi</v>
      </c>
      <c r="BV7" s="30" t="e" vm="16">
        <f ca="1"/>
        <v>#VALUE!</v>
      </c>
      <c r="BW7" s="30" t="e">
        <f ca="1"/>
        <v>#VALUE!</v>
      </c>
      <c r="BX7" s="13"/>
      <c r="BY7" s="30">
        <f ca="1"/>
        <v>1</v>
      </c>
      <c r="CA7" s="27">
        <f ca="1"/>
        <v>5</v>
      </c>
      <c r="CB7" s="30" t="str">
        <f ca="1"/>
        <v>Takashi</v>
      </c>
      <c r="CC7" s="30">
        <f ca="1"/>
        <v>1</v>
      </c>
      <c r="CD7" s="13"/>
      <c r="CE7" s="13">
        <v>0</v>
      </c>
      <c r="CG7" s="29">
        <f ca="1"/>
        <v>5</v>
      </c>
      <c r="CH7" s="30" t="str">
        <f ca="1"/>
        <v>Takashi</v>
      </c>
      <c r="CI7" s="30" t="e" vm="16">
        <f ca="1"/>
        <v>#VALUE!</v>
      </c>
      <c r="CJ7" s="30" t="e">
        <f ca="1"/>
        <v>#VALUE!</v>
      </c>
      <c r="CK7" s="13"/>
      <c r="CL7" s="30">
        <f ca="1"/>
        <v>1</v>
      </c>
      <c r="CN7" s="27">
        <f ca="1"/>
        <v>5</v>
      </c>
      <c r="CO7" s="30" t="str">
        <f ca="1"/>
        <v>Takashi</v>
      </c>
      <c r="CP7" s="30">
        <f ca="1"/>
        <v>1</v>
      </c>
      <c r="CQ7" s="13"/>
      <c r="CR7" s="13">
        <v>0</v>
      </c>
      <c r="CT7" s="29">
        <f ca="1"/>
        <v>5</v>
      </c>
      <c r="CU7" s="30" t="str">
        <f ca="1"/>
        <v>Takashi</v>
      </c>
      <c r="CV7" s="30" t="e" vm="16">
        <f ca="1"/>
        <v>#VALUE!</v>
      </c>
      <c r="CW7" s="30" t="e">
        <f ca="1"/>
        <v>#VALUE!</v>
      </c>
      <c r="CX7" s="13"/>
      <c r="CY7" s="30">
        <f ca="1"/>
        <v>1</v>
      </c>
      <c r="DA7" s="27">
        <f ca="1"/>
        <v>5</v>
      </c>
      <c r="DB7" s="30" t="str">
        <f ca="1"/>
        <v>Takashi</v>
      </c>
      <c r="DC7" s="30">
        <f ca="1"/>
        <v>1</v>
      </c>
      <c r="DD7" s="13">
        <v>2</v>
      </c>
      <c r="DE7" s="13">
        <v>5542</v>
      </c>
      <c r="DG7" s="29">
        <f ca="1"/>
        <v>5</v>
      </c>
      <c r="DH7" s="30" t="str">
        <f ca="1"/>
        <v>Onwa</v>
      </c>
      <c r="DI7" s="30" t="e" vm="16">
        <f ca="1"/>
        <v>#VALUE!</v>
      </c>
      <c r="DJ7" s="30" t="e">
        <f ca="1"/>
        <v>#VALUE!</v>
      </c>
      <c r="DK7" s="13"/>
      <c r="DL7" s="30">
        <f ca="1"/>
        <v>3</v>
      </c>
      <c r="DN7" s="27">
        <f ca="1"/>
        <v>5</v>
      </c>
      <c r="DO7" s="30" t="str">
        <f ca="1"/>
        <v>Onwa</v>
      </c>
      <c r="DP7" s="30">
        <f ca="1"/>
        <v>3</v>
      </c>
      <c r="DQ7" s="13"/>
      <c r="DR7" s="13">
        <v>13245</v>
      </c>
      <c r="DT7" s="29">
        <f ca="1"/>
        <v>5</v>
      </c>
      <c r="DU7" s="30" t="str">
        <f ca="1"/>
        <v>Onwa</v>
      </c>
      <c r="DV7" s="30" t="e" vm="16">
        <f ca="1"/>
        <v>#VALUE!</v>
      </c>
      <c r="DW7" s="30" t="e">
        <f ca="1"/>
        <v>#VALUE!</v>
      </c>
      <c r="DX7" s="13"/>
      <c r="DY7" s="30">
        <f ca="1"/>
        <v>3</v>
      </c>
      <c r="EA7" s="27">
        <f ca="1"/>
        <v>5</v>
      </c>
      <c r="EB7" s="30" t="str">
        <f ca="1"/>
        <v>JDR</v>
      </c>
      <c r="EC7" s="30">
        <f ca="1"/>
        <v>3</v>
      </c>
      <c r="ED7" s="13"/>
      <c r="EE7" s="13">
        <v>10405</v>
      </c>
      <c r="EG7" s="29">
        <f ca="1"/>
        <v>5</v>
      </c>
      <c r="EH7" s="30" t="str">
        <f ca="1"/>
        <v>Jarmou</v>
      </c>
      <c r="EI7" s="30" t="e" vm="17">
        <f ca="1"/>
        <v>#VALUE!</v>
      </c>
      <c r="EJ7" s="30" t="e">
        <f ca="1"/>
        <v>#VALUE!</v>
      </c>
      <c r="EK7" s="13"/>
      <c r="EL7" s="30">
        <f ca="1"/>
        <v>2</v>
      </c>
      <c r="EN7" s="27">
        <f ca="1"/>
        <v>5</v>
      </c>
      <c r="EO7" s="30" t="str">
        <f ca="1"/>
        <v>Lafungo</v>
      </c>
      <c r="EP7" s="30">
        <f ca="1"/>
        <v>2</v>
      </c>
      <c r="EQ7" s="13"/>
      <c r="ER7" s="13">
        <v>12105</v>
      </c>
      <c r="ET7" s="29">
        <f ca="1"/>
        <v>5</v>
      </c>
      <c r="EU7" s="30" t="str">
        <f ca="1"/>
        <v>Antistar</v>
      </c>
      <c r="EV7" s="30" t="e" vm="15">
        <f ca="1"/>
        <v>#VALUE!</v>
      </c>
      <c r="EW7" s="30" t="e">
        <f ca="1"/>
        <v>#VALUE!</v>
      </c>
      <c r="EX7" s="13"/>
      <c r="EY7" s="30">
        <f ca="1"/>
        <v>2</v>
      </c>
      <c r="FA7" s="27">
        <f ca="1"/>
        <v>5</v>
      </c>
      <c r="FB7" s="30" t="str">
        <f ca="1"/>
        <v>Antistar</v>
      </c>
      <c r="FC7" s="30">
        <f ca="1"/>
        <v>2</v>
      </c>
      <c r="FD7" s="13"/>
      <c r="FE7" s="13">
        <v>13418</v>
      </c>
      <c r="FG7" s="29">
        <f ca="1"/>
        <v>5</v>
      </c>
      <c r="FH7" s="30" t="str">
        <f ca="1"/>
        <v>KVD</v>
      </c>
      <c r="FI7" s="30" t="e" vm="12">
        <f ca="1"/>
        <v>#VALUE!</v>
      </c>
      <c r="FJ7" s="30" t="e">
        <f ca="1"/>
        <v>#VALUE!</v>
      </c>
      <c r="FK7" s="13"/>
      <c r="FL7" s="30">
        <f ca="1"/>
        <v>2</v>
      </c>
      <c r="FN7" s="27">
        <f ca="1"/>
        <v>5</v>
      </c>
      <c r="FO7" s="30" t="str">
        <f ca="1"/>
        <v>Jarmou</v>
      </c>
      <c r="FP7" s="30">
        <f ca="1"/>
        <v>1</v>
      </c>
      <c r="FQ7" s="13"/>
      <c r="FR7" s="13">
        <v>13995</v>
      </c>
      <c r="FT7" s="29">
        <f ca="1"/>
        <v>5</v>
      </c>
      <c r="FU7" s="30" t="str">
        <f ca="1"/>
        <v>JDR</v>
      </c>
      <c r="FV7" s="30" t="e" vm="15">
        <f ca="1"/>
        <v>#VALUE!</v>
      </c>
      <c r="FW7" s="30" t="e">
        <f ca="1"/>
        <v>#VALUE!</v>
      </c>
      <c r="FX7" s="13"/>
      <c r="FY7" s="30">
        <f ca="1"/>
        <v>3</v>
      </c>
      <c r="GA7" s="27">
        <f ca="1"/>
        <v>5</v>
      </c>
      <c r="GB7" s="30" t="str">
        <f ca="1"/>
        <v>Lafungo</v>
      </c>
      <c r="GC7" s="30">
        <f ca="1"/>
        <v>1</v>
      </c>
      <c r="GD7" s="13"/>
      <c r="GE7" s="13">
        <v>0</v>
      </c>
      <c r="GG7" s="29">
        <f ca="1"/>
        <v>5</v>
      </c>
      <c r="GH7" s="30" t="str">
        <f ca="1"/>
        <v>Lafungo</v>
      </c>
      <c r="GI7" s="30" t="e" vm="14">
        <f ca="1"/>
        <v>#VALUE!</v>
      </c>
      <c r="GJ7" s="30" t="e">
        <f ca="1"/>
        <v>#VALUE!</v>
      </c>
      <c r="GK7" s="13"/>
      <c r="GL7" s="30">
        <f ca="1"/>
        <v>1</v>
      </c>
      <c r="GN7" s="27">
        <f ca="1"/>
        <v>5</v>
      </c>
      <c r="GO7" s="30" t="str">
        <f ca="1"/>
        <v>Lafungo</v>
      </c>
      <c r="GP7" s="30">
        <f ca="1"/>
        <v>1</v>
      </c>
      <c r="GQ7" s="13">
        <v>2</v>
      </c>
      <c r="GR7" s="13">
        <v>10762</v>
      </c>
      <c r="GT7" s="29">
        <f ca="1"/>
        <v>5</v>
      </c>
      <c r="GU7" s="30" t="str">
        <f ca="1"/>
        <v>Sami</v>
      </c>
      <c r="GV7" s="30" t="e" vm="13">
        <f ca="1"/>
        <v>#VALUE!</v>
      </c>
      <c r="GW7" s="30" t="e">
        <f ca="1"/>
        <v>#VALUE!</v>
      </c>
      <c r="GX7" s="13">
        <v>1</v>
      </c>
      <c r="GY7" s="30">
        <f ca="1"/>
        <v>2</v>
      </c>
      <c r="HA7" s="27">
        <f ca="1"/>
        <v>5</v>
      </c>
      <c r="HB7" s="30" t="str">
        <f ca="1"/>
        <v>Sami</v>
      </c>
      <c r="HC7" s="30">
        <f ca="1"/>
        <v>2</v>
      </c>
      <c r="HD7" s="13"/>
      <c r="HE7" s="13">
        <v>5745</v>
      </c>
      <c r="HF7" s="1"/>
      <c r="HG7" s="29">
        <f ca="1"/>
        <v>5</v>
      </c>
      <c r="HH7" s="30" t="str">
        <f ca="1"/>
        <v>Antistar</v>
      </c>
      <c r="HI7" s="30" t="e" vm="15">
        <f ca="1"/>
        <v>#VALUE!</v>
      </c>
      <c r="HJ7" s="30" t="e">
        <f ca="1"/>
        <v>#VALUE!</v>
      </c>
      <c r="HK7" s="13">
        <v>1</v>
      </c>
      <c r="HL7" s="30">
        <f ca="1"/>
        <v>2</v>
      </c>
      <c r="HN7" s="27">
        <f ca="1"/>
        <v>5</v>
      </c>
      <c r="HO7" s="30" t="str">
        <f ca="1"/>
        <v>Antistar</v>
      </c>
      <c r="HP7" s="30">
        <f ca="1"/>
        <v>2</v>
      </c>
      <c r="HQ7" s="13"/>
      <c r="HR7" s="13">
        <v>14465</v>
      </c>
      <c r="HT7" s="29">
        <f ca="1"/>
        <v>5</v>
      </c>
      <c r="HU7" s="30" t="str">
        <f ca="1"/>
        <v>JDR</v>
      </c>
      <c r="HV7" s="30" t="e" vm="15">
        <f ca="1"/>
        <v>#VALUE!</v>
      </c>
      <c r="HW7" s="30" t="e">
        <f ca="1"/>
        <v>#VALUE!</v>
      </c>
      <c r="HX7" s="13">
        <v>1</v>
      </c>
      <c r="HY7" s="30">
        <f ca="1"/>
        <v>1</v>
      </c>
      <c r="IA7" s="27">
        <f ca="1"/>
        <v>5</v>
      </c>
      <c r="IB7" s="30" t="str">
        <f ca="1"/>
        <v>Jarmou</v>
      </c>
      <c r="IC7" s="30">
        <f ca="1"/>
        <v>1</v>
      </c>
      <c r="ID7" s="13"/>
      <c r="IE7" s="13">
        <v>11824</v>
      </c>
      <c r="IG7" s="29">
        <f ca="1"/>
        <v>5</v>
      </c>
      <c r="IH7" s="30" t="str">
        <f ca="1"/>
        <v>Jarmou</v>
      </c>
      <c r="II7" s="30" t="e" vm="17">
        <f ca="1"/>
        <v>#VALUE!</v>
      </c>
      <c r="IJ7" s="30" t="e">
        <f ca="1"/>
        <v>#VALUE!</v>
      </c>
      <c r="IK7" s="13">
        <v>1</v>
      </c>
      <c r="IL7" s="30">
        <f ca="1"/>
        <v>0</v>
      </c>
      <c r="IN7" s="27">
        <f ca="1"/>
        <v>5</v>
      </c>
      <c r="IO7" s="30" t="str">
        <f ca="1"/>
        <v>Jarmou</v>
      </c>
      <c r="IP7" s="30">
        <f ca="1"/>
        <v>0</v>
      </c>
      <c r="IQ7" s="13"/>
      <c r="IR7" s="13"/>
      <c r="IT7" s="29">
        <f ca="1"/>
        <v>5</v>
      </c>
      <c r="IU7" s="30" t="str">
        <f ca="1"/>
        <v>Jarmou</v>
      </c>
      <c r="IV7" s="30" t="e" vm="17">
        <f ca="1"/>
        <v>#VALUE!</v>
      </c>
      <c r="IW7" s="30" t="e">
        <f ca="1"/>
        <v>#VALUE!</v>
      </c>
      <c r="IX7" s="13"/>
      <c r="IY7" s="30">
        <f ca="1"/>
        <v>0</v>
      </c>
      <c r="JA7" s="27">
        <f ca="1"/>
        <v>5</v>
      </c>
      <c r="JB7" s="30" t="str">
        <f ca="1"/>
        <v>Jarmou</v>
      </c>
      <c r="JC7" s="30">
        <f ca="1"/>
        <v>0</v>
      </c>
      <c r="JD7" s="13"/>
      <c r="JE7" s="13"/>
      <c r="JG7" s="29">
        <f ca="1"/>
        <v>5</v>
      </c>
      <c r="JH7" s="30" t="str">
        <f ca="1"/>
        <v>Jarmou</v>
      </c>
      <c r="JI7" s="30" t="e" vm="17">
        <f ca="1"/>
        <v>#VALUE!</v>
      </c>
      <c r="JJ7" s="30" t="e">
        <f ca="1"/>
        <v>#VALUE!</v>
      </c>
      <c r="JK7" s="13"/>
      <c r="JL7" s="30">
        <f ca="1"/>
        <v>0</v>
      </c>
      <c r="JN7" s="27">
        <f ca="1"/>
        <v>5</v>
      </c>
      <c r="JO7" s="30" t="str">
        <f ca="1"/>
        <v>Jarmou</v>
      </c>
      <c r="JP7" s="30">
        <f ca="1"/>
        <v>0</v>
      </c>
      <c r="JQ7" s="13"/>
      <c r="JR7" s="13"/>
      <c r="JT7" s="29">
        <f ca="1"/>
        <v>5</v>
      </c>
      <c r="JU7" s="30" t="str">
        <f ca="1"/>
        <v>Jarmou</v>
      </c>
      <c r="JV7" s="30" t="e" vm="17">
        <f ca="1"/>
        <v>#VALUE!</v>
      </c>
      <c r="JW7" s="30" t="e">
        <f ca="1"/>
        <v>#VALUE!</v>
      </c>
      <c r="JX7" s="13"/>
      <c r="JY7" s="30">
        <f ca="1"/>
        <v>0</v>
      </c>
      <c r="KA7" s="27">
        <f ca="1"/>
        <v>5</v>
      </c>
      <c r="KB7" s="30" t="str">
        <f ca="1"/>
        <v>Jarmou</v>
      </c>
      <c r="KC7" s="30">
        <f ca="1"/>
        <v>0</v>
      </c>
      <c r="KD7" s="13"/>
      <c r="KE7" s="13"/>
      <c r="KG7" s="29">
        <f ca="1"/>
        <v>5</v>
      </c>
      <c r="KH7" s="30" t="str">
        <f ca="1"/>
        <v>Jarmou</v>
      </c>
      <c r="KI7" s="30" t="e" vm="17">
        <f ca="1"/>
        <v>#VALUE!</v>
      </c>
      <c r="KJ7" s="30" t="e">
        <f ca="1"/>
        <v>#VALUE!</v>
      </c>
      <c r="KK7" s="13"/>
      <c r="KL7" s="30">
        <f ca="1"/>
        <v>0</v>
      </c>
      <c r="KN7" s="27">
        <f ca="1"/>
        <v>5</v>
      </c>
      <c r="KO7" s="30" t="str">
        <f ca="1"/>
        <v>Jarmou</v>
      </c>
      <c r="KP7" s="30">
        <f ca="1"/>
        <v>0</v>
      </c>
      <c r="KQ7" s="13"/>
      <c r="KR7" s="13"/>
      <c r="KT7" s="29">
        <f ca="1"/>
        <v>5</v>
      </c>
      <c r="KU7" s="30" t="str">
        <f ca="1"/>
        <v>Jarmou</v>
      </c>
      <c r="KV7" s="30" t="e" vm="17">
        <f ca="1"/>
        <v>#VALUE!</v>
      </c>
      <c r="KW7" s="30" t="e">
        <f ca="1"/>
        <v>#VALUE!</v>
      </c>
      <c r="KX7" s="13"/>
      <c r="KY7" s="30">
        <f ca="1"/>
        <v>0</v>
      </c>
      <c r="LA7" s="27">
        <f ca="1"/>
        <v>5</v>
      </c>
      <c r="LB7" s="30" t="str">
        <f ca="1"/>
        <v>Jarmou</v>
      </c>
      <c r="LC7" s="30">
        <f ca="1"/>
        <v>0</v>
      </c>
      <c r="LD7" s="13"/>
      <c r="LE7" s="13"/>
      <c r="LG7" s="29">
        <f ca="1"/>
        <v>5</v>
      </c>
      <c r="LH7" s="30" t="str">
        <f ca="1"/>
        <v>Jarmou</v>
      </c>
      <c r="LI7" s="30" t="e" vm="17">
        <f ca="1"/>
        <v>#VALUE!</v>
      </c>
      <c r="LJ7" s="30" t="e">
        <f ca="1"/>
        <v>#VALUE!</v>
      </c>
      <c r="LK7" s="13"/>
      <c r="LL7" s="30">
        <f ca="1"/>
        <v>0</v>
      </c>
      <c r="LN7" s="27">
        <f ca="1"/>
        <v>5</v>
      </c>
      <c r="LO7" s="30" t="str">
        <f ca="1"/>
        <v>Jarmou</v>
      </c>
      <c r="LP7" s="30">
        <f ca="1"/>
        <v>0</v>
      </c>
      <c r="LQ7" s="13"/>
      <c r="LR7" s="13"/>
      <c r="LT7" s="29">
        <f ca="1"/>
        <v>5</v>
      </c>
      <c r="LU7" s="30" t="str">
        <f ca="1"/>
        <v>Jarmou</v>
      </c>
      <c r="LV7" s="30" t="e" vm="17">
        <f ca="1"/>
        <v>#VALUE!</v>
      </c>
      <c r="LW7" s="30" t="e">
        <f ca="1"/>
        <v>#VALUE!</v>
      </c>
      <c r="LX7" s="13"/>
      <c r="LY7" s="30">
        <f ca="1"/>
        <v>0</v>
      </c>
      <c r="MA7" s="27">
        <f ca="1"/>
        <v>5</v>
      </c>
      <c r="MB7" s="30" t="str">
        <f ca="1"/>
        <v>Jarmou</v>
      </c>
      <c r="MC7" s="30">
        <f ca="1"/>
        <v>0</v>
      </c>
      <c r="MD7" s="13"/>
      <c r="ME7" s="13"/>
      <c r="MG7" s="29">
        <f ca="1"/>
        <v>5</v>
      </c>
      <c r="MH7" s="30" t="str">
        <f ca="1"/>
        <v>Jarmou</v>
      </c>
      <c r="MI7" s="30" t="e" vm="17">
        <f ca="1"/>
        <v>#VALUE!</v>
      </c>
      <c r="MJ7" s="30" t="e">
        <f ca="1"/>
        <v>#VALUE!</v>
      </c>
      <c r="MK7" s="13"/>
      <c r="ML7" s="30">
        <f ca="1"/>
        <v>0</v>
      </c>
      <c r="MN7" s="27">
        <f ca="1"/>
        <v>5</v>
      </c>
      <c r="MO7" s="30" t="str">
        <f ca="1"/>
        <v>Jarmou</v>
      </c>
      <c r="MP7" s="30">
        <f ca="1"/>
        <v>0</v>
      </c>
      <c r="MQ7" s="13"/>
      <c r="MR7" s="13"/>
      <c r="MS7" s="1"/>
      <c r="MT7" s="29">
        <f ca="1"/>
        <v>5</v>
      </c>
      <c r="MU7" s="30" t="str">
        <f ca="1"/>
        <v>Jarmou</v>
      </c>
      <c r="MV7" s="30" t="e" vm="17">
        <f ca="1"/>
        <v>#VALUE!</v>
      </c>
      <c r="MW7" s="30" t="e">
        <f ca="1"/>
        <v>#VALUE!</v>
      </c>
      <c r="MX7" s="13"/>
      <c r="MY7" s="30">
        <f ca="1"/>
        <v>0</v>
      </c>
      <c r="NA7" s="27">
        <f ca="1"/>
        <v>5</v>
      </c>
      <c r="NB7" s="30" t="str">
        <f ca="1"/>
        <v>Jarmou</v>
      </c>
      <c r="NC7" s="30">
        <f ca="1"/>
        <v>0</v>
      </c>
      <c r="ND7" s="13"/>
      <c r="NE7" s="13"/>
      <c r="NG7" s="29">
        <f ca="1"/>
        <v>5</v>
      </c>
      <c r="NH7" s="30" t="str">
        <f ca="1"/>
        <v>Jarmou</v>
      </c>
      <c r="NI7" s="30" t="e" vm="17">
        <f ca="1"/>
        <v>#VALUE!</v>
      </c>
      <c r="NJ7" s="30" t="e">
        <f ca="1"/>
        <v>#VALUE!</v>
      </c>
      <c r="NK7" s="13"/>
      <c r="NL7" s="30">
        <f ca="1"/>
        <v>0</v>
      </c>
      <c r="NN7" s="27">
        <f ca="1"/>
        <v>5</v>
      </c>
      <c r="NO7" s="30" t="str">
        <f ca="1"/>
        <v>Jarmou</v>
      </c>
      <c r="NP7" s="30">
        <f ca="1"/>
        <v>0</v>
      </c>
      <c r="NQ7" s="13"/>
      <c r="NR7" s="13"/>
      <c r="NT7" s="29">
        <f ca="1"/>
        <v>5</v>
      </c>
      <c r="NU7" s="30" t="str">
        <f ca="1"/>
        <v>Jarmou</v>
      </c>
      <c r="NV7" s="30" t="e" vm="17">
        <f ca="1"/>
        <v>#VALUE!</v>
      </c>
      <c r="NW7" s="30" t="e">
        <f ca="1"/>
        <v>#VALUE!</v>
      </c>
      <c r="NX7" s="13"/>
      <c r="NY7" s="30">
        <f ca="1"/>
        <v>0</v>
      </c>
      <c r="OA7" s="27">
        <f ca="1"/>
        <v>5</v>
      </c>
      <c r="OB7" s="30" t="str">
        <f ca="1"/>
        <v>Jarmou</v>
      </c>
      <c r="OC7" s="30">
        <f ca="1"/>
        <v>0</v>
      </c>
      <c r="OD7" s="13"/>
      <c r="OE7" s="13"/>
      <c r="OG7" s="29">
        <f ca="1"/>
        <v>5</v>
      </c>
      <c r="OH7" s="30" t="str">
        <f ca="1"/>
        <v>Jarmou</v>
      </c>
      <c r="OI7" s="30" t="e" vm="17">
        <f ca="1"/>
        <v>#VALUE!</v>
      </c>
      <c r="OJ7" s="30" t="e">
        <f ca="1"/>
        <v>#VALUE!</v>
      </c>
      <c r="OK7" s="13"/>
      <c r="OL7" s="30">
        <f ca="1"/>
        <v>0</v>
      </c>
      <c r="ON7" s="27">
        <f ca="1"/>
        <v>5</v>
      </c>
      <c r="OO7" s="30" t="str">
        <f ca="1"/>
        <v>Jarmou</v>
      </c>
      <c r="OP7" s="30">
        <f ca="1"/>
        <v>0</v>
      </c>
      <c r="OQ7" s="13"/>
      <c r="OR7" s="13"/>
      <c r="OT7" s="29">
        <f ca="1"/>
        <v>5</v>
      </c>
      <c r="OU7" s="30" t="str">
        <f ca="1"/>
        <v>Jarmou</v>
      </c>
      <c r="OV7" s="30" t="e" vm="17">
        <f ca="1"/>
        <v>#VALUE!</v>
      </c>
      <c r="OW7" s="30" t="e">
        <f ca="1"/>
        <v>#VALUE!</v>
      </c>
      <c r="OX7" s="13"/>
      <c r="OY7" s="30">
        <f ca="1"/>
        <v>0</v>
      </c>
      <c r="PA7" s="27">
        <f ca="1"/>
        <v>5</v>
      </c>
      <c r="PB7" s="30" t="str">
        <f ca="1"/>
        <v>Jarmou</v>
      </c>
      <c r="PC7" s="30">
        <f ca="1"/>
        <v>0</v>
      </c>
      <c r="PD7" s="13"/>
      <c r="PE7" s="13"/>
      <c r="PG7" s="29">
        <f ca="1"/>
        <v>5</v>
      </c>
      <c r="PH7" s="30" t="str">
        <f ca="1"/>
        <v>Jarmou</v>
      </c>
      <c r="PI7" s="30" t="e" vm="17">
        <f ca="1"/>
        <v>#VALUE!</v>
      </c>
      <c r="PJ7" s="30" t="e">
        <f ca="1"/>
        <v>#VALUE!</v>
      </c>
      <c r="PK7" s="13"/>
      <c r="PL7" s="30">
        <f ca="1"/>
        <v>0</v>
      </c>
      <c r="PN7" s="27">
        <f ca="1"/>
        <v>5</v>
      </c>
      <c r="PO7" s="30" t="str">
        <f ca="1"/>
        <v>Jarmou</v>
      </c>
      <c r="PP7" s="30">
        <f ca="1"/>
        <v>0</v>
      </c>
      <c r="PQ7" s="13"/>
      <c r="PR7" s="13"/>
      <c r="PT7" s="29">
        <f ca="1"/>
        <v>5</v>
      </c>
      <c r="PU7" s="30" t="str">
        <f ca="1"/>
        <v>Jarmou</v>
      </c>
      <c r="PV7" s="30" t="e" vm="17">
        <f ca="1"/>
        <v>#VALUE!</v>
      </c>
      <c r="PW7" s="30" t="e">
        <f ca="1"/>
        <v>#VALUE!</v>
      </c>
      <c r="PX7" s="13"/>
      <c r="PY7" s="30">
        <f ca="1"/>
        <v>0</v>
      </c>
      <c r="QA7" s="27">
        <f ca="1"/>
        <v>5</v>
      </c>
      <c r="QB7" s="30" t="str">
        <f ca="1"/>
        <v>Jarmou</v>
      </c>
      <c r="QC7" s="30">
        <f ca="1"/>
        <v>0</v>
      </c>
      <c r="QD7" s="13"/>
      <c r="QE7" s="13"/>
      <c r="QG7" s="29">
        <f ca="1"/>
        <v>5</v>
      </c>
      <c r="QH7" s="30" t="str">
        <f ca="1"/>
        <v>Jarmou</v>
      </c>
      <c r="QI7" s="30" t="e" vm="17">
        <f ca="1"/>
        <v>#VALUE!</v>
      </c>
      <c r="QJ7" s="30" t="e">
        <f ca="1"/>
        <v>#VALUE!</v>
      </c>
      <c r="QK7" s="13"/>
      <c r="QL7" s="30">
        <f ca="1"/>
        <v>0</v>
      </c>
      <c r="QN7" s="27">
        <f ca="1"/>
        <v>5</v>
      </c>
      <c r="QO7" s="30" t="str">
        <f ca="1"/>
        <v>Jarmou</v>
      </c>
      <c r="QP7" s="30">
        <f ca="1"/>
        <v>0</v>
      </c>
      <c r="QQ7" s="13"/>
      <c r="QR7" s="13"/>
      <c r="QT7" s="29">
        <f ca="1"/>
        <v>5</v>
      </c>
      <c r="QU7" s="30" t="str">
        <f ca="1"/>
        <v>Jarmou</v>
      </c>
      <c r="QV7" s="30" t="e" vm="17">
        <f ca="1"/>
        <v>#VALUE!</v>
      </c>
      <c r="QW7" s="30" t="e">
        <f ca="1"/>
        <v>#VALUE!</v>
      </c>
      <c r="QX7" s="13"/>
      <c r="QY7" s="30">
        <f ca="1"/>
        <v>0</v>
      </c>
      <c r="RA7" s="27">
        <f ca="1"/>
        <v>5</v>
      </c>
      <c r="RB7" s="30" t="str">
        <f ca="1"/>
        <v>Jarmou</v>
      </c>
      <c r="RC7" s="30">
        <f ca="1"/>
        <v>0</v>
      </c>
      <c r="RD7" s="13"/>
      <c r="RE7" s="13"/>
      <c r="RG7" s="29">
        <f ca="1"/>
        <v>5</v>
      </c>
      <c r="RH7" s="30" t="str">
        <f ca="1"/>
        <v>Jarmou</v>
      </c>
      <c r="RI7" s="30" t="e" vm="17">
        <f ca="1"/>
        <v>#VALUE!</v>
      </c>
      <c r="RJ7" s="30" t="e">
        <f ca="1"/>
        <v>#VALUE!</v>
      </c>
      <c r="RK7" s="13"/>
      <c r="RL7" s="30">
        <f ca="1"/>
        <v>0</v>
      </c>
      <c r="RN7" s="27">
        <f ca="1"/>
        <v>5</v>
      </c>
      <c r="RO7" s="30" t="str">
        <f ca="1"/>
        <v>Jarmou</v>
      </c>
      <c r="RP7" s="30">
        <f ca="1"/>
        <v>0</v>
      </c>
      <c r="RQ7" s="13"/>
      <c r="RR7" s="13"/>
      <c r="RT7" s="29">
        <f ca="1"/>
        <v>5</v>
      </c>
      <c r="RU7" s="30" t="str">
        <f ca="1"/>
        <v>Jarmou</v>
      </c>
      <c r="RV7" s="30" t="e" vm="17">
        <f ca="1"/>
        <v>#VALUE!</v>
      </c>
      <c r="RW7" s="30" t="e">
        <f ca="1"/>
        <v>#VALUE!</v>
      </c>
      <c r="RX7" s="13"/>
      <c r="RY7" s="30">
        <f ca="1"/>
        <v>0</v>
      </c>
      <c r="SA7" s="27">
        <f ca="1"/>
        <v>5</v>
      </c>
      <c r="SB7" s="30" t="str">
        <f ca="1"/>
        <v>Jarmou</v>
      </c>
      <c r="SC7" s="30">
        <f ca="1"/>
        <v>0</v>
      </c>
      <c r="SD7" s="13"/>
      <c r="SE7" s="13"/>
      <c r="SG7" s="29">
        <f ca="1"/>
        <v>5</v>
      </c>
      <c r="SH7" s="30" t="str">
        <f ca="1"/>
        <v>Jarmou</v>
      </c>
      <c r="SI7" s="30" t="e" vm="17">
        <f ca="1"/>
        <v>#VALUE!</v>
      </c>
      <c r="SJ7" s="30" t="e">
        <f ca="1"/>
        <v>#VALUE!</v>
      </c>
      <c r="SK7" s="13"/>
      <c r="SL7" s="30">
        <f ca="1"/>
        <v>0</v>
      </c>
      <c r="SN7" s="27">
        <f ca="1"/>
        <v>5</v>
      </c>
      <c r="SO7" s="30" t="str">
        <f ca="1"/>
        <v>Jarmou</v>
      </c>
      <c r="SP7" s="30">
        <f ca="1"/>
        <v>0</v>
      </c>
      <c r="SQ7" s="13"/>
      <c r="SR7" s="13"/>
      <c r="ST7" s="29">
        <f ca="1"/>
        <v>5</v>
      </c>
      <c r="SU7" s="30" t="str">
        <f ca="1"/>
        <v>Jarmou</v>
      </c>
      <c r="SV7" s="30" t="e" vm="17">
        <f ca="1"/>
        <v>#VALUE!</v>
      </c>
      <c r="SW7" s="30" t="e">
        <f ca="1"/>
        <v>#VALUE!</v>
      </c>
      <c r="SX7" s="13"/>
      <c r="SY7" s="30">
        <f ca="1"/>
        <v>0</v>
      </c>
      <c r="TA7" s="29">
        <f ca="1"/>
        <v>5</v>
      </c>
      <c r="TB7" s="30" t="str">
        <f ca="1"/>
        <v>Jarmou</v>
      </c>
      <c r="TC7" s="30" t="e" vm="17">
        <f ca="1"/>
        <v>#VALUE!</v>
      </c>
      <c r="TD7" s="30">
        <f ca="1"/>
        <v>800</v>
      </c>
    </row>
    <row r="8" spans="1:524" ht="20.100000000000001" customHeight="1">
      <c r="A8" s="27">
        <f ca="1"/>
        <v>6</v>
      </c>
      <c r="B8" s="30" t="str">
        <f ca="1"/>
        <v>JDR</v>
      </c>
      <c r="C8" s="30">
        <v>1</v>
      </c>
      <c r="D8" s="13"/>
      <c r="E8" s="57">
        <v>0</v>
      </c>
      <c r="G8" s="29">
        <f ca="1"/>
        <v>6</v>
      </c>
      <c r="H8" s="30" t="str">
        <f ca="1"/>
        <v>JDR</v>
      </c>
      <c r="I8" s="30" t="e" vm="15">
        <f ca="1"/>
        <v>#VALUE!</v>
      </c>
      <c r="J8" s="55" t="e">
        <f ca="1"/>
        <v>#VALUE!</v>
      </c>
      <c r="K8" s="13"/>
      <c r="L8" s="30">
        <f ca="1"/>
        <v>1</v>
      </c>
      <c r="N8" s="27">
        <f ca="1"/>
        <v>6</v>
      </c>
      <c r="O8" s="30" t="str">
        <f ca="1"/>
        <v>JDR</v>
      </c>
      <c r="P8" s="30">
        <f ca="1"/>
        <v>1</v>
      </c>
      <c r="Q8" s="13"/>
      <c r="R8" s="13">
        <v>0</v>
      </c>
      <c r="T8" s="29">
        <f ca="1"/>
        <v>6</v>
      </c>
      <c r="U8" s="30" t="str">
        <f ca="1"/>
        <v>JDR</v>
      </c>
      <c r="V8" s="30" t="e" vm="15">
        <f ca="1"/>
        <v>#VALUE!</v>
      </c>
      <c r="W8" s="30" t="e">
        <f ca="1"/>
        <v>#VALUE!</v>
      </c>
      <c r="X8" s="13"/>
      <c r="Y8" s="30">
        <f ca="1"/>
        <v>1</v>
      </c>
      <c r="AA8" s="27">
        <f ca="1"/>
        <v>6</v>
      </c>
      <c r="AB8" s="30" t="str">
        <f ca="1"/>
        <v>JDR</v>
      </c>
      <c r="AC8" s="30">
        <f ca="1"/>
        <v>1</v>
      </c>
      <c r="AD8" s="13"/>
      <c r="AE8" s="13">
        <v>0</v>
      </c>
      <c r="AG8" s="29">
        <f ca="1"/>
        <v>6</v>
      </c>
      <c r="AH8" s="30" t="str">
        <f ca="1"/>
        <v>JDR</v>
      </c>
      <c r="AI8" s="30" t="e" vm="15">
        <f ca="1"/>
        <v>#VALUE!</v>
      </c>
      <c r="AJ8" s="30" t="e">
        <f ca="1"/>
        <v>#VALUE!</v>
      </c>
      <c r="AK8" s="13"/>
      <c r="AL8" s="30">
        <f ca="1"/>
        <v>1</v>
      </c>
      <c r="AN8" s="27">
        <f ca="1"/>
        <v>6</v>
      </c>
      <c r="AO8" s="30" t="str">
        <f ca="1"/>
        <v>JDR</v>
      </c>
      <c r="AP8" s="30">
        <f ca="1"/>
        <v>1</v>
      </c>
      <c r="AQ8" s="13"/>
      <c r="AR8" s="13">
        <v>0</v>
      </c>
      <c r="AT8" s="29">
        <f ca="1"/>
        <v>6</v>
      </c>
      <c r="AU8" s="30" t="str">
        <f ca="1"/>
        <v>JDR</v>
      </c>
      <c r="AV8" s="30" t="e" vm="15">
        <f ca="1"/>
        <v>#VALUE!</v>
      </c>
      <c r="AW8" s="30" t="e">
        <f ca="1"/>
        <v>#VALUE!</v>
      </c>
      <c r="AX8" s="13"/>
      <c r="AY8" s="30">
        <f ca="1"/>
        <v>1</v>
      </c>
      <c r="BA8" s="27">
        <f ca="1"/>
        <v>6</v>
      </c>
      <c r="BB8" s="30" t="str">
        <f ca="1"/>
        <v>JDR</v>
      </c>
      <c r="BC8" s="30">
        <f ca="1"/>
        <v>1</v>
      </c>
      <c r="BD8" s="13"/>
      <c r="BE8" s="13">
        <v>0</v>
      </c>
      <c r="BG8" s="29">
        <f ca="1"/>
        <v>6</v>
      </c>
      <c r="BH8" s="30" t="str">
        <f ca="1"/>
        <v>JDR</v>
      </c>
      <c r="BI8" s="30" t="e" vm="15">
        <f ca="1"/>
        <v>#VALUE!</v>
      </c>
      <c r="BJ8" s="30" t="e">
        <f ca="1"/>
        <v>#VALUE!</v>
      </c>
      <c r="BK8" s="13"/>
      <c r="BL8" s="30">
        <f ca="1"/>
        <v>1</v>
      </c>
      <c r="BN8" s="27">
        <f ca="1"/>
        <v>6</v>
      </c>
      <c r="BO8" s="30" t="str">
        <f ca="1"/>
        <v>JDR</v>
      </c>
      <c r="BP8" s="30">
        <f ca="1"/>
        <v>1</v>
      </c>
      <c r="BQ8" s="13"/>
      <c r="BR8" s="13">
        <v>0</v>
      </c>
      <c r="BS8" s="1"/>
      <c r="BT8" s="29">
        <f ca="1"/>
        <v>6</v>
      </c>
      <c r="BU8" s="30" t="str">
        <f ca="1"/>
        <v>JDR</v>
      </c>
      <c r="BV8" s="30" t="e" vm="15">
        <f ca="1"/>
        <v>#VALUE!</v>
      </c>
      <c r="BW8" s="30" t="e">
        <f ca="1"/>
        <v>#VALUE!</v>
      </c>
      <c r="BX8" s="13"/>
      <c r="BY8" s="30">
        <f ca="1"/>
        <v>1</v>
      </c>
      <c r="CA8" s="27">
        <f ca="1"/>
        <v>6</v>
      </c>
      <c r="CB8" s="30" t="str">
        <f ca="1"/>
        <v>JDR</v>
      </c>
      <c r="CC8" s="30">
        <f ca="1"/>
        <v>1</v>
      </c>
      <c r="CD8" s="13"/>
      <c r="CE8" s="13">
        <v>0</v>
      </c>
      <c r="CG8" s="29">
        <f ca="1"/>
        <v>6</v>
      </c>
      <c r="CH8" s="30" t="str">
        <f ca="1"/>
        <v>JDR</v>
      </c>
      <c r="CI8" s="30" t="e" vm="15">
        <f ca="1"/>
        <v>#VALUE!</v>
      </c>
      <c r="CJ8" s="30" t="e">
        <f ca="1"/>
        <v>#VALUE!</v>
      </c>
      <c r="CK8" s="13"/>
      <c r="CL8" s="30">
        <f ca="1"/>
        <v>1</v>
      </c>
      <c r="CN8" s="27">
        <f ca="1"/>
        <v>6</v>
      </c>
      <c r="CO8" s="30" t="str">
        <f ca="1"/>
        <v>JDR</v>
      </c>
      <c r="CP8" s="30">
        <f ca="1"/>
        <v>1</v>
      </c>
      <c r="CQ8" s="13"/>
      <c r="CR8" s="13">
        <v>0</v>
      </c>
      <c r="CT8" s="29">
        <f ca="1"/>
        <v>6</v>
      </c>
      <c r="CU8" s="30" t="str">
        <f ca="1"/>
        <v>JDR</v>
      </c>
      <c r="CV8" s="30" t="e" vm="15">
        <f ca="1"/>
        <v>#VALUE!</v>
      </c>
      <c r="CW8" s="30" t="e">
        <f ca="1"/>
        <v>#VALUE!</v>
      </c>
      <c r="CX8" s="13"/>
      <c r="CY8" s="30">
        <f ca="1"/>
        <v>1</v>
      </c>
      <c r="DA8" s="27">
        <f ca="1"/>
        <v>6</v>
      </c>
      <c r="DB8" s="30" t="str">
        <f ca="1"/>
        <v>JDR</v>
      </c>
      <c r="DC8" s="30">
        <f ca="1"/>
        <v>1</v>
      </c>
      <c r="DD8" s="13">
        <v>2</v>
      </c>
      <c r="DE8" s="13">
        <v>5494</v>
      </c>
      <c r="DG8" s="29">
        <f ca="1"/>
        <v>6</v>
      </c>
      <c r="DH8" s="30" t="str">
        <f ca="1"/>
        <v>Antistar</v>
      </c>
      <c r="DI8" s="30" t="e" vm="15">
        <f ca="1"/>
        <v>#VALUE!</v>
      </c>
      <c r="DJ8" s="30" t="e">
        <f ca="1"/>
        <v>#VALUE!</v>
      </c>
      <c r="DK8" s="13"/>
      <c r="DL8" s="30">
        <f ca="1"/>
        <v>3</v>
      </c>
      <c r="DN8" s="27">
        <f ca="1"/>
        <v>6</v>
      </c>
      <c r="DO8" s="30" t="str">
        <f ca="1"/>
        <v>Antistar</v>
      </c>
      <c r="DP8" s="30">
        <f ca="1"/>
        <v>3</v>
      </c>
      <c r="DQ8" s="13"/>
      <c r="DR8" s="13">
        <v>13339</v>
      </c>
      <c r="DT8" s="29">
        <f ca="1"/>
        <v>6</v>
      </c>
      <c r="DU8" s="30" t="str">
        <f ca="1"/>
        <v>JDR</v>
      </c>
      <c r="DV8" s="30" t="e" vm="15">
        <f ca="1"/>
        <v>#VALUE!</v>
      </c>
      <c r="DW8" s="30" t="e">
        <f ca="1"/>
        <v>#VALUE!</v>
      </c>
      <c r="DX8" s="13"/>
      <c r="DY8" s="30">
        <f ca="1"/>
        <v>3</v>
      </c>
      <c r="EA8" s="27">
        <f ca="1"/>
        <v>6</v>
      </c>
      <c r="EB8" s="30" t="str">
        <f ca="1"/>
        <v>Antistar</v>
      </c>
      <c r="EC8" s="30">
        <f ca="1"/>
        <v>3</v>
      </c>
      <c r="ED8" s="13"/>
      <c r="EE8" s="13">
        <v>10775</v>
      </c>
      <c r="EG8" s="29">
        <f ca="1"/>
        <v>6</v>
      </c>
      <c r="EH8" s="30" t="str">
        <f ca="1"/>
        <v>JDR</v>
      </c>
      <c r="EI8" s="30" t="e" vm="15">
        <f ca="1"/>
        <v>#VALUE!</v>
      </c>
      <c r="EJ8" s="30" t="e">
        <f ca="1"/>
        <v>#VALUE!</v>
      </c>
      <c r="EK8" s="13"/>
      <c r="EL8" s="30">
        <f ca="1"/>
        <v>3</v>
      </c>
      <c r="EN8" s="27">
        <f ca="1"/>
        <v>6</v>
      </c>
      <c r="EO8" s="30" t="str">
        <f ca="1"/>
        <v>Mike</v>
      </c>
      <c r="EP8" s="30">
        <f ca="1"/>
        <v>2</v>
      </c>
      <c r="EQ8" s="13"/>
      <c r="ER8" s="13">
        <v>12441</v>
      </c>
      <c r="ET8" s="29">
        <f ca="1"/>
        <v>6</v>
      </c>
      <c r="EU8" s="30" t="str">
        <f ca="1"/>
        <v>Mike</v>
      </c>
      <c r="EV8" s="30" t="e" vm="12">
        <f ca="1"/>
        <v>#VALUE!</v>
      </c>
      <c r="EW8" s="30" t="e">
        <f ca="1"/>
        <v>#VALUE!</v>
      </c>
      <c r="EX8" s="13"/>
      <c r="EY8" s="30">
        <f ca="1"/>
        <v>2</v>
      </c>
      <c r="FA8" s="27">
        <f ca="1"/>
        <v>6</v>
      </c>
      <c r="FB8" s="30" t="str">
        <f ca="1"/>
        <v>Mike</v>
      </c>
      <c r="FC8" s="30">
        <f ca="1"/>
        <v>2</v>
      </c>
      <c r="FD8" s="13"/>
      <c r="FE8" s="13">
        <v>13207</v>
      </c>
      <c r="FG8" s="29">
        <f ca="1"/>
        <v>6</v>
      </c>
      <c r="FH8" s="30" t="str">
        <f ca="1"/>
        <v>Mike</v>
      </c>
      <c r="FI8" s="30" t="e" vm="12">
        <f ca="1"/>
        <v>#VALUE!</v>
      </c>
      <c r="FJ8" s="30" t="e">
        <f ca="1"/>
        <v>#VALUE!</v>
      </c>
      <c r="FK8" s="13">
        <v>1</v>
      </c>
      <c r="FL8" s="30">
        <f ca="1"/>
        <v>1</v>
      </c>
      <c r="FN8" s="27">
        <f ca="1"/>
        <v>6</v>
      </c>
      <c r="FO8" s="30" t="str">
        <f ca="1"/>
        <v>Onwa</v>
      </c>
      <c r="FP8" s="30">
        <f ca="1"/>
        <v>1</v>
      </c>
      <c r="FQ8" s="13"/>
      <c r="FR8" s="13">
        <v>14258</v>
      </c>
      <c r="FT8" s="29">
        <f ca="1"/>
        <v>6</v>
      </c>
      <c r="FU8" s="30" t="str">
        <f ca="1"/>
        <v>Sami</v>
      </c>
      <c r="FV8" s="30" t="e" vm="13">
        <f ca="1"/>
        <v>#VALUE!</v>
      </c>
      <c r="FW8" s="30" t="e">
        <f ca="1"/>
        <v>#VALUE!</v>
      </c>
      <c r="FX8" s="13">
        <v>1</v>
      </c>
      <c r="FY8" s="30">
        <f ca="1"/>
        <v>1</v>
      </c>
      <c r="GA8" s="27">
        <f ca="1"/>
        <v>6</v>
      </c>
      <c r="GB8" s="30" t="str">
        <f ca="1"/>
        <v>Sami</v>
      </c>
      <c r="GC8" s="30">
        <f ca="1"/>
        <v>1</v>
      </c>
      <c r="GD8" s="13"/>
      <c r="GE8" s="13">
        <v>0</v>
      </c>
      <c r="GG8" s="29">
        <f ca="1"/>
        <v>6</v>
      </c>
      <c r="GH8" s="30" t="str">
        <f ca="1"/>
        <v>Sami</v>
      </c>
      <c r="GI8" s="30" t="e" vm="13">
        <f ca="1"/>
        <v>#VALUE!</v>
      </c>
      <c r="GJ8" s="30" t="e">
        <f ca="1"/>
        <v>#VALUE!</v>
      </c>
      <c r="GK8" s="13"/>
      <c r="GL8" s="30">
        <f ca="1"/>
        <v>1</v>
      </c>
      <c r="GN8" s="27">
        <f ca="1"/>
        <v>6</v>
      </c>
      <c r="GO8" s="30" t="str">
        <f ca="1"/>
        <v>Sami</v>
      </c>
      <c r="GP8" s="30">
        <f ca="1"/>
        <v>1</v>
      </c>
      <c r="GQ8" s="13">
        <v>2</v>
      </c>
      <c r="GR8" s="13">
        <v>10789</v>
      </c>
      <c r="GT8" s="29">
        <f ca="1"/>
        <v>6</v>
      </c>
      <c r="GU8" s="30" t="str">
        <f ca="1"/>
        <v>Mike</v>
      </c>
      <c r="GV8" s="30" t="e" vm="12">
        <f ca="1"/>
        <v>#VALUE!</v>
      </c>
      <c r="GW8" s="30" t="e">
        <f ca="1"/>
        <v>#VALUE!</v>
      </c>
      <c r="GX8" s="13">
        <v>1</v>
      </c>
      <c r="GY8" s="30">
        <f ca="1"/>
        <v>2</v>
      </c>
      <c r="HA8" s="27">
        <f ca="1"/>
        <v>6</v>
      </c>
      <c r="HB8" s="30" t="str">
        <f ca="1"/>
        <v>Mike</v>
      </c>
      <c r="HC8" s="30">
        <f ca="1"/>
        <v>2</v>
      </c>
      <c r="HD8" s="13"/>
      <c r="HE8" s="13">
        <v>11355</v>
      </c>
      <c r="HF8" s="1"/>
      <c r="HG8" s="29">
        <f ca="1"/>
        <v>6</v>
      </c>
      <c r="HH8" s="30" t="str">
        <f ca="1"/>
        <v>Jarmou</v>
      </c>
      <c r="HI8" s="30" t="e" vm="17">
        <f ca="1"/>
        <v>#VALUE!</v>
      </c>
      <c r="HJ8" s="30" t="e">
        <f ca="1"/>
        <v>#VALUE!</v>
      </c>
      <c r="HK8" s="13">
        <v>1</v>
      </c>
      <c r="HL8" s="30">
        <f ca="1"/>
        <v>1</v>
      </c>
      <c r="HN8" s="27">
        <f ca="1"/>
        <v>6</v>
      </c>
      <c r="HO8" s="30" t="str">
        <f ca="1"/>
        <v>JDR</v>
      </c>
      <c r="HP8" s="30">
        <f ca="1"/>
        <v>2</v>
      </c>
      <c r="HQ8" s="13"/>
      <c r="HR8" s="13">
        <v>14644</v>
      </c>
      <c r="HT8" s="29">
        <f ca="1"/>
        <v>6</v>
      </c>
      <c r="HU8" s="30" t="str">
        <f ca="1"/>
        <v>KVD</v>
      </c>
      <c r="HV8" s="30" t="e" vm="12">
        <f ca="1"/>
        <v>#VALUE!</v>
      </c>
      <c r="HW8" s="30" t="e">
        <f ca="1"/>
        <v>#VALUE!</v>
      </c>
      <c r="HX8" s="13">
        <v>1</v>
      </c>
      <c r="HY8" s="30">
        <f ca="1"/>
        <v>2</v>
      </c>
      <c r="IA8" s="27">
        <f ca="1"/>
        <v>6</v>
      </c>
      <c r="IB8" s="30" t="str">
        <f ca="1"/>
        <v>JDR</v>
      </c>
      <c r="IC8" s="30">
        <f ca="1"/>
        <v>1</v>
      </c>
      <c r="ID8" s="13"/>
      <c r="IE8" s="13">
        <v>13000</v>
      </c>
      <c r="IG8" s="29">
        <f ca="1"/>
        <v>6</v>
      </c>
      <c r="IH8" s="30" t="str">
        <f ca="1"/>
        <v>Takashi</v>
      </c>
      <c r="II8" s="30" t="e" vm="16">
        <f ca="1"/>
        <v>#VALUE!</v>
      </c>
      <c r="IJ8" s="30" t="e">
        <f ca="1"/>
        <v>#VALUE!</v>
      </c>
      <c r="IK8" s="13">
        <v>1</v>
      </c>
      <c r="IL8" s="30">
        <f ca="1"/>
        <v>0</v>
      </c>
      <c r="IN8" s="27">
        <f ca="1"/>
        <v>6</v>
      </c>
      <c r="IO8" s="30" t="str">
        <f ca="1"/>
        <v>Takashi</v>
      </c>
      <c r="IP8" s="30">
        <f ca="1"/>
        <v>0</v>
      </c>
      <c r="IQ8" s="13"/>
      <c r="IR8" s="13"/>
      <c r="IT8" s="29">
        <f ca="1"/>
        <v>6</v>
      </c>
      <c r="IU8" s="30" t="str">
        <f ca="1"/>
        <v>Takashi</v>
      </c>
      <c r="IV8" s="30" t="e" vm="16">
        <f ca="1"/>
        <v>#VALUE!</v>
      </c>
      <c r="IW8" s="30" t="e">
        <f ca="1"/>
        <v>#VALUE!</v>
      </c>
      <c r="IX8" s="13"/>
      <c r="IY8" s="30">
        <f ca="1"/>
        <v>0</v>
      </c>
      <c r="JA8" s="27">
        <f ca="1"/>
        <v>6</v>
      </c>
      <c r="JB8" s="30" t="str">
        <f ca="1"/>
        <v>Takashi</v>
      </c>
      <c r="JC8" s="30">
        <f ca="1"/>
        <v>0</v>
      </c>
      <c r="JD8" s="13"/>
      <c r="JE8" s="13"/>
      <c r="JG8" s="29">
        <f ca="1"/>
        <v>6</v>
      </c>
      <c r="JH8" s="30" t="str">
        <f ca="1"/>
        <v>Takashi</v>
      </c>
      <c r="JI8" s="30" t="e" vm="16">
        <f ca="1"/>
        <v>#VALUE!</v>
      </c>
      <c r="JJ8" s="30" t="e">
        <f ca="1"/>
        <v>#VALUE!</v>
      </c>
      <c r="JK8" s="13"/>
      <c r="JL8" s="30">
        <f ca="1"/>
        <v>0</v>
      </c>
      <c r="JN8" s="27">
        <f ca="1"/>
        <v>6</v>
      </c>
      <c r="JO8" s="30" t="str">
        <f ca="1"/>
        <v>Takashi</v>
      </c>
      <c r="JP8" s="30">
        <f ca="1"/>
        <v>0</v>
      </c>
      <c r="JQ8" s="13"/>
      <c r="JR8" s="13"/>
      <c r="JT8" s="29">
        <f ca="1"/>
        <v>6</v>
      </c>
      <c r="JU8" s="30" t="str">
        <f ca="1"/>
        <v>Takashi</v>
      </c>
      <c r="JV8" s="30" t="e" vm="16">
        <f ca="1"/>
        <v>#VALUE!</v>
      </c>
      <c r="JW8" s="30" t="e">
        <f ca="1"/>
        <v>#VALUE!</v>
      </c>
      <c r="JX8" s="13"/>
      <c r="JY8" s="30">
        <f ca="1"/>
        <v>0</v>
      </c>
      <c r="KA8" s="27">
        <f ca="1"/>
        <v>6</v>
      </c>
      <c r="KB8" s="30" t="str">
        <f ca="1"/>
        <v>Takashi</v>
      </c>
      <c r="KC8" s="30">
        <f ca="1"/>
        <v>0</v>
      </c>
      <c r="KD8" s="13"/>
      <c r="KE8" s="13"/>
      <c r="KG8" s="29">
        <f ca="1"/>
        <v>6</v>
      </c>
      <c r="KH8" s="30" t="str">
        <f ca="1"/>
        <v>Takashi</v>
      </c>
      <c r="KI8" s="30" t="e" vm="16">
        <f ca="1"/>
        <v>#VALUE!</v>
      </c>
      <c r="KJ8" s="30" t="e">
        <f ca="1"/>
        <v>#VALUE!</v>
      </c>
      <c r="KK8" s="13"/>
      <c r="KL8" s="30">
        <f ca="1"/>
        <v>0</v>
      </c>
      <c r="KN8" s="27">
        <f ca="1"/>
        <v>6</v>
      </c>
      <c r="KO8" s="30" t="str">
        <f ca="1"/>
        <v>Takashi</v>
      </c>
      <c r="KP8" s="30">
        <f ca="1"/>
        <v>0</v>
      </c>
      <c r="KQ8" s="13"/>
      <c r="KR8" s="13"/>
      <c r="KT8" s="29">
        <f ca="1"/>
        <v>6</v>
      </c>
      <c r="KU8" s="30" t="str">
        <f ca="1"/>
        <v>Takashi</v>
      </c>
      <c r="KV8" s="30" t="e" vm="16">
        <f ca="1"/>
        <v>#VALUE!</v>
      </c>
      <c r="KW8" s="30" t="e">
        <f ca="1"/>
        <v>#VALUE!</v>
      </c>
      <c r="KX8" s="13"/>
      <c r="KY8" s="30">
        <f ca="1"/>
        <v>0</v>
      </c>
      <c r="LA8" s="27">
        <f ca="1"/>
        <v>6</v>
      </c>
      <c r="LB8" s="30" t="str">
        <f ca="1"/>
        <v>Takashi</v>
      </c>
      <c r="LC8" s="30">
        <f ca="1"/>
        <v>0</v>
      </c>
      <c r="LD8" s="13"/>
      <c r="LE8" s="13"/>
      <c r="LG8" s="29">
        <f ca="1"/>
        <v>6</v>
      </c>
      <c r="LH8" s="30" t="str">
        <f ca="1"/>
        <v>Takashi</v>
      </c>
      <c r="LI8" s="30" t="e" vm="16">
        <f ca="1"/>
        <v>#VALUE!</v>
      </c>
      <c r="LJ8" s="30" t="e">
        <f ca="1"/>
        <v>#VALUE!</v>
      </c>
      <c r="LK8" s="13"/>
      <c r="LL8" s="30">
        <f ca="1"/>
        <v>0</v>
      </c>
      <c r="LN8" s="27">
        <f ca="1"/>
        <v>6</v>
      </c>
      <c r="LO8" s="30" t="str">
        <f ca="1"/>
        <v>Takashi</v>
      </c>
      <c r="LP8" s="30">
        <f ca="1"/>
        <v>0</v>
      </c>
      <c r="LQ8" s="13"/>
      <c r="LR8" s="13"/>
      <c r="LT8" s="29">
        <f ca="1"/>
        <v>6</v>
      </c>
      <c r="LU8" s="30" t="str">
        <f ca="1"/>
        <v>Takashi</v>
      </c>
      <c r="LV8" s="30" t="e" vm="16">
        <f ca="1"/>
        <v>#VALUE!</v>
      </c>
      <c r="LW8" s="30" t="e">
        <f ca="1"/>
        <v>#VALUE!</v>
      </c>
      <c r="LX8" s="13"/>
      <c r="LY8" s="30">
        <f ca="1"/>
        <v>0</v>
      </c>
      <c r="MA8" s="27">
        <f ca="1"/>
        <v>6</v>
      </c>
      <c r="MB8" s="30" t="str">
        <f ca="1"/>
        <v>Takashi</v>
      </c>
      <c r="MC8" s="30">
        <f ca="1"/>
        <v>0</v>
      </c>
      <c r="MD8" s="13"/>
      <c r="ME8" s="13"/>
      <c r="MG8" s="29">
        <f ca="1"/>
        <v>6</v>
      </c>
      <c r="MH8" s="30" t="str">
        <f ca="1"/>
        <v>Takashi</v>
      </c>
      <c r="MI8" s="30" t="e" vm="16">
        <f ca="1"/>
        <v>#VALUE!</v>
      </c>
      <c r="MJ8" s="30" t="e">
        <f ca="1"/>
        <v>#VALUE!</v>
      </c>
      <c r="MK8" s="13"/>
      <c r="ML8" s="30">
        <f ca="1"/>
        <v>0</v>
      </c>
      <c r="MN8" s="27">
        <f ca="1"/>
        <v>6</v>
      </c>
      <c r="MO8" s="30" t="str">
        <f ca="1"/>
        <v>Takashi</v>
      </c>
      <c r="MP8" s="30">
        <f ca="1"/>
        <v>0</v>
      </c>
      <c r="MQ8" s="13"/>
      <c r="MR8" s="13"/>
      <c r="MS8" s="1"/>
      <c r="MT8" s="29">
        <f ca="1"/>
        <v>6</v>
      </c>
      <c r="MU8" s="30" t="str">
        <f ca="1"/>
        <v>Takashi</v>
      </c>
      <c r="MV8" s="30" t="e" vm="16">
        <f ca="1"/>
        <v>#VALUE!</v>
      </c>
      <c r="MW8" s="30" t="e">
        <f ca="1"/>
        <v>#VALUE!</v>
      </c>
      <c r="MX8" s="13"/>
      <c r="MY8" s="30">
        <f ca="1"/>
        <v>0</v>
      </c>
      <c r="NA8" s="27">
        <f ca="1"/>
        <v>6</v>
      </c>
      <c r="NB8" s="30" t="str">
        <f ca="1"/>
        <v>Takashi</v>
      </c>
      <c r="NC8" s="30">
        <f ca="1"/>
        <v>0</v>
      </c>
      <c r="ND8" s="13"/>
      <c r="NE8" s="13"/>
      <c r="NG8" s="29">
        <f ca="1"/>
        <v>6</v>
      </c>
      <c r="NH8" s="30" t="str">
        <f ca="1"/>
        <v>Takashi</v>
      </c>
      <c r="NI8" s="30" t="e" vm="16">
        <f ca="1"/>
        <v>#VALUE!</v>
      </c>
      <c r="NJ8" s="30" t="e">
        <f ca="1"/>
        <v>#VALUE!</v>
      </c>
      <c r="NK8" s="13"/>
      <c r="NL8" s="30">
        <f ca="1"/>
        <v>0</v>
      </c>
      <c r="NN8" s="27">
        <f ca="1"/>
        <v>6</v>
      </c>
      <c r="NO8" s="30" t="str">
        <f ca="1"/>
        <v>Takashi</v>
      </c>
      <c r="NP8" s="30">
        <f ca="1"/>
        <v>0</v>
      </c>
      <c r="NQ8" s="13"/>
      <c r="NR8" s="13"/>
      <c r="NT8" s="29">
        <f ca="1"/>
        <v>6</v>
      </c>
      <c r="NU8" s="30" t="str">
        <f ca="1"/>
        <v>Takashi</v>
      </c>
      <c r="NV8" s="30" t="e" vm="16">
        <f ca="1"/>
        <v>#VALUE!</v>
      </c>
      <c r="NW8" s="30" t="e">
        <f ca="1"/>
        <v>#VALUE!</v>
      </c>
      <c r="NX8" s="13"/>
      <c r="NY8" s="30">
        <f ca="1"/>
        <v>0</v>
      </c>
      <c r="OA8" s="27">
        <f ca="1"/>
        <v>6</v>
      </c>
      <c r="OB8" s="30" t="str">
        <f ca="1"/>
        <v>Takashi</v>
      </c>
      <c r="OC8" s="30">
        <f ca="1"/>
        <v>0</v>
      </c>
      <c r="OD8" s="13"/>
      <c r="OE8" s="13"/>
      <c r="OG8" s="29">
        <f ca="1"/>
        <v>6</v>
      </c>
      <c r="OH8" s="30" t="str">
        <f ca="1"/>
        <v>Takashi</v>
      </c>
      <c r="OI8" s="30" t="e" vm="16">
        <f ca="1"/>
        <v>#VALUE!</v>
      </c>
      <c r="OJ8" s="30" t="e">
        <f ca="1"/>
        <v>#VALUE!</v>
      </c>
      <c r="OK8" s="13"/>
      <c r="OL8" s="30">
        <f ca="1"/>
        <v>0</v>
      </c>
      <c r="ON8" s="27">
        <f ca="1"/>
        <v>6</v>
      </c>
      <c r="OO8" s="30" t="str">
        <f ca="1"/>
        <v>Takashi</v>
      </c>
      <c r="OP8" s="30">
        <f ca="1"/>
        <v>0</v>
      </c>
      <c r="OQ8" s="13"/>
      <c r="OR8" s="13"/>
      <c r="OT8" s="29">
        <f ca="1"/>
        <v>6</v>
      </c>
      <c r="OU8" s="30" t="str">
        <f ca="1"/>
        <v>Takashi</v>
      </c>
      <c r="OV8" s="30" t="e" vm="16">
        <f ca="1"/>
        <v>#VALUE!</v>
      </c>
      <c r="OW8" s="30" t="e">
        <f ca="1"/>
        <v>#VALUE!</v>
      </c>
      <c r="OX8" s="13"/>
      <c r="OY8" s="30">
        <f ca="1"/>
        <v>0</v>
      </c>
      <c r="PA8" s="27">
        <f ca="1"/>
        <v>6</v>
      </c>
      <c r="PB8" s="30" t="str">
        <f ca="1"/>
        <v>Takashi</v>
      </c>
      <c r="PC8" s="30">
        <f ca="1"/>
        <v>0</v>
      </c>
      <c r="PD8" s="13"/>
      <c r="PE8" s="13"/>
      <c r="PG8" s="29">
        <f ca="1"/>
        <v>6</v>
      </c>
      <c r="PH8" s="30" t="str">
        <f ca="1"/>
        <v>Takashi</v>
      </c>
      <c r="PI8" s="30" t="e" vm="16">
        <f ca="1"/>
        <v>#VALUE!</v>
      </c>
      <c r="PJ8" s="30" t="e">
        <f ca="1"/>
        <v>#VALUE!</v>
      </c>
      <c r="PK8" s="13"/>
      <c r="PL8" s="30">
        <f ca="1"/>
        <v>0</v>
      </c>
      <c r="PN8" s="27">
        <f ca="1"/>
        <v>6</v>
      </c>
      <c r="PO8" s="30" t="str">
        <f ca="1"/>
        <v>Takashi</v>
      </c>
      <c r="PP8" s="30">
        <f ca="1"/>
        <v>0</v>
      </c>
      <c r="PQ8" s="13"/>
      <c r="PR8" s="13"/>
      <c r="PT8" s="29">
        <f ca="1"/>
        <v>6</v>
      </c>
      <c r="PU8" s="30" t="str">
        <f ca="1"/>
        <v>Takashi</v>
      </c>
      <c r="PV8" s="30" t="e" vm="16">
        <f ca="1"/>
        <v>#VALUE!</v>
      </c>
      <c r="PW8" s="30" t="e">
        <f ca="1"/>
        <v>#VALUE!</v>
      </c>
      <c r="PX8" s="13"/>
      <c r="PY8" s="30">
        <f ca="1"/>
        <v>0</v>
      </c>
      <c r="QA8" s="27">
        <f ca="1"/>
        <v>6</v>
      </c>
      <c r="QB8" s="30" t="str">
        <f ca="1"/>
        <v>Takashi</v>
      </c>
      <c r="QC8" s="30">
        <f ca="1"/>
        <v>0</v>
      </c>
      <c r="QD8" s="13"/>
      <c r="QE8" s="13"/>
      <c r="QG8" s="29">
        <f ca="1"/>
        <v>6</v>
      </c>
      <c r="QH8" s="30" t="str">
        <f ca="1"/>
        <v>Takashi</v>
      </c>
      <c r="QI8" s="30" t="e" vm="16">
        <f ca="1"/>
        <v>#VALUE!</v>
      </c>
      <c r="QJ8" s="30" t="e">
        <f ca="1"/>
        <v>#VALUE!</v>
      </c>
      <c r="QK8" s="13"/>
      <c r="QL8" s="30">
        <f ca="1"/>
        <v>0</v>
      </c>
      <c r="QN8" s="27">
        <f ca="1"/>
        <v>6</v>
      </c>
      <c r="QO8" s="30" t="str">
        <f ca="1"/>
        <v>Takashi</v>
      </c>
      <c r="QP8" s="30">
        <f ca="1"/>
        <v>0</v>
      </c>
      <c r="QQ8" s="13"/>
      <c r="QR8" s="13"/>
      <c r="QT8" s="29">
        <f ca="1"/>
        <v>6</v>
      </c>
      <c r="QU8" s="30" t="str">
        <f ca="1"/>
        <v>Takashi</v>
      </c>
      <c r="QV8" s="30" t="e" vm="16">
        <f ca="1"/>
        <v>#VALUE!</v>
      </c>
      <c r="QW8" s="30" t="e">
        <f ca="1"/>
        <v>#VALUE!</v>
      </c>
      <c r="QX8" s="13"/>
      <c r="QY8" s="30">
        <f ca="1"/>
        <v>0</v>
      </c>
      <c r="RA8" s="27">
        <f ca="1"/>
        <v>6</v>
      </c>
      <c r="RB8" s="30" t="str">
        <f ca="1"/>
        <v>Takashi</v>
      </c>
      <c r="RC8" s="30">
        <f ca="1"/>
        <v>0</v>
      </c>
      <c r="RD8" s="13"/>
      <c r="RE8" s="13"/>
      <c r="RG8" s="29">
        <f ca="1"/>
        <v>6</v>
      </c>
      <c r="RH8" s="30" t="str">
        <f ca="1"/>
        <v>Takashi</v>
      </c>
      <c r="RI8" s="30" t="e" vm="16">
        <f ca="1"/>
        <v>#VALUE!</v>
      </c>
      <c r="RJ8" s="30" t="e">
        <f ca="1"/>
        <v>#VALUE!</v>
      </c>
      <c r="RK8" s="13"/>
      <c r="RL8" s="30">
        <f ca="1"/>
        <v>0</v>
      </c>
      <c r="RN8" s="27">
        <f ca="1"/>
        <v>6</v>
      </c>
      <c r="RO8" s="30" t="str">
        <f ca="1"/>
        <v>Takashi</v>
      </c>
      <c r="RP8" s="30">
        <f ca="1"/>
        <v>0</v>
      </c>
      <c r="RQ8" s="13"/>
      <c r="RR8" s="13"/>
      <c r="RT8" s="29">
        <f ca="1"/>
        <v>6</v>
      </c>
      <c r="RU8" s="30" t="str">
        <f ca="1"/>
        <v>Takashi</v>
      </c>
      <c r="RV8" s="30" t="e" vm="16">
        <f ca="1"/>
        <v>#VALUE!</v>
      </c>
      <c r="RW8" s="30" t="e">
        <f ca="1"/>
        <v>#VALUE!</v>
      </c>
      <c r="RX8" s="13"/>
      <c r="RY8" s="30">
        <f ca="1"/>
        <v>0</v>
      </c>
      <c r="SA8" s="27">
        <f ca="1"/>
        <v>6</v>
      </c>
      <c r="SB8" s="30" t="str">
        <f ca="1"/>
        <v>Takashi</v>
      </c>
      <c r="SC8" s="30">
        <f ca="1"/>
        <v>0</v>
      </c>
      <c r="SD8" s="13"/>
      <c r="SE8" s="13"/>
      <c r="SG8" s="29">
        <f ca="1"/>
        <v>6</v>
      </c>
      <c r="SH8" s="30" t="str">
        <f ca="1"/>
        <v>Takashi</v>
      </c>
      <c r="SI8" s="30" t="e" vm="16">
        <f ca="1"/>
        <v>#VALUE!</v>
      </c>
      <c r="SJ8" s="30" t="e">
        <f ca="1"/>
        <v>#VALUE!</v>
      </c>
      <c r="SK8" s="13"/>
      <c r="SL8" s="30">
        <f ca="1"/>
        <v>0</v>
      </c>
      <c r="SN8" s="27">
        <f ca="1"/>
        <v>6</v>
      </c>
      <c r="SO8" s="30" t="str">
        <f ca="1"/>
        <v>Takashi</v>
      </c>
      <c r="SP8" s="30">
        <f ca="1"/>
        <v>0</v>
      </c>
      <c r="SQ8" s="13"/>
      <c r="SR8" s="13"/>
      <c r="ST8" s="29">
        <f ca="1"/>
        <v>6</v>
      </c>
      <c r="SU8" s="30" t="str">
        <f ca="1"/>
        <v>Takashi</v>
      </c>
      <c r="SV8" s="30" t="e" vm="16">
        <f ca="1"/>
        <v>#VALUE!</v>
      </c>
      <c r="SW8" s="30" t="e">
        <f ca="1"/>
        <v>#VALUE!</v>
      </c>
      <c r="SX8" s="13"/>
      <c r="SY8" s="30">
        <f ca="1"/>
        <v>0</v>
      </c>
      <c r="TA8" s="29">
        <f ca="1"/>
        <v>6</v>
      </c>
      <c r="TB8" s="30" t="str">
        <f ca="1"/>
        <v>Takashi</v>
      </c>
      <c r="TC8" s="30" t="e" vm="16">
        <f ca="1"/>
        <v>#VALUE!</v>
      </c>
      <c r="TD8" s="30">
        <f ca="1"/>
        <v>700</v>
      </c>
    </row>
    <row r="9" spans="1:524" ht="20.100000000000001" customHeight="1">
      <c r="A9" s="27">
        <f ca="1"/>
        <v>7</v>
      </c>
      <c r="B9" s="30" t="str">
        <f ca="1"/>
        <v>Jarmou</v>
      </c>
      <c r="C9" s="30">
        <v>1</v>
      </c>
      <c r="D9" s="13"/>
      <c r="E9" s="57">
        <v>0</v>
      </c>
      <c r="G9" s="29">
        <f ca="1"/>
        <v>7</v>
      </c>
      <c r="H9" s="30" t="str">
        <f ca="1"/>
        <v>Jarmou</v>
      </c>
      <c r="I9" s="30" t="e" vm="17">
        <f ca="1"/>
        <v>#VALUE!</v>
      </c>
      <c r="J9" s="55" t="e">
        <f ca="1"/>
        <v>#VALUE!</v>
      </c>
      <c r="K9" s="13"/>
      <c r="L9" s="30">
        <f ca="1"/>
        <v>1</v>
      </c>
      <c r="N9" s="27">
        <f ca="1"/>
        <v>7</v>
      </c>
      <c r="O9" s="30" t="str">
        <f ca="1"/>
        <v>Jarmou</v>
      </c>
      <c r="P9" s="30">
        <f ca="1"/>
        <v>1</v>
      </c>
      <c r="Q9" s="13"/>
      <c r="R9" s="13">
        <v>0</v>
      </c>
      <c r="T9" s="29">
        <f ca="1"/>
        <v>7</v>
      </c>
      <c r="U9" s="30" t="str">
        <f ca="1"/>
        <v>Jarmou</v>
      </c>
      <c r="V9" s="30" t="e" vm="17">
        <f ca="1"/>
        <v>#VALUE!</v>
      </c>
      <c r="W9" s="30" t="e">
        <f ca="1"/>
        <v>#VALUE!</v>
      </c>
      <c r="X9" s="13"/>
      <c r="Y9" s="30">
        <f ca="1"/>
        <v>1</v>
      </c>
      <c r="AA9" s="27">
        <f ca="1"/>
        <v>7</v>
      </c>
      <c r="AB9" s="30" t="str">
        <f ca="1"/>
        <v>Jarmou</v>
      </c>
      <c r="AC9" s="30">
        <f ca="1"/>
        <v>1</v>
      </c>
      <c r="AD9" s="13"/>
      <c r="AE9" s="13">
        <v>0</v>
      </c>
      <c r="AG9" s="29">
        <f ca="1"/>
        <v>7</v>
      </c>
      <c r="AH9" s="30" t="str">
        <f ca="1"/>
        <v>Jarmou</v>
      </c>
      <c r="AI9" s="30" t="e" vm="17">
        <f ca="1"/>
        <v>#VALUE!</v>
      </c>
      <c r="AJ9" s="30" t="e">
        <f ca="1"/>
        <v>#VALUE!</v>
      </c>
      <c r="AK9" s="13"/>
      <c r="AL9" s="30">
        <f ca="1"/>
        <v>1</v>
      </c>
      <c r="AN9" s="27">
        <f ca="1"/>
        <v>7</v>
      </c>
      <c r="AO9" s="30" t="str">
        <f ca="1"/>
        <v>Jarmou</v>
      </c>
      <c r="AP9" s="30">
        <f ca="1"/>
        <v>1</v>
      </c>
      <c r="AQ9" s="13"/>
      <c r="AR9" s="13">
        <v>0</v>
      </c>
      <c r="AT9" s="29">
        <f ca="1"/>
        <v>7</v>
      </c>
      <c r="AU9" s="30" t="str">
        <f ca="1"/>
        <v>Jarmou</v>
      </c>
      <c r="AV9" s="30" t="e" vm="17">
        <f ca="1"/>
        <v>#VALUE!</v>
      </c>
      <c r="AW9" s="30" t="e">
        <f ca="1"/>
        <v>#VALUE!</v>
      </c>
      <c r="AX9" s="13"/>
      <c r="AY9" s="30">
        <f ca="1"/>
        <v>1</v>
      </c>
      <c r="BA9" s="27">
        <f ca="1"/>
        <v>7</v>
      </c>
      <c r="BB9" s="30" t="str">
        <f ca="1"/>
        <v>Jarmou</v>
      </c>
      <c r="BC9" s="30">
        <f ca="1"/>
        <v>1</v>
      </c>
      <c r="BD9" s="13"/>
      <c r="BE9" s="13">
        <v>0</v>
      </c>
      <c r="BG9" s="29">
        <f ca="1"/>
        <v>7</v>
      </c>
      <c r="BH9" s="30" t="str">
        <f ca="1"/>
        <v>Jarmou</v>
      </c>
      <c r="BI9" s="30" t="e" vm="17">
        <f ca="1"/>
        <v>#VALUE!</v>
      </c>
      <c r="BJ9" s="30" t="e">
        <f ca="1"/>
        <v>#VALUE!</v>
      </c>
      <c r="BK9" s="13"/>
      <c r="BL9" s="30">
        <f ca="1"/>
        <v>1</v>
      </c>
      <c r="BN9" s="27">
        <f ca="1"/>
        <v>7</v>
      </c>
      <c r="BO9" s="30" t="str">
        <f ca="1"/>
        <v>Jarmou</v>
      </c>
      <c r="BP9" s="30">
        <f ca="1"/>
        <v>1</v>
      </c>
      <c r="BQ9" s="13"/>
      <c r="BR9" s="13">
        <v>0</v>
      </c>
      <c r="BS9" s="1"/>
      <c r="BT9" s="29">
        <f ca="1"/>
        <v>7</v>
      </c>
      <c r="BU9" s="30" t="str">
        <f ca="1"/>
        <v>Jarmou</v>
      </c>
      <c r="BV9" s="30" t="e" vm="17">
        <f ca="1"/>
        <v>#VALUE!</v>
      </c>
      <c r="BW9" s="30" t="e">
        <f ca="1"/>
        <v>#VALUE!</v>
      </c>
      <c r="BX9" s="13"/>
      <c r="BY9" s="30">
        <f ca="1"/>
        <v>1</v>
      </c>
      <c r="CA9" s="27">
        <f ca="1"/>
        <v>7</v>
      </c>
      <c r="CB9" s="30" t="str">
        <f ca="1"/>
        <v>Jarmou</v>
      </c>
      <c r="CC9" s="30">
        <f ca="1"/>
        <v>1</v>
      </c>
      <c r="CD9" s="13"/>
      <c r="CE9" s="13">
        <v>0</v>
      </c>
      <c r="CG9" s="29">
        <f ca="1"/>
        <v>7</v>
      </c>
      <c r="CH9" s="30" t="str">
        <f ca="1"/>
        <v>Jarmou</v>
      </c>
      <c r="CI9" s="30" t="e" vm="17">
        <f ca="1"/>
        <v>#VALUE!</v>
      </c>
      <c r="CJ9" s="30" t="e">
        <f ca="1"/>
        <v>#VALUE!</v>
      </c>
      <c r="CK9" s="13"/>
      <c r="CL9" s="30">
        <f ca="1"/>
        <v>1</v>
      </c>
      <c r="CN9" s="27">
        <f ca="1"/>
        <v>7</v>
      </c>
      <c r="CO9" s="30" t="str">
        <f ca="1"/>
        <v>Jarmou</v>
      </c>
      <c r="CP9" s="30">
        <f ca="1"/>
        <v>1</v>
      </c>
      <c r="CQ9" s="13"/>
      <c r="CR9" s="13">
        <v>0</v>
      </c>
      <c r="CT9" s="29">
        <f ca="1"/>
        <v>7</v>
      </c>
      <c r="CU9" s="30" t="str">
        <f ca="1"/>
        <v>Jarmou</v>
      </c>
      <c r="CV9" s="30" t="e" vm="17">
        <f ca="1"/>
        <v>#VALUE!</v>
      </c>
      <c r="CW9" s="30" t="e">
        <f ca="1"/>
        <v>#VALUE!</v>
      </c>
      <c r="CX9" s="13"/>
      <c r="CY9" s="30">
        <f ca="1"/>
        <v>1</v>
      </c>
      <c r="DA9" s="27">
        <f ca="1"/>
        <v>7</v>
      </c>
      <c r="DB9" s="30" t="str">
        <f ca="1"/>
        <v>Jarmou</v>
      </c>
      <c r="DC9" s="30">
        <f ca="1"/>
        <v>1</v>
      </c>
      <c r="DD9" s="13">
        <v>2</v>
      </c>
      <c r="DE9" s="13">
        <v>10278</v>
      </c>
      <c r="DG9" s="29">
        <f ca="1"/>
        <v>7</v>
      </c>
      <c r="DH9" s="30" t="str">
        <f ca="1"/>
        <v>Mike</v>
      </c>
      <c r="DI9" s="30" t="e" vm="12">
        <f ca="1"/>
        <v>#VALUE!</v>
      </c>
      <c r="DJ9" s="30" t="e">
        <f ca="1"/>
        <v>#VALUE!</v>
      </c>
      <c r="DK9" s="13"/>
      <c r="DL9" s="30">
        <f ca="1"/>
        <v>3</v>
      </c>
      <c r="DN9" s="27">
        <f ca="1"/>
        <v>7</v>
      </c>
      <c r="DO9" s="30" t="str">
        <f ca="1"/>
        <v>Mike</v>
      </c>
      <c r="DP9" s="30">
        <f ca="1"/>
        <v>3</v>
      </c>
      <c r="DQ9" s="13"/>
      <c r="DR9" s="13">
        <v>13585</v>
      </c>
      <c r="DT9" s="29">
        <f ca="1"/>
        <v>7</v>
      </c>
      <c r="DU9" s="30" t="str">
        <f ca="1"/>
        <v>Antistar</v>
      </c>
      <c r="DV9" s="30" t="e" vm="15">
        <f ca="1"/>
        <v>#VALUE!</v>
      </c>
      <c r="DW9" s="30" t="e">
        <f ca="1"/>
        <v>#VALUE!</v>
      </c>
      <c r="DX9" s="13"/>
      <c r="DY9" s="30">
        <f ca="1"/>
        <v>3</v>
      </c>
      <c r="EA9" s="27">
        <f ca="1"/>
        <v>7</v>
      </c>
      <c r="EB9" s="30" t="str">
        <f ca="1"/>
        <v>Lafungo</v>
      </c>
      <c r="EC9" s="30">
        <f ca="1"/>
        <v>2</v>
      </c>
      <c r="ED9" s="13"/>
      <c r="EE9" s="13">
        <v>10383</v>
      </c>
      <c r="EG9" s="29">
        <f ca="1"/>
        <v>7</v>
      </c>
      <c r="EH9" s="30" t="str">
        <f ca="1"/>
        <v>Takashi</v>
      </c>
      <c r="EI9" s="30" t="e" vm="16">
        <f ca="1"/>
        <v>#VALUE!</v>
      </c>
      <c r="EJ9" s="30" t="e">
        <f ca="1"/>
        <v>#VALUE!</v>
      </c>
      <c r="EK9" s="13"/>
      <c r="EL9" s="30">
        <f ca="1"/>
        <v>3</v>
      </c>
      <c r="EN9" s="27">
        <f ca="1"/>
        <v>7</v>
      </c>
      <c r="EO9" s="30" t="str">
        <f ca="1"/>
        <v>Jarmou</v>
      </c>
      <c r="EP9" s="30">
        <f ca="1"/>
        <v>2</v>
      </c>
      <c r="EQ9" s="13"/>
      <c r="ER9" s="13">
        <v>12819</v>
      </c>
      <c r="ET9" s="29">
        <f ca="1"/>
        <v>7</v>
      </c>
      <c r="EU9" s="30" t="str">
        <f ca="1"/>
        <v>Jarmou</v>
      </c>
      <c r="EV9" s="30" t="e" vm="17">
        <f ca="1"/>
        <v>#VALUE!</v>
      </c>
      <c r="EW9" s="30" t="e">
        <f ca="1"/>
        <v>#VALUE!</v>
      </c>
      <c r="EX9" s="13">
        <v>1</v>
      </c>
      <c r="EY9" s="30">
        <f ca="1"/>
        <v>1</v>
      </c>
      <c r="FA9" s="27">
        <f ca="1"/>
        <v>7</v>
      </c>
      <c r="FB9" s="30" t="str">
        <f ca="1"/>
        <v>KVD</v>
      </c>
      <c r="FC9" s="30">
        <f ca="1"/>
        <v>2</v>
      </c>
      <c r="FD9" s="13"/>
      <c r="FE9" s="13">
        <v>13203</v>
      </c>
      <c r="FG9" s="29">
        <f ca="1"/>
        <v>7</v>
      </c>
      <c r="FH9" s="30" t="str">
        <f ca="1"/>
        <v>Lafungo</v>
      </c>
      <c r="FI9" s="30" t="e" vm="14">
        <f ca="1"/>
        <v>#VALUE!</v>
      </c>
      <c r="FJ9" s="30" t="e">
        <f ca="1"/>
        <v>#VALUE!</v>
      </c>
      <c r="FK9" s="13">
        <v>1</v>
      </c>
      <c r="FL9" s="30">
        <f ca="1"/>
        <v>1</v>
      </c>
      <c r="FN9" s="27">
        <f ca="1"/>
        <v>7</v>
      </c>
      <c r="FO9" s="30" t="str">
        <f ca="1"/>
        <v>Mike</v>
      </c>
      <c r="FP9" s="30">
        <f ca="1"/>
        <v>1</v>
      </c>
      <c r="FQ9" s="13"/>
      <c r="FR9" s="13">
        <v>13882</v>
      </c>
      <c r="FT9" s="29">
        <f ca="1"/>
        <v>7</v>
      </c>
      <c r="FU9" s="30" t="str">
        <f ca="1"/>
        <v>Mike</v>
      </c>
      <c r="FV9" s="30" t="e" vm="12">
        <f ca="1"/>
        <v>#VALUE!</v>
      </c>
      <c r="FW9" s="30" t="e">
        <f ca="1"/>
        <v>#VALUE!</v>
      </c>
      <c r="FX9" s="13">
        <v>1</v>
      </c>
      <c r="FY9" s="30">
        <f ca="1"/>
        <v>0</v>
      </c>
      <c r="GA9" s="27">
        <f ca="1"/>
        <v>7</v>
      </c>
      <c r="GB9" s="30" t="str">
        <f ca="1"/>
        <v>Mike</v>
      </c>
      <c r="GC9" s="30">
        <f ca="1"/>
        <v>0</v>
      </c>
      <c r="GD9" s="13">
        <v>1</v>
      </c>
      <c r="GE9" s="13">
        <v>13910</v>
      </c>
      <c r="GG9" s="29">
        <f ca="1"/>
        <v>7</v>
      </c>
      <c r="GH9" s="30" t="str">
        <f ca="1"/>
        <v>Mike</v>
      </c>
      <c r="GI9" s="30" t="e" vm="12">
        <f ca="1"/>
        <v>#VALUE!</v>
      </c>
      <c r="GJ9" s="30" t="e">
        <f ca="1"/>
        <v>#VALUE!</v>
      </c>
      <c r="GK9" s="13"/>
      <c r="GL9" s="30">
        <f ca="1"/>
        <v>1</v>
      </c>
      <c r="GN9" s="27">
        <f ca="1"/>
        <v>7</v>
      </c>
      <c r="GO9" s="30" t="str">
        <f ca="1"/>
        <v>Mike</v>
      </c>
      <c r="GP9" s="30">
        <f ca="1"/>
        <v>1</v>
      </c>
      <c r="GQ9" s="13">
        <v>2</v>
      </c>
      <c r="GR9" s="13">
        <v>10791</v>
      </c>
      <c r="GT9" s="29">
        <f ca="1"/>
        <v>7</v>
      </c>
      <c r="GU9" s="30" t="str">
        <f ca="1"/>
        <v>Takashi</v>
      </c>
      <c r="GV9" s="30" t="e" vm="16">
        <f ca="1"/>
        <v>#VALUE!</v>
      </c>
      <c r="GW9" s="30" t="e">
        <f ca="1"/>
        <v>#VALUE!</v>
      </c>
      <c r="GX9" s="13">
        <v>1</v>
      </c>
      <c r="GY9" s="30">
        <f ca="1"/>
        <v>2</v>
      </c>
      <c r="HA9" s="27">
        <f ca="1"/>
        <v>7</v>
      </c>
      <c r="HB9" s="30" t="str">
        <f ca="1"/>
        <v>Takashi</v>
      </c>
      <c r="HC9" s="30">
        <f ca="1"/>
        <v>2</v>
      </c>
      <c r="HD9" s="13"/>
      <c r="HE9" s="13">
        <v>5643</v>
      </c>
      <c r="HF9" s="1"/>
      <c r="HG9" s="29">
        <f ca="1"/>
        <v>7</v>
      </c>
      <c r="HH9" s="30" t="str">
        <f ca="1"/>
        <v>JDR</v>
      </c>
      <c r="HI9" s="30" t="e" vm="15">
        <f ca="1"/>
        <v>#VALUE!</v>
      </c>
      <c r="HJ9" s="30" t="e">
        <f ca="1"/>
        <v>#VALUE!</v>
      </c>
      <c r="HK9" s="13">
        <v>1</v>
      </c>
      <c r="HL9" s="30">
        <f ca="1"/>
        <v>2</v>
      </c>
      <c r="HN9" s="27">
        <f ca="1"/>
        <v>7</v>
      </c>
      <c r="HO9" s="30" t="str">
        <f ca="1"/>
        <v>Jarmou</v>
      </c>
      <c r="HP9" s="30">
        <f ca="1"/>
        <v>1</v>
      </c>
      <c r="HQ9" s="13"/>
      <c r="HR9" s="13">
        <v>14590</v>
      </c>
      <c r="HT9" s="29">
        <f ca="1"/>
        <v>7</v>
      </c>
      <c r="HU9" s="30" t="str">
        <f ca="1"/>
        <v>Takashi</v>
      </c>
      <c r="HV9" s="30" t="e" vm="16">
        <f ca="1"/>
        <v>#VALUE!</v>
      </c>
      <c r="HW9" s="30" t="e">
        <f ca="1"/>
        <v>#VALUE!</v>
      </c>
      <c r="HX9" s="13">
        <v>1</v>
      </c>
      <c r="HY9" s="30">
        <f ca="1"/>
        <v>1</v>
      </c>
      <c r="IA9" s="27">
        <f ca="1"/>
        <v>7</v>
      </c>
      <c r="IB9" s="30" t="str">
        <f ca="1"/>
        <v>Takashi</v>
      </c>
      <c r="IC9" s="30">
        <f ca="1"/>
        <v>1</v>
      </c>
      <c r="ID9" s="13"/>
      <c r="IE9" s="13">
        <v>11836</v>
      </c>
      <c r="IG9" s="29">
        <f ca="1"/>
        <v>7</v>
      </c>
      <c r="IH9" s="30" t="str">
        <f ca="1"/>
        <v>JDR</v>
      </c>
      <c r="II9" s="30" t="e" vm="15">
        <f ca="1"/>
        <v>#VALUE!</v>
      </c>
      <c r="IJ9" s="30" t="e">
        <f ca="1"/>
        <v>#VALUE!</v>
      </c>
      <c r="IK9" s="13">
        <v>1</v>
      </c>
      <c r="IL9" s="30">
        <f ca="1"/>
        <v>0</v>
      </c>
      <c r="IN9" s="27">
        <f ca="1"/>
        <v>7</v>
      </c>
      <c r="IO9" s="30" t="str">
        <f ca="1"/>
        <v>JDR</v>
      </c>
      <c r="IP9" s="30">
        <f ca="1"/>
        <v>0</v>
      </c>
      <c r="IQ9" s="13"/>
      <c r="IR9" s="13"/>
      <c r="IT9" s="29">
        <f ca="1"/>
        <v>7</v>
      </c>
      <c r="IU9" s="30" t="str">
        <f ca="1"/>
        <v>JDR</v>
      </c>
      <c r="IV9" s="30" t="e" vm="15">
        <f ca="1"/>
        <v>#VALUE!</v>
      </c>
      <c r="IW9" s="30" t="e">
        <f ca="1"/>
        <v>#VALUE!</v>
      </c>
      <c r="IX9" s="13"/>
      <c r="IY9" s="30">
        <f ca="1"/>
        <v>0</v>
      </c>
      <c r="JA9" s="27">
        <f ca="1"/>
        <v>7</v>
      </c>
      <c r="JB9" s="30" t="str">
        <f ca="1"/>
        <v>JDR</v>
      </c>
      <c r="JC9" s="30">
        <f ca="1"/>
        <v>0</v>
      </c>
      <c r="JD9" s="13"/>
      <c r="JE9" s="13"/>
      <c r="JG9" s="29">
        <f ca="1"/>
        <v>7</v>
      </c>
      <c r="JH9" s="30" t="str">
        <f ca="1"/>
        <v>JDR</v>
      </c>
      <c r="JI9" s="30" t="e" vm="15">
        <f ca="1"/>
        <v>#VALUE!</v>
      </c>
      <c r="JJ9" s="30" t="e">
        <f ca="1"/>
        <v>#VALUE!</v>
      </c>
      <c r="JK9" s="13"/>
      <c r="JL9" s="30">
        <f ca="1"/>
        <v>0</v>
      </c>
      <c r="JN9" s="27">
        <f ca="1"/>
        <v>7</v>
      </c>
      <c r="JO9" s="30" t="str">
        <f ca="1"/>
        <v>JDR</v>
      </c>
      <c r="JP9" s="30">
        <f ca="1"/>
        <v>0</v>
      </c>
      <c r="JQ9" s="13"/>
      <c r="JR9" s="13"/>
      <c r="JT9" s="29">
        <f ca="1"/>
        <v>7</v>
      </c>
      <c r="JU9" s="30" t="str">
        <f ca="1"/>
        <v>JDR</v>
      </c>
      <c r="JV9" s="30" t="e" vm="15">
        <f ca="1"/>
        <v>#VALUE!</v>
      </c>
      <c r="JW9" s="30" t="e">
        <f ca="1"/>
        <v>#VALUE!</v>
      </c>
      <c r="JX9" s="13"/>
      <c r="JY9" s="30">
        <f ca="1"/>
        <v>0</v>
      </c>
      <c r="KA9" s="27">
        <f ca="1"/>
        <v>7</v>
      </c>
      <c r="KB9" s="30" t="str">
        <f ca="1"/>
        <v>JDR</v>
      </c>
      <c r="KC9" s="30">
        <f ca="1"/>
        <v>0</v>
      </c>
      <c r="KD9" s="13"/>
      <c r="KE9" s="13"/>
      <c r="KG9" s="29">
        <f ca="1"/>
        <v>7</v>
      </c>
      <c r="KH9" s="30" t="str">
        <f ca="1"/>
        <v>JDR</v>
      </c>
      <c r="KI9" s="30" t="e" vm="15">
        <f ca="1"/>
        <v>#VALUE!</v>
      </c>
      <c r="KJ9" s="30" t="e">
        <f ca="1"/>
        <v>#VALUE!</v>
      </c>
      <c r="KK9" s="13"/>
      <c r="KL9" s="30">
        <f ca="1"/>
        <v>0</v>
      </c>
      <c r="KN9" s="27">
        <f ca="1"/>
        <v>7</v>
      </c>
      <c r="KO9" s="30" t="str">
        <f ca="1"/>
        <v>JDR</v>
      </c>
      <c r="KP9" s="30">
        <f ca="1"/>
        <v>0</v>
      </c>
      <c r="KQ9" s="13"/>
      <c r="KR9" s="13"/>
      <c r="KT9" s="29">
        <f ca="1"/>
        <v>7</v>
      </c>
      <c r="KU9" s="30" t="str">
        <f ca="1"/>
        <v>JDR</v>
      </c>
      <c r="KV9" s="30" t="e" vm="15">
        <f ca="1"/>
        <v>#VALUE!</v>
      </c>
      <c r="KW9" s="30" t="e">
        <f ca="1"/>
        <v>#VALUE!</v>
      </c>
      <c r="KX9" s="13"/>
      <c r="KY9" s="30">
        <f ca="1"/>
        <v>0</v>
      </c>
      <c r="LA9" s="27">
        <f ca="1"/>
        <v>7</v>
      </c>
      <c r="LB9" s="30" t="str">
        <f ca="1"/>
        <v>JDR</v>
      </c>
      <c r="LC9" s="30">
        <f ca="1"/>
        <v>0</v>
      </c>
      <c r="LD9" s="13"/>
      <c r="LE9" s="13"/>
      <c r="LG9" s="29">
        <f ca="1"/>
        <v>7</v>
      </c>
      <c r="LH9" s="30" t="str">
        <f ca="1"/>
        <v>JDR</v>
      </c>
      <c r="LI9" s="30" t="e" vm="15">
        <f ca="1"/>
        <v>#VALUE!</v>
      </c>
      <c r="LJ9" s="30" t="e">
        <f ca="1"/>
        <v>#VALUE!</v>
      </c>
      <c r="LK9" s="13"/>
      <c r="LL9" s="30">
        <f ca="1"/>
        <v>0</v>
      </c>
      <c r="LN9" s="27">
        <f ca="1"/>
        <v>7</v>
      </c>
      <c r="LO9" s="30" t="str">
        <f ca="1"/>
        <v>JDR</v>
      </c>
      <c r="LP9" s="30">
        <f ca="1"/>
        <v>0</v>
      </c>
      <c r="LQ9" s="13"/>
      <c r="LR9" s="13"/>
      <c r="LT9" s="29">
        <f ca="1"/>
        <v>7</v>
      </c>
      <c r="LU9" s="30" t="str">
        <f ca="1"/>
        <v>JDR</v>
      </c>
      <c r="LV9" s="30" t="e" vm="15">
        <f ca="1"/>
        <v>#VALUE!</v>
      </c>
      <c r="LW9" s="30" t="e">
        <f ca="1"/>
        <v>#VALUE!</v>
      </c>
      <c r="LX9" s="13"/>
      <c r="LY9" s="30">
        <f ca="1"/>
        <v>0</v>
      </c>
      <c r="MA9" s="27">
        <f ca="1"/>
        <v>7</v>
      </c>
      <c r="MB9" s="30" t="str">
        <f ca="1"/>
        <v>JDR</v>
      </c>
      <c r="MC9" s="30">
        <f ca="1"/>
        <v>0</v>
      </c>
      <c r="MD9" s="13"/>
      <c r="ME9" s="13"/>
      <c r="MG9" s="29">
        <f ca="1"/>
        <v>7</v>
      </c>
      <c r="MH9" s="30" t="str">
        <f ca="1"/>
        <v>JDR</v>
      </c>
      <c r="MI9" s="30" t="e" vm="15">
        <f ca="1"/>
        <v>#VALUE!</v>
      </c>
      <c r="MJ9" s="30" t="e">
        <f ca="1"/>
        <v>#VALUE!</v>
      </c>
      <c r="MK9" s="13"/>
      <c r="ML9" s="30">
        <f ca="1"/>
        <v>0</v>
      </c>
      <c r="MN9" s="27">
        <f ca="1"/>
        <v>7</v>
      </c>
      <c r="MO9" s="30" t="str">
        <f ca="1"/>
        <v>JDR</v>
      </c>
      <c r="MP9" s="30">
        <f ca="1"/>
        <v>0</v>
      </c>
      <c r="MQ9" s="13"/>
      <c r="MR9" s="13"/>
      <c r="MS9" s="1"/>
      <c r="MT9" s="29">
        <f ca="1"/>
        <v>7</v>
      </c>
      <c r="MU9" s="30" t="str">
        <f ca="1"/>
        <v>JDR</v>
      </c>
      <c r="MV9" s="30" t="e" vm="15">
        <f ca="1"/>
        <v>#VALUE!</v>
      </c>
      <c r="MW9" s="30" t="e">
        <f ca="1"/>
        <v>#VALUE!</v>
      </c>
      <c r="MX9" s="13"/>
      <c r="MY9" s="30">
        <f ca="1"/>
        <v>0</v>
      </c>
      <c r="NA9" s="27">
        <f ca="1"/>
        <v>7</v>
      </c>
      <c r="NB9" s="30" t="str">
        <f ca="1"/>
        <v>JDR</v>
      </c>
      <c r="NC9" s="30">
        <f ca="1"/>
        <v>0</v>
      </c>
      <c r="ND9" s="13"/>
      <c r="NE9" s="13"/>
      <c r="NG9" s="29">
        <f ca="1"/>
        <v>7</v>
      </c>
      <c r="NH9" s="30" t="str">
        <f ca="1"/>
        <v>JDR</v>
      </c>
      <c r="NI9" s="30" t="e" vm="15">
        <f ca="1"/>
        <v>#VALUE!</v>
      </c>
      <c r="NJ9" s="30" t="e">
        <f ca="1"/>
        <v>#VALUE!</v>
      </c>
      <c r="NK9" s="13"/>
      <c r="NL9" s="30">
        <f ca="1"/>
        <v>0</v>
      </c>
      <c r="NN9" s="27">
        <f ca="1"/>
        <v>7</v>
      </c>
      <c r="NO9" s="30" t="str">
        <f ca="1"/>
        <v>JDR</v>
      </c>
      <c r="NP9" s="30">
        <f ca="1"/>
        <v>0</v>
      </c>
      <c r="NQ9" s="13"/>
      <c r="NR9" s="13"/>
      <c r="NT9" s="29">
        <f ca="1"/>
        <v>7</v>
      </c>
      <c r="NU9" s="30" t="str">
        <f ca="1"/>
        <v>JDR</v>
      </c>
      <c r="NV9" s="30" t="e" vm="15">
        <f ca="1"/>
        <v>#VALUE!</v>
      </c>
      <c r="NW9" s="30" t="e">
        <f ca="1"/>
        <v>#VALUE!</v>
      </c>
      <c r="NX9" s="13"/>
      <c r="NY9" s="30">
        <f ca="1"/>
        <v>0</v>
      </c>
      <c r="OA9" s="27">
        <f ca="1"/>
        <v>7</v>
      </c>
      <c r="OB9" s="30" t="str">
        <f ca="1"/>
        <v>JDR</v>
      </c>
      <c r="OC9" s="30">
        <f ca="1"/>
        <v>0</v>
      </c>
      <c r="OD9" s="13"/>
      <c r="OE9" s="13"/>
      <c r="OG9" s="29">
        <f ca="1"/>
        <v>7</v>
      </c>
      <c r="OH9" s="30" t="str">
        <f ca="1"/>
        <v>JDR</v>
      </c>
      <c r="OI9" s="30" t="e" vm="15">
        <f ca="1"/>
        <v>#VALUE!</v>
      </c>
      <c r="OJ9" s="30" t="e">
        <f ca="1"/>
        <v>#VALUE!</v>
      </c>
      <c r="OK9" s="13"/>
      <c r="OL9" s="30">
        <f ca="1"/>
        <v>0</v>
      </c>
      <c r="ON9" s="27">
        <f ca="1"/>
        <v>7</v>
      </c>
      <c r="OO9" s="30" t="str">
        <f ca="1"/>
        <v>JDR</v>
      </c>
      <c r="OP9" s="30">
        <f ca="1"/>
        <v>0</v>
      </c>
      <c r="OQ9" s="13"/>
      <c r="OR9" s="13"/>
      <c r="OT9" s="29">
        <f ca="1"/>
        <v>7</v>
      </c>
      <c r="OU9" s="30" t="str">
        <f ca="1"/>
        <v>JDR</v>
      </c>
      <c r="OV9" s="30" t="e" vm="15">
        <f ca="1"/>
        <v>#VALUE!</v>
      </c>
      <c r="OW9" s="30" t="e">
        <f ca="1"/>
        <v>#VALUE!</v>
      </c>
      <c r="OX9" s="13"/>
      <c r="OY9" s="30">
        <f ca="1"/>
        <v>0</v>
      </c>
      <c r="PA9" s="27">
        <f ca="1"/>
        <v>7</v>
      </c>
      <c r="PB9" s="30" t="str">
        <f ca="1"/>
        <v>JDR</v>
      </c>
      <c r="PC9" s="30">
        <f ca="1"/>
        <v>0</v>
      </c>
      <c r="PD9" s="13"/>
      <c r="PE9" s="13"/>
      <c r="PG9" s="29">
        <f ca="1"/>
        <v>7</v>
      </c>
      <c r="PH9" s="30" t="str">
        <f ca="1"/>
        <v>JDR</v>
      </c>
      <c r="PI9" s="30" t="e" vm="15">
        <f ca="1"/>
        <v>#VALUE!</v>
      </c>
      <c r="PJ9" s="30" t="e">
        <f ca="1"/>
        <v>#VALUE!</v>
      </c>
      <c r="PK9" s="13"/>
      <c r="PL9" s="30">
        <f ca="1"/>
        <v>0</v>
      </c>
      <c r="PN9" s="27">
        <f ca="1"/>
        <v>7</v>
      </c>
      <c r="PO9" s="30" t="str">
        <f ca="1"/>
        <v>JDR</v>
      </c>
      <c r="PP9" s="30">
        <f ca="1"/>
        <v>0</v>
      </c>
      <c r="PQ9" s="13"/>
      <c r="PR9" s="13"/>
      <c r="PT9" s="29">
        <f ca="1"/>
        <v>7</v>
      </c>
      <c r="PU9" s="30" t="str">
        <f ca="1"/>
        <v>JDR</v>
      </c>
      <c r="PV9" s="30" t="e" vm="15">
        <f ca="1"/>
        <v>#VALUE!</v>
      </c>
      <c r="PW9" s="30" t="e">
        <f ca="1"/>
        <v>#VALUE!</v>
      </c>
      <c r="PX9" s="13"/>
      <c r="PY9" s="30">
        <f ca="1"/>
        <v>0</v>
      </c>
      <c r="QA9" s="27">
        <f ca="1"/>
        <v>7</v>
      </c>
      <c r="QB9" s="30" t="str">
        <f ca="1"/>
        <v>JDR</v>
      </c>
      <c r="QC9" s="30">
        <f ca="1"/>
        <v>0</v>
      </c>
      <c r="QD9" s="13"/>
      <c r="QE9" s="13"/>
      <c r="QG9" s="29">
        <f ca="1"/>
        <v>7</v>
      </c>
      <c r="QH9" s="30" t="str">
        <f ca="1"/>
        <v>JDR</v>
      </c>
      <c r="QI9" s="30" t="e" vm="15">
        <f ca="1"/>
        <v>#VALUE!</v>
      </c>
      <c r="QJ9" s="30" t="e">
        <f ca="1"/>
        <v>#VALUE!</v>
      </c>
      <c r="QK9" s="13"/>
      <c r="QL9" s="30">
        <f ca="1"/>
        <v>0</v>
      </c>
      <c r="QN9" s="27">
        <f ca="1"/>
        <v>7</v>
      </c>
      <c r="QO9" s="30" t="str">
        <f ca="1"/>
        <v>JDR</v>
      </c>
      <c r="QP9" s="30">
        <f ca="1"/>
        <v>0</v>
      </c>
      <c r="QQ9" s="13"/>
      <c r="QR9" s="13"/>
      <c r="QT9" s="29">
        <f ca="1"/>
        <v>7</v>
      </c>
      <c r="QU9" s="30" t="str">
        <f ca="1"/>
        <v>JDR</v>
      </c>
      <c r="QV9" s="30" t="e" vm="15">
        <f ca="1"/>
        <v>#VALUE!</v>
      </c>
      <c r="QW9" s="30" t="e">
        <f ca="1"/>
        <v>#VALUE!</v>
      </c>
      <c r="QX9" s="13"/>
      <c r="QY9" s="30">
        <f ca="1"/>
        <v>0</v>
      </c>
      <c r="RA9" s="27">
        <f ca="1"/>
        <v>7</v>
      </c>
      <c r="RB9" s="30" t="str">
        <f ca="1"/>
        <v>JDR</v>
      </c>
      <c r="RC9" s="30">
        <f ca="1"/>
        <v>0</v>
      </c>
      <c r="RD9" s="13"/>
      <c r="RE9" s="13"/>
      <c r="RG9" s="29">
        <f ca="1"/>
        <v>7</v>
      </c>
      <c r="RH9" s="30" t="str">
        <f ca="1"/>
        <v>JDR</v>
      </c>
      <c r="RI9" s="30" t="e" vm="15">
        <f ca="1"/>
        <v>#VALUE!</v>
      </c>
      <c r="RJ9" s="30" t="e">
        <f ca="1"/>
        <v>#VALUE!</v>
      </c>
      <c r="RK9" s="13"/>
      <c r="RL9" s="30">
        <f ca="1"/>
        <v>0</v>
      </c>
      <c r="RN9" s="27">
        <f ca="1"/>
        <v>7</v>
      </c>
      <c r="RO9" s="30" t="str">
        <f ca="1"/>
        <v>JDR</v>
      </c>
      <c r="RP9" s="30">
        <f ca="1"/>
        <v>0</v>
      </c>
      <c r="RQ9" s="13"/>
      <c r="RR9" s="13"/>
      <c r="RT9" s="29">
        <f ca="1"/>
        <v>7</v>
      </c>
      <c r="RU9" s="30" t="str">
        <f ca="1"/>
        <v>JDR</v>
      </c>
      <c r="RV9" s="30" t="e" vm="15">
        <f ca="1"/>
        <v>#VALUE!</v>
      </c>
      <c r="RW9" s="30" t="e">
        <f ca="1"/>
        <v>#VALUE!</v>
      </c>
      <c r="RX9" s="13"/>
      <c r="RY9" s="30">
        <f ca="1"/>
        <v>0</v>
      </c>
      <c r="SA9" s="27">
        <f ca="1"/>
        <v>7</v>
      </c>
      <c r="SB9" s="30" t="str">
        <f ca="1"/>
        <v>JDR</v>
      </c>
      <c r="SC9" s="30">
        <f ca="1"/>
        <v>0</v>
      </c>
      <c r="SD9" s="13"/>
      <c r="SE9" s="13"/>
      <c r="SG9" s="29">
        <f ca="1"/>
        <v>7</v>
      </c>
      <c r="SH9" s="30" t="str">
        <f ca="1"/>
        <v>JDR</v>
      </c>
      <c r="SI9" s="30" t="e" vm="15">
        <f ca="1"/>
        <v>#VALUE!</v>
      </c>
      <c r="SJ9" s="30" t="e">
        <f ca="1"/>
        <v>#VALUE!</v>
      </c>
      <c r="SK9" s="13"/>
      <c r="SL9" s="30">
        <f ca="1"/>
        <v>0</v>
      </c>
      <c r="SN9" s="27">
        <f ca="1"/>
        <v>7</v>
      </c>
      <c r="SO9" s="30" t="str">
        <f ca="1"/>
        <v>JDR</v>
      </c>
      <c r="SP9" s="30">
        <f ca="1"/>
        <v>0</v>
      </c>
      <c r="SQ9" s="13"/>
      <c r="SR9" s="13"/>
      <c r="ST9" s="29">
        <f ca="1"/>
        <v>7</v>
      </c>
      <c r="SU9" s="30" t="str">
        <f ca="1"/>
        <v>JDR</v>
      </c>
      <c r="SV9" s="30" t="e" vm="15">
        <f ca="1"/>
        <v>#VALUE!</v>
      </c>
      <c r="SW9" s="30" t="e">
        <f ca="1"/>
        <v>#VALUE!</v>
      </c>
      <c r="SX9" s="13"/>
      <c r="SY9" s="30">
        <f ca="1"/>
        <v>0</v>
      </c>
      <c r="TA9" s="29">
        <f ca="1"/>
        <v>7</v>
      </c>
      <c r="TB9" s="30" t="str">
        <f ca="1"/>
        <v>JDR</v>
      </c>
      <c r="TC9" s="30" t="e" vm="15">
        <f ca="1"/>
        <v>#VALUE!</v>
      </c>
      <c r="TD9" s="30">
        <f ca="1"/>
        <v>600</v>
      </c>
    </row>
    <row r="10" spans="1:524" ht="20.100000000000001" customHeight="1">
      <c r="A10" s="27">
        <f ca="1"/>
        <v>8</v>
      </c>
      <c r="B10" s="30" t="str">
        <f ca="1"/>
        <v>Moll</v>
      </c>
      <c r="C10" s="30">
        <v>1</v>
      </c>
      <c r="D10" s="13"/>
      <c r="E10" s="57">
        <v>0</v>
      </c>
      <c r="G10" s="29">
        <f ca="1"/>
        <v>8</v>
      </c>
      <c r="H10" s="30" t="str">
        <f ca="1"/>
        <v>Moll</v>
      </c>
      <c r="I10" s="30" t="e" vm="13">
        <f ca="1"/>
        <v>#VALUE!</v>
      </c>
      <c r="J10" s="55" t="e">
        <f ca="1"/>
        <v>#VALUE!</v>
      </c>
      <c r="K10" s="13"/>
      <c r="L10" s="30">
        <f ca="1"/>
        <v>1</v>
      </c>
      <c r="N10" s="27">
        <f ca="1"/>
        <v>8</v>
      </c>
      <c r="O10" s="30" t="str">
        <f ca="1"/>
        <v>Moll</v>
      </c>
      <c r="P10" s="30">
        <f ca="1"/>
        <v>1</v>
      </c>
      <c r="Q10" s="13"/>
      <c r="R10" s="13">
        <v>0</v>
      </c>
      <c r="T10" s="29">
        <f ca="1"/>
        <v>8</v>
      </c>
      <c r="U10" s="30" t="str">
        <f ca="1"/>
        <v>Moll</v>
      </c>
      <c r="V10" s="30" t="e" vm="13">
        <f ca="1"/>
        <v>#VALUE!</v>
      </c>
      <c r="W10" s="30" t="e">
        <f ca="1"/>
        <v>#VALUE!</v>
      </c>
      <c r="X10" s="13"/>
      <c r="Y10" s="30">
        <f ca="1"/>
        <v>1</v>
      </c>
      <c r="AA10" s="27">
        <f ca="1"/>
        <v>8</v>
      </c>
      <c r="AB10" s="30" t="str">
        <f ca="1"/>
        <v>Moll</v>
      </c>
      <c r="AC10" s="30">
        <f ca="1"/>
        <v>1</v>
      </c>
      <c r="AD10" s="13"/>
      <c r="AE10" s="13">
        <v>0</v>
      </c>
      <c r="AG10" s="29">
        <f ca="1"/>
        <v>8</v>
      </c>
      <c r="AH10" s="30" t="str">
        <f ca="1"/>
        <v>Moll</v>
      </c>
      <c r="AI10" s="30" t="e" vm="13">
        <f ca="1"/>
        <v>#VALUE!</v>
      </c>
      <c r="AJ10" s="30" t="e">
        <f ca="1"/>
        <v>#VALUE!</v>
      </c>
      <c r="AK10" s="13"/>
      <c r="AL10" s="30">
        <f ca="1"/>
        <v>1</v>
      </c>
      <c r="AN10" s="27">
        <f ca="1"/>
        <v>8</v>
      </c>
      <c r="AO10" s="30" t="str">
        <f ca="1"/>
        <v>Moll</v>
      </c>
      <c r="AP10" s="30">
        <f ca="1"/>
        <v>1</v>
      </c>
      <c r="AQ10" s="13"/>
      <c r="AR10" s="13">
        <v>0</v>
      </c>
      <c r="AT10" s="29">
        <f ca="1"/>
        <v>8</v>
      </c>
      <c r="AU10" s="30" t="str">
        <f ca="1"/>
        <v>Moll</v>
      </c>
      <c r="AV10" s="30" t="e" vm="13">
        <f ca="1"/>
        <v>#VALUE!</v>
      </c>
      <c r="AW10" s="30" t="e">
        <f ca="1"/>
        <v>#VALUE!</v>
      </c>
      <c r="AX10" s="13"/>
      <c r="AY10" s="30">
        <f ca="1"/>
        <v>1</v>
      </c>
      <c r="BA10" s="27">
        <f ca="1"/>
        <v>8</v>
      </c>
      <c r="BB10" s="30" t="str">
        <f ca="1"/>
        <v>Moll</v>
      </c>
      <c r="BC10" s="30">
        <f ca="1"/>
        <v>1</v>
      </c>
      <c r="BD10" s="13"/>
      <c r="BE10" s="13">
        <v>0</v>
      </c>
      <c r="BG10" s="29">
        <f ca="1"/>
        <v>8</v>
      </c>
      <c r="BH10" s="30" t="str">
        <f ca="1"/>
        <v>Moll</v>
      </c>
      <c r="BI10" s="30" t="e" vm="13">
        <f ca="1"/>
        <v>#VALUE!</v>
      </c>
      <c r="BJ10" s="30" t="e">
        <f ca="1"/>
        <v>#VALUE!</v>
      </c>
      <c r="BK10" s="13"/>
      <c r="BL10" s="30">
        <f ca="1"/>
        <v>1</v>
      </c>
      <c r="BN10" s="27">
        <f ca="1"/>
        <v>8</v>
      </c>
      <c r="BO10" s="30" t="str">
        <f ca="1"/>
        <v>Moll</v>
      </c>
      <c r="BP10" s="30">
        <f ca="1"/>
        <v>1</v>
      </c>
      <c r="BQ10" s="13"/>
      <c r="BR10" s="13">
        <v>0</v>
      </c>
      <c r="BS10" s="1"/>
      <c r="BT10" s="29">
        <f ca="1"/>
        <v>8</v>
      </c>
      <c r="BU10" s="30" t="str">
        <f ca="1"/>
        <v>Moll</v>
      </c>
      <c r="BV10" s="30" t="e" vm="13">
        <f ca="1"/>
        <v>#VALUE!</v>
      </c>
      <c r="BW10" s="30" t="e">
        <f ca="1"/>
        <v>#VALUE!</v>
      </c>
      <c r="BX10" s="13"/>
      <c r="BY10" s="30">
        <f ca="1"/>
        <v>1</v>
      </c>
      <c r="CA10" s="27">
        <f ca="1"/>
        <v>8</v>
      </c>
      <c r="CB10" s="30" t="str">
        <f ca="1"/>
        <v>Moll</v>
      </c>
      <c r="CC10" s="30">
        <f ca="1"/>
        <v>1</v>
      </c>
      <c r="CD10" s="13"/>
      <c r="CE10" s="13">
        <v>0</v>
      </c>
      <c r="CG10" s="29">
        <f ca="1"/>
        <v>8</v>
      </c>
      <c r="CH10" s="30" t="str">
        <f ca="1"/>
        <v>Moll</v>
      </c>
      <c r="CI10" s="30" t="e" vm="13">
        <f ca="1"/>
        <v>#VALUE!</v>
      </c>
      <c r="CJ10" s="30" t="e">
        <f ca="1"/>
        <v>#VALUE!</v>
      </c>
      <c r="CK10" s="13"/>
      <c r="CL10" s="30">
        <f ca="1"/>
        <v>1</v>
      </c>
      <c r="CN10" s="27">
        <f ca="1"/>
        <v>8</v>
      </c>
      <c r="CO10" s="30" t="str">
        <f ca="1"/>
        <v>Moll</v>
      </c>
      <c r="CP10" s="30">
        <f ca="1"/>
        <v>1</v>
      </c>
      <c r="CQ10" s="13"/>
      <c r="CR10" s="13">
        <v>0</v>
      </c>
      <c r="CT10" s="29">
        <f ca="1"/>
        <v>8</v>
      </c>
      <c r="CU10" s="30" t="str">
        <f ca="1"/>
        <v>Moll</v>
      </c>
      <c r="CV10" s="30" t="e" vm="13">
        <f ca="1"/>
        <v>#VALUE!</v>
      </c>
      <c r="CW10" s="30" t="e">
        <f ca="1"/>
        <v>#VALUE!</v>
      </c>
      <c r="CX10" s="13"/>
      <c r="CY10" s="30">
        <f ca="1"/>
        <v>1</v>
      </c>
      <c r="DA10" s="27">
        <f ca="1"/>
        <v>8</v>
      </c>
      <c r="DB10" s="30" t="str">
        <f ca="1"/>
        <v>Moll</v>
      </c>
      <c r="DC10" s="30">
        <f ca="1"/>
        <v>1</v>
      </c>
      <c r="DD10" s="13">
        <v>2</v>
      </c>
      <c r="DE10" s="13">
        <v>10129</v>
      </c>
      <c r="DG10" s="29">
        <f ca="1"/>
        <v>8</v>
      </c>
      <c r="DH10" s="30" t="str">
        <f ca="1"/>
        <v>Leyla</v>
      </c>
      <c r="DI10" s="30" t="e" vm="13">
        <f ca="1"/>
        <v>#VALUE!</v>
      </c>
      <c r="DJ10" s="30" t="e">
        <f ca="1"/>
        <v>#VALUE!</v>
      </c>
      <c r="DK10" s="13"/>
      <c r="DL10" s="30">
        <f ca="1"/>
        <v>3</v>
      </c>
      <c r="DN10" s="27">
        <f ca="1"/>
        <v>8</v>
      </c>
      <c r="DO10" s="30" t="str">
        <f ca="1"/>
        <v>Leyla</v>
      </c>
      <c r="DP10" s="30">
        <f ca="1"/>
        <v>3</v>
      </c>
      <c r="DQ10" s="13"/>
      <c r="DR10" s="13">
        <v>13490</v>
      </c>
      <c r="DT10" s="29">
        <f ca="1"/>
        <v>8</v>
      </c>
      <c r="DU10" s="30" t="str">
        <f ca="1"/>
        <v>Jarmou</v>
      </c>
      <c r="DV10" s="30" t="e" vm="17">
        <f ca="1"/>
        <v>#VALUE!</v>
      </c>
      <c r="DW10" s="30" t="e">
        <f ca="1"/>
        <v>#VALUE!</v>
      </c>
      <c r="DX10" s="13"/>
      <c r="DY10" s="30">
        <f ca="1"/>
        <v>2</v>
      </c>
      <c r="EA10" s="27">
        <f ca="1"/>
        <v>8</v>
      </c>
      <c r="EB10" s="30" t="str">
        <f ca="1"/>
        <v>Jarmou</v>
      </c>
      <c r="EC10" s="30">
        <f ca="1"/>
        <v>2</v>
      </c>
      <c r="ED10" s="13"/>
      <c r="EE10" s="13">
        <v>10397</v>
      </c>
      <c r="EG10" s="29">
        <f ca="1"/>
        <v>8</v>
      </c>
      <c r="EH10" s="30" t="str">
        <f ca="1"/>
        <v>Geo</v>
      </c>
      <c r="EI10" s="30" t="e" vm="15">
        <f ca="1"/>
        <v>#VALUE!</v>
      </c>
      <c r="EJ10" s="30" t="e">
        <f ca="1"/>
        <v>#VALUE!</v>
      </c>
      <c r="EK10" s="13"/>
      <c r="EL10" s="30">
        <f ca="1"/>
        <v>1</v>
      </c>
      <c r="EN10" s="27">
        <f ca="1"/>
        <v>8</v>
      </c>
      <c r="EO10" s="30" t="str">
        <f ca="1"/>
        <v>Onwa</v>
      </c>
      <c r="EP10" s="30">
        <f ca="1"/>
        <v>2</v>
      </c>
      <c r="EQ10" s="13"/>
      <c r="ER10" s="13">
        <v>12911</v>
      </c>
      <c r="ET10" s="29">
        <f ca="1"/>
        <v>8</v>
      </c>
      <c r="EU10" s="30" t="str">
        <f ca="1"/>
        <v>Onwa</v>
      </c>
      <c r="EV10" s="30" t="e" vm="16">
        <f ca="1"/>
        <v>#VALUE!</v>
      </c>
      <c r="EW10" s="30" t="e">
        <f ca="1"/>
        <v>#VALUE!</v>
      </c>
      <c r="EX10" s="13">
        <v>1</v>
      </c>
      <c r="EY10" s="30">
        <f ca="1"/>
        <v>1</v>
      </c>
      <c r="FA10" s="27">
        <f ca="1"/>
        <v>8</v>
      </c>
      <c r="FB10" s="30" t="str">
        <f ca="1"/>
        <v>Jarmou</v>
      </c>
      <c r="FC10" s="30">
        <f ca="1"/>
        <v>1</v>
      </c>
      <c r="FD10" s="13"/>
      <c r="FE10" s="13">
        <v>13054</v>
      </c>
      <c r="FG10" s="29">
        <f ca="1"/>
        <v>8</v>
      </c>
      <c r="FH10" s="30" t="str">
        <f ca="1"/>
        <v>Sami</v>
      </c>
      <c r="FI10" s="30" t="e" vm="13">
        <f ca="1"/>
        <v>#VALUE!</v>
      </c>
      <c r="FJ10" s="30" t="e">
        <f ca="1"/>
        <v>#VALUE!</v>
      </c>
      <c r="FK10" s="13">
        <v>1</v>
      </c>
      <c r="FL10" s="30">
        <f ca="1"/>
        <v>2</v>
      </c>
      <c r="FN10" s="27">
        <f ca="1"/>
        <v>8</v>
      </c>
      <c r="FO10" s="30" t="str">
        <f ca="1"/>
        <v>Lafungo</v>
      </c>
      <c r="FP10" s="30">
        <f ca="1"/>
        <v>1</v>
      </c>
      <c r="FQ10" s="13"/>
      <c r="FR10" s="13">
        <v>13565</v>
      </c>
      <c r="FT10" s="29">
        <f ca="1"/>
        <v>8</v>
      </c>
      <c r="FU10" s="30" t="str">
        <f ca="1"/>
        <v>Jarmou</v>
      </c>
      <c r="FV10" s="30" t="e" vm="17">
        <f ca="1"/>
        <v>#VALUE!</v>
      </c>
      <c r="FW10" s="30" t="e">
        <f ca="1"/>
        <v>#VALUE!</v>
      </c>
      <c r="FX10" s="13">
        <v>1</v>
      </c>
      <c r="FY10" s="30">
        <f ca="1"/>
        <v>0</v>
      </c>
      <c r="GA10" s="27">
        <f ca="1"/>
        <v>8</v>
      </c>
      <c r="GB10" s="30" t="str">
        <f ca="1"/>
        <v>Jarmou</v>
      </c>
      <c r="GC10" s="30">
        <f ca="1"/>
        <v>0</v>
      </c>
      <c r="GD10" s="13">
        <v>1</v>
      </c>
      <c r="GE10" s="13">
        <v>14009</v>
      </c>
      <c r="GG10" s="29">
        <f ca="1"/>
        <v>8</v>
      </c>
      <c r="GH10" s="30" t="str">
        <f ca="1"/>
        <v>Jarmou</v>
      </c>
      <c r="GI10" s="30" t="e" vm="17">
        <f ca="1"/>
        <v>#VALUE!</v>
      </c>
      <c r="GJ10" s="30" t="e">
        <f ca="1"/>
        <v>#VALUE!</v>
      </c>
      <c r="GK10" s="13"/>
      <c r="GL10" s="30">
        <f ca="1"/>
        <v>1</v>
      </c>
      <c r="GN10" s="27">
        <f ca="1"/>
        <v>8</v>
      </c>
      <c r="GO10" s="30" t="str">
        <f ca="1"/>
        <v>Jarmou</v>
      </c>
      <c r="GP10" s="30">
        <f ca="1"/>
        <v>1</v>
      </c>
      <c r="GQ10" s="13">
        <v>2</v>
      </c>
      <c r="GR10" s="13">
        <v>10811</v>
      </c>
      <c r="GT10" s="29">
        <f ca="1"/>
        <v>8</v>
      </c>
      <c r="GU10" s="30" t="str">
        <f ca="1"/>
        <v>Jarmou</v>
      </c>
      <c r="GV10" s="30" t="e" vm="17">
        <f ca="1"/>
        <v>#VALUE!</v>
      </c>
      <c r="GW10" s="30" t="e">
        <f ca="1"/>
        <v>#VALUE!</v>
      </c>
      <c r="GX10" s="13">
        <v>1</v>
      </c>
      <c r="GY10" s="30">
        <f ca="1"/>
        <v>2</v>
      </c>
      <c r="HA10" s="27">
        <f ca="1"/>
        <v>8</v>
      </c>
      <c r="HB10" s="30" t="str">
        <f ca="1"/>
        <v>Jarmou</v>
      </c>
      <c r="HC10" s="30">
        <f ca="1"/>
        <v>2</v>
      </c>
      <c r="HD10" s="13"/>
      <c r="HE10" s="13">
        <v>5971</v>
      </c>
      <c r="HF10" s="1"/>
      <c r="HG10" s="29">
        <f ca="1"/>
        <v>8</v>
      </c>
      <c r="HH10" s="30" t="str">
        <f ca="1"/>
        <v>Mike</v>
      </c>
      <c r="HI10" s="30" t="e" vm="12">
        <f ca="1"/>
        <v>#VALUE!</v>
      </c>
      <c r="HJ10" s="30" t="e">
        <f ca="1"/>
        <v>#VALUE!</v>
      </c>
      <c r="HK10" s="13">
        <v>1</v>
      </c>
      <c r="HL10" s="30">
        <f ca="1"/>
        <v>1</v>
      </c>
      <c r="HN10" s="27">
        <f ca="1"/>
        <v>8</v>
      </c>
      <c r="HO10" s="30" t="str">
        <f ca="1"/>
        <v>Mike</v>
      </c>
      <c r="HP10" s="30">
        <f ca="1"/>
        <v>1</v>
      </c>
      <c r="HQ10" s="13"/>
      <c r="HR10" s="13">
        <v>15810</v>
      </c>
      <c r="HT10" s="29">
        <f ca="1"/>
        <v>8</v>
      </c>
      <c r="HU10" s="30" t="str">
        <f ca="1"/>
        <v>Mike</v>
      </c>
      <c r="HV10" s="30" t="e" vm="12">
        <f ca="1"/>
        <v>#VALUE!</v>
      </c>
      <c r="HW10" s="30" t="e">
        <f ca="1"/>
        <v>#VALUE!</v>
      </c>
      <c r="HX10" s="13">
        <v>1</v>
      </c>
      <c r="HY10" s="30">
        <f ca="1"/>
        <v>0</v>
      </c>
      <c r="IA10" s="27">
        <f ca="1"/>
        <v>8</v>
      </c>
      <c r="IB10" s="30" t="str">
        <f ca="1"/>
        <v>Mike</v>
      </c>
      <c r="IC10" s="30">
        <f ca="1"/>
        <v>0</v>
      </c>
      <c r="ID10" s="13"/>
      <c r="IE10" s="13"/>
      <c r="IG10" s="29">
        <f ca="1"/>
        <v>8</v>
      </c>
      <c r="IH10" s="30" t="str">
        <f ca="1"/>
        <v>Mike</v>
      </c>
      <c r="II10" s="30" t="e" vm="12">
        <f ca="1"/>
        <v>#VALUE!</v>
      </c>
      <c r="IJ10" s="30" t="e">
        <f ca="1"/>
        <v>#VALUE!</v>
      </c>
      <c r="IK10" s="13"/>
      <c r="IL10" s="30">
        <f ca="1"/>
        <v>0</v>
      </c>
      <c r="IN10" s="27">
        <f ca="1"/>
        <v>8</v>
      </c>
      <c r="IO10" s="30" t="str">
        <f ca="1"/>
        <v>Mike</v>
      </c>
      <c r="IP10" s="30">
        <f ca="1"/>
        <v>0</v>
      </c>
      <c r="IQ10" s="13"/>
      <c r="IR10" s="13"/>
      <c r="IT10" s="29">
        <f ca="1"/>
        <v>8</v>
      </c>
      <c r="IU10" s="30" t="str">
        <f ca="1"/>
        <v>Mike</v>
      </c>
      <c r="IV10" s="30" t="e" vm="12">
        <f ca="1"/>
        <v>#VALUE!</v>
      </c>
      <c r="IW10" s="30" t="e">
        <f ca="1"/>
        <v>#VALUE!</v>
      </c>
      <c r="IX10" s="13"/>
      <c r="IY10" s="30">
        <f ca="1"/>
        <v>0</v>
      </c>
      <c r="JA10" s="27">
        <f ca="1"/>
        <v>8</v>
      </c>
      <c r="JB10" s="30" t="str">
        <f ca="1"/>
        <v>Mike</v>
      </c>
      <c r="JC10" s="30">
        <f ca="1"/>
        <v>0</v>
      </c>
      <c r="JD10" s="13"/>
      <c r="JE10" s="13"/>
      <c r="JG10" s="29">
        <f ca="1"/>
        <v>8</v>
      </c>
      <c r="JH10" s="30" t="str">
        <f ca="1"/>
        <v>Mike</v>
      </c>
      <c r="JI10" s="30" t="e" vm="12">
        <f ca="1"/>
        <v>#VALUE!</v>
      </c>
      <c r="JJ10" s="30" t="e">
        <f ca="1"/>
        <v>#VALUE!</v>
      </c>
      <c r="JK10" s="13"/>
      <c r="JL10" s="30">
        <f ca="1"/>
        <v>0</v>
      </c>
      <c r="JN10" s="27">
        <f ca="1"/>
        <v>8</v>
      </c>
      <c r="JO10" s="30" t="str">
        <f ca="1"/>
        <v>Mike</v>
      </c>
      <c r="JP10" s="30">
        <f ca="1"/>
        <v>0</v>
      </c>
      <c r="JQ10" s="13"/>
      <c r="JR10" s="13"/>
      <c r="JT10" s="29">
        <f ca="1"/>
        <v>8</v>
      </c>
      <c r="JU10" s="30" t="str">
        <f ca="1"/>
        <v>Mike</v>
      </c>
      <c r="JV10" s="30" t="e" vm="12">
        <f ca="1"/>
        <v>#VALUE!</v>
      </c>
      <c r="JW10" s="30" t="e">
        <f ca="1"/>
        <v>#VALUE!</v>
      </c>
      <c r="JX10" s="13"/>
      <c r="JY10" s="30">
        <f ca="1"/>
        <v>0</v>
      </c>
      <c r="KA10" s="27">
        <f ca="1"/>
        <v>8</v>
      </c>
      <c r="KB10" s="30" t="str">
        <f ca="1"/>
        <v>Mike</v>
      </c>
      <c r="KC10" s="30">
        <f ca="1"/>
        <v>0</v>
      </c>
      <c r="KD10" s="13"/>
      <c r="KE10" s="13"/>
      <c r="KG10" s="29">
        <f ca="1"/>
        <v>8</v>
      </c>
      <c r="KH10" s="30" t="str">
        <f ca="1"/>
        <v>Mike</v>
      </c>
      <c r="KI10" s="30" t="e" vm="12">
        <f ca="1"/>
        <v>#VALUE!</v>
      </c>
      <c r="KJ10" s="30" t="e">
        <f ca="1"/>
        <v>#VALUE!</v>
      </c>
      <c r="KK10" s="13"/>
      <c r="KL10" s="30">
        <f ca="1"/>
        <v>0</v>
      </c>
      <c r="KN10" s="27">
        <f ca="1"/>
        <v>8</v>
      </c>
      <c r="KO10" s="30" t="str">
        <f ca="1"/>
        <v>Mike</v>
      </c>
      <c r="KP10" s="30">
        <f ca="1"/>
        <v>0</v>
      </c>
      <c r="KQ10" s="13"/>
      <c r="KR10" s="13"/>
      <c r="KT10" s="29">
        <f ca="1"/>
        <v>8</v>
      </c>
      <c r="KU10" s="30" t="str">
        <f ca="1"/>
        <v>Mike</v>
      </c>
      <c r="KV10" s="30" t="e" vm="12">
        <f ca="1"/>
        <v>#VALUE!</v>
      </c>
      <c r="KW10" s="30" t="e">
        <f ca="1"/>
        <v>#VALUE!</v>
      </c>
      <c r="KX10" s="13"/>
      <c r="KY10" s="30">
        <f ca="1"/>
        <v>0</v>
      </c>
      <c r="LA10" s="27">
        <f ca="1"/>
        <v>8</v>
      </c>
      <c r="LB10" s="30" t="str">
        <f ca="1"/>
        <v>Mike</v>
      </c>
      <c r="LC10" s="30">
        <f ca="1"/>
        <v>0</v>
      </c>
      <c r="LD10" s="13"/>
      <c r="LE10" s="13"/>
      <c r="LG10" s="29">
        <f ca="1"/>
        <v>8</v>
      </c>
      <c r="LH10" s="30" t="str">
        <f ca="1"/>
        <v>Mike</v>
      </c>
      <c r="LI10" s="30" t="e" vm="12">
        <f ca="1"/>
        <v>#VALUE!</v>
      </c>
      <c r="LJ10" s="30" t="e">
        <f ca="1"/>
        <v>#VALUE!</v>
      </c>
      <c r="LK10" s="13"/>
      <c r="LL10" s="30">
        <f ca="1"/>
        <v>0</v>
      </c>
      <c r="LN10" s="27">
        <f ca="1"/>
        <v>8</v>
      </c>
      <c r="LO10" s="30" t="str">
        <f ca="1"/>
        <v>Mike</v>
      </c>
      <c r="LP10" s="30">
        <f ca="1"/>
        <v>0</v>
      </c>
      <c r="LQ10" s="13"/>
      <c r="LR10" s="13"/>
      <c r="LT10" s="29">
        <f ca="1"/>
        <v>8</v>
      </c>
      <c r="LU10" s="30" t="str">
        <f ca="1"/>
        <v>Mike</v>
      </c>
      <c r="LV10" s="30" t="e" vm="12">
        <f ca="1"/>
        <v>#VALUE!</v>
      </c>
      <c r="LW10" s="30" t="e">
        <f ca="1"/>
        <v>#VALUE!</v>
      </c>
      <c r="LX10" s="13"/>
      <c r="LY10" s="30">
        <f ca="1"/>
        <v>0</v>
      </c>
      <c r="MA10" s="27">
        <f ca="1"/>
        <v>8</v>
      </c>
      <c r="MB10" s="30" t="str">
        <f ca="1"/>
        <v>Mike</v>
      </c>
      <c r="MC10" s="30">
        <f ca="1"/>
        <v>0</v>
      </c>
      <c r="MD10" s="13"/>
      <c r="ME10" s="13"/>
      <c r="MG10" s="29">
        <f ca="1"/>
        <v>8</v>
      </c>
      <c r="MH10" s="30" t="str">
        <f ca="1"/>
        <v>Mike</v>
      </c>
      <c r="MI10" s="30" t="e" vm="12">
        <f ca="1"/>
        <v>#VALUE!</v>
      </c>
      <c r="MJ10" s="30" t="e">
        <f ca="1"/>
        <v>#VALUE!</v>
      </c>
      <c r="MK10" s="13"/>
      <c r="ML10" s="30">
        <f ca="1"/>
        <v>0</v>
      </c>
      <c r="MN10" s="27">
        <f ca="1"/>
        <v>8</v>
      </c>
      <c r="MO10" s="30" t="str">
        <f ca="1"/>
        <v>Mike</v>
      </c>
      <c r="MP10" s="30">
        <f ca="1"/>
        <v>0</v>
      </c>
      <c r="MQ10" s="13"/>
      <c r="MR10" s="13"/>
      <c r="MS10" s="1"/>
      <c r="MT10" s="29">
        <f ca="1"/>
        <v>8</v>
      </c>
      <c r="MU10" s="30" t="str">
        <f ca="1"/>
        <v>Mike</v>
      </c>
      <c r="MV10" s="30" t="e" vm="12">
        <f ca="1"/>
        <v>#VALUE!</v>
      </c>
      <c r="MW10" s="30" t="e">
        <f ca="1"/>
        <v>#VALUE!</v>
      </c>
      <c r="MX10" s="13"/>
      <c r="MY10" s="30">
        <f ca="1"/>
        <v>0</v>
      </c>
      <c r="NA10" s="27">
        <f ca="1"/>
        <v>8</v>
      </c>
      <c r="NB10" s="30" t="str">
        <f ca="1"/>
        <v>Mike</v>
      </c>
      <c r="NC10" s="30">
        <f ca="1"/>
        <v>0</v>
      </c>
      <c r="ND10" s="13"/>
      <c r="NE10" s="13"/>
      <c r="NG10" s="29">
        <f ca="1"/>
        <v>8</v>
      </c>
      <c r="NH10" s="30" t="str">
        <f ca="1"/>
        <v>Mike</v>
      </c>
      <c r="NI10" s="30" t="e" vm="12">
        <f ca="1"/>
        <v>#VALUE!</v>
      </c>
      <c r="NJ10" s="30" t="e">
        <f ca="1"/>
        <v>#VALUE!</v>
      </c>
      <c r="NK10" s="13"/>
      <c r="NL10" s="30">
        <f ca="1"/>
        <v>0</v>
      </c>
      <c r="NN10" s="27">
        <f ca="1"/>
        <v>8</v>
      </c>
      <c r="NO10" s="30" t="str">
        <f ca="1"/>
        <v>Mike</v>
      </c>
      <c r="NP10" s="30">
        <f ca="1"/>
        <v>0</v>
      </c>
      <c r="NQ10" s="13"/>
      <c r="NR10" s="13"/>
      <c r="NT10" s="29">
        <f ca="1"/>
        <v>8</v>
      </c>
      <c r="NU10" s="30" t="str">
        <f ca="1"/>
        <v>Mike</v>
      </c>
      <c r="NV10" s="30" t="e" vm="12">
        <f ca="1"/>
        <v>#VALUE!</v>
      </c>
      <c r="NW10" s="30" t="e">
        <f ca="1"/>
        <v>#VALUE!</v>
      </c>
      <c r="NX10" s="13"/>
      <c r="NY10" s="30">
        <f ca="1"/>
        <v>0</v>
      </c>
      <c r="OA10" s="27">
        <f ca="1"/>
        <v>8</v>
      </c>
      <c r="OB10" s="30" t="str">
        <f ca="1"/>
        <v>Mike</v>
      </c>
      <c r="OC10" s="30">
        <f ca="1"/>
        <v>0</v>
      </c>
      <c r="OD10" s="13"/>
      <c r="OE10" s="13"/>
      <c r="OG10" s="29">
        <f ca="1"/>
        <v>8</v>
      </c>
      <c r="OH10" s="30" t="str">
        <f ca="1"/>
        <v>Mike</v>
      </c>
      <c r="OI10" s="30" t="e" vm="12">
        <f ca="1"/>
        <v>#VALUE!</v>
      </c>
      <c r="OJ10" s="30" t="e">
        <f ca="1"/>
        <v>#VALUE!</v>
      </c>
      <c r="OK10" s="13"/>
      <c r="OL10" s="30">
        <f ca="1"/>
        <v>0</v>
      </c>
      <c r="ON10" s="27">
        <f ca="1"/>
        <v>8</v>
      </c>
      <c r="OO10" s="30" t="str">
        <f ca="1"/>
        <v>Mike</v>
      </c>
      <c r="OP10" s="30">
        <f ca="1"/>
        <v>0</v>
      </c>
      <c r="OQ10" s="13"/>
      <c r="OR10" s="13"/>
      <c r="OT10" s="29">
        <f ca="1"/>
        <v>8</v>
      </c>
      <c r="OU10" s="30" t="str">
        <f ca="1"/>
        <v>Mike</v>
      </c>
      <c r="OV10" s="30" t="e" vm="12">
        <f ca="1"/>
        <v>#VALUE!</v>
      </c>
      <c r="OW10" s="30" t="e">
        <f ca="1"/>
        <v>#VALUE!</v>
      </c>
      <c r="OX10" s="13"/>
      <c r="OY10" s="30">
        <f ca="1"/>
        <v>0</v>
      </c>
      <c r="PA10" s="27">
        <f ca="1"/>
        <v>8</v>
      </c>
      <c r="PB10" s="30" t="str">
        <f ca="1"/>
        <v>Mike</v>
      </c>
      <c r="PC10" s="30">
        <f ca="1"/>
        <v>0</v>
      </c>
      <c r="PD10" s="13"/>
      <c r="PE10" s="13"/>
      <c r="PG10" s="29">
        <f ca="1"/>
        <v>8</v>
      </c>
      <c r="PH10" s="30" t="str">
        <f ca="1"/>
        <v>Mike</v>
      </c>
      <c r="PI10" s="30" t="e" vm="12">
        <f ca="1"/>
        <v>#VALUE!</v>
      </c>
      <c r="PJ10" s="30" t="e">
        <f ca="1"/>
        <v>#VALUE!</v>
      </c>
      <c r="PK10" s="13"/>
      <c r="PL10" s="30">
        <f ca="1"/>
        <v>0</v>
      </c>
      <c r="PN10" s="27">
        <f ca="1"/>
        <v>8</v>
      </c>
      <c r="PO10" s="30" t="str">
        <f ca="1"/>
        <v>Mike</v>
      </c>
      <c r="PP10" s="30">
        <f ca="1"/>
        <v>0</v>
      </c>
      <c r="PQ10" s="13"/>
      <c r="PR10" s="13"/>
      <c r="PT10" s="29">
        <f ca="1"/>
        <v>8</v>
      </c>
      <c r="PU10" s="30" t="str">
        <f ca="1"/>
        <v>Mike</v>
      </c>
      <c r="PV10" s="30" t="e" vm="12">
        <f ca="1"/>
        <v>#VALUE!</v>
      </c>
      <c r="PW10" s="30" t="e">
        <f ca="1"/>
        <v>#VALUE!</v>
      </c>
      <c r="PX10" s="13"/>
      <c r="PY10" s="30">
        <f ca="1"/>
        <v>0</v>
      </c>
      <c r="QA10" s="27">
        <f ca="1"/>
        <v>8</v>
      </c>
      <c r="QB10" s="30" t="str">
        <f ca="1"/>
        <v>Mike</v>
      </c>
      <c r="QC10" s="30">
        <f ca="1"/>
        <v>0</v>
      </c>
      <c r="QD10" s="13"/>
      <c r="QE10" s="13"/>
      <c r="QG10" s="29">
        <f ca="1"/>
        <v>8</v>
      </c>
      <c r="QH10" s="30" t="str">
        <f ca="1"/>
        <v>Mike</v>
      </c>
      <c r="QI10" s="30" t="e" vm="12">
        <f ca="1"/>
        <v>#VALUE!</v>
      </c>
      <c r="QJ10" s="30" t="e">
        <f ca="1"/>
        <v>#VALUE!</v>
      </c>
      <c r="QK10" s="13"/>
      <c r="QL10" s="30">
        <f ca="1"/>
        <v>0</v>
      </c>
      <c r="QN10" s="27">
        <f ca="1"/>
        <v>8</v>
      </c>
      <c r="QO10" s="30" t="str">
        <f ca="1"/>
        <v>Mike</v>
      </c>
      <c r="QP10" s="30">
        <f ca="1"/>
        <v>0</v>
      </c>
      <c r="QQ10" s="13"/>
      <c r="QR10" s="13"/>
      <c r="QT10" s="29">
        <f ca="1"/>
        <v>8</v>
      </c>
      <c r="QU10" s="30" t="str">
        <f ca="1"/>
        <v>Mike</v>
      </c>
      <c r="QV10" s="30" t="e" vm="12">
        <f ca="1"/>
        <v>#VALUE!</v>
      </c>
      <c r="QW10" s="30" t="e">
        <f ca="1"/>
        <v>#VALUE!</v>
      </c>
      <c r="QX10" s="13"/>
      <c r="QY10" s="30">
        <f ca="1"/>
        <v>0</v>
      </c>
      <c r="RA10" s="27">
        <f ca="1"/>
        <v>8</v>
      </c>
      <c r="RB10" s="30" t="str">
        <f ca="1"/>
        <v>Mike</v>
      </c>
      <c r="RC10" s="30">
        <f ca="1"/>
        <v>0</v>
      </c>
      <c r="RD10" s="13"/>
      <c r="RE10" s="13"/>
      <c r="RG10" s="29">
        <f ca="1"/>
        <v>8</v>
      </c>
      <c r="RH10" s="30" t="str">
        <f ca="1"/>
        <v>Mike</v>
      </c>
      <c r="RI10" s="30" t="e" vm="12">
        <f ca="1"/>
        <v>#VALUE!</v>
      </c>
      <c r="RJ10" s="30" t="e">
        <f ca="1"/>
        <v>#VALUE!</v>
      </c>
      <c r="RK10" s="13"/>
      <c r="RL10" s="30">
        <f ca="1"/>
        <v>0</v>
      </c>
      <c r="RN10" s="27">
        <f ca="1"/>
        <v>8</v>
      </c>
      <c r="RO10" s="30" t="str">
        <f ca="1"/>
        <v>Mike</v>
      </c>
      <c r="RP10" s="30">
        <f ca="1"/>
        <v>0</v>
      </c>
      <c r="RQ10" s="13"/>
      <c r="RR10" s="13"/>
      <c r="RT10" s="29">
        <f ca="1"/>
        <v>8</v>
      </c>
      <c r="RU10" s="30" t="str">
        <f ca="1"/>
        <v>Mike</v>
      </c>
      <c r="RV10" s="30" t="e" vm="12">
        <f ca="1"/>
        <v>#VALUE!</v>
      </c>
      <c r="RW10" s="30" t="e">
        <f ca="1"/>
        <v>#VALUE!</v>
      </c>
      <c r="RX10" s="13"/>
      <c r="RY10" s="30">
        <f ca="1"/>
        <v>0</v>
      </c>
      <c r="SA10" s="27">
        <f ca="1"/>
        <v>8</v>
      </c>
      <c r="SB10" s="30" t="str">
        <f ca="1"/>
        <v>Mike</v>
      </c>
      <c r="SC10" s="30">
        <f ca="1"/>
        <v>0</v>
      </c>
      <c r="SD10" s="13"/>
      <c r="SE10" s="13"/>
      <c r="SG10" s="29">
        <f ca="1"/>
        <v>8</v>
      </c>
      <c r="SH10" s="30" t="str">
        <f ca="1"/>
        <v>Mike</v>
      </c>
      <c r="SI10" s="30" t="e" vm="12">
        <f ca="1"/>
        <v>#VALUE!</v>
      </c>
      <c r="SJ10" s="30" t="e">
        <f ca="1"/>
        <v>#VALUE!</v>
      </c>
      <c r="SK10" s="13"/>
      <c r="SL10" s="30">
        <f ca="1"/>
        <v>0</v>
      </c>
      <c r="SN10" s="27">
        <f ca="1"/>
        <v>8</v>
      </c>
      <c r="SO10" s="30" t="str">
        <f ca="1"/>
        <v>Mike</v>
      </c>
      <c r="SP10" s="30">
        <f ca="1"/>
        <v>0</v>
      </c>
      <c r="SQ10" s="13"/>
      <c r="SR10" s="13"/>
      <c r="ST10" s="29">
        <f ca="1"/>
        <v>8</v>
      </c>
      <c r="SU10" s="30" t="str">
        <f ca="1"/>
        <v>Mike</v>
      </c>
      <c r="SV10" s="30" t="e" vm="12">
        <f ca="1"/>
        <v>#VALUE!</v>
      </c>
      <c r="SW10" s="30" t="e">
        <f ca="1"/>
        <v>#VALUE!</v>
      </c>
      <c r="SX10" s="13"/>
      <c r="SY10" s="30">
        <f ca="1"/>
        <v>0</v>
      </c>
      <c r="TA10" s="29">
        <f ca="1"/>
        <v>8</v>
      </c>
      <c r="TB10" s="30" t="str">
        <f ca="1"/>
        <v>Mike</v>
      </c>
      <c r="TC10" s="30" t="e" vm="12">
        <f ca="1"/>
        <v>#VALUE!</v>
      </c>
      <c r="TD10" s="30">
        <f ca="1"/>
        <v>500</v>
      </c>
    </row>
    <row r="11" spans="1:524" ht="20.100000000000001" customHeight="1">
      <c r="A11" s="27">
        <f ca="1"/>
        <v>9</v>
      </c>
      <c r="B11" s="30" t="str">
        <f ca="1"/>
        <v>Leyla</v>
      </c>
      <c r="C11" s="30">
        <v>1</v>
      </c>
      <c r="D11" s="13"/>
      <c r="E11" s="57">
        <v>0</v>
      </c>
      <c r="G11" s="29">
        <f ca="1"/>
        <v>9</v>
      </c>
      <c r="H11" s="30" t="str">
        <f ca="1"/>
        <v>Leyla</v>
      </c>
      <c r="I11" s="30" t="e" vm="13">
        <f ca="1"/>
        <v>#VALUE!</v>
      </c>
      <c r="J11" s="55" t="e">
        <f ca="1"/>
        <v>#VALUE!</v>
      </c>
      <c r="K11" s="13"/>
      <c r="L11" s="30">
        <f ca="1"/>
        <v>1</v>
      </c>
      <c r="N11" s="27">
        <f ca="1"/>
        <v>9</v>
      </c>
      <c r="O11" s="30" t="str">
        <f ca="1"/>
        <v>Leyla</v>
      </c>
      <c r="P11" s="30">
        <f ca="1"/>
        <v>1</v>
      </c>
      <c r="Q11" s="13"/>
      <c r="R11" s="13">
        <v>0</v>
      </c>
      <c r="T11" s="29">
        <f ca="1"/>
        <v>9</v>
      </c>
      <c r="U11" s="30" t="str">
        <f ca="1"/>
        <v>Leyla</v>
      </c>
      <c r="V11" s="30" t="e" vm="13">
        <f ca="1"/>
        <v>#VALUE!</v>
      </c>
      <c r="W11" s="30" t="e">
        <f ca="1"/>
        <v>#VALUE!</v>
      </c>
      <c r="X11" s="13"/>
      <c r="Y11" s="30">
        <f ca="1"/>
        <v>1</v>
      </c>
      <c r="AA11" s="27">
        <f ca="1"/>
        <v>9</v>
      </c>
      <c r="AB11" s="30" t="str">
        <f ca="1"/>
        <v>Leyla</v>
      </c>
      <c r="AC11" s="30">
        <f ca="1"/>
        <v>1</v>
      </c>
      <c r="AD11" s="13"/>
      <c r="AE11" s="13">
        <v>0</v>
      </c>
      <c r="AG11" s="29">
        <f ca="1"/>
        <v>9</v>
      </c>
      <c r="AH11" s="30" t="str">
        <f ca="1"/>
        <v>Leyla</v>
      </c>
      <c r="AI11" s="30" t="e" vm="13">
        <f ca="1"/>
        <v>#VALUE!</v>
      </c>
      <c r="AJ11" s="30" t="e">
        <f ca="1"/>
        <v>#VALUE!</v>
      </c>
      <c r="AK11" s="13"/>
      <c r="AL11" s="30">
        <f ca="1"/>
        <v>1</v>
      </c>
      <c r="AN11" s="27">
        <f ca="1"/>
        <v>9</v>
      </c>
      <c r="AO11" s="30" t="str">
        <f ca="1"/>
        <v>Leyla</v>
      </c>
      <c r="AP11" s="30">
        <f ca="1"/>
        <v>1</v>
      </c>
      <c r="AQ11" s="13"/>
      <c r="AR11" s="13">
        <v>0</v>
      </c>
      <c r="AT11" s="29">
        <f ca="1"/>
        <v>9</v>
      </c>
      <c r="AU11" s="30" t="str">
        <f ca="1"/>
        <v>Leyla</v>
      </c>
      <c r="AV11" s="30" t="e" vm="13">
        <f ca="1"/>
        <v>#VALUE!</v>
      </c>
      <c r="AW11" s="30" t="e">
        <f ca="1"/>
        <v>#VALUE!</v>
      </c>
      <c r="AX11" s="13"/>
      <c r="AY11" s="30">
        <f ca="1"/>
        <v>1</v>
      </c>
      <c r="BA11" s="27">
        <f ca="1"/>
        <v>9</v>
      </c>
      <c r="BB11" s="30" t="str">
        <f ca="1"/>
        <v>Leyla</v>
      </c>
      <c r="BC11" s="30">
        <f ca="1"/>
        <v>1</v>
      </c>
      <c r="BD11" s="13"/>
      <c r="BE11" s="13">
        <v>0</v>
      </c>
      <c r="BG11" s="29">
        <f ca="1"/>
        <v>9</v>
      </c>
      <c r="BH11" s="30" t="str">
        <f ca="1"/>
        <v>Leyla</v>
      </c>
      <c r="BI11" s="30" t="e" vm="13">
        <f ca="1"/>
        <v>#VALUE!</v>
      </c>
      <c r="BJ11" s="30" t="e">
        <f ca="1"/>
        <v>#VALUE!</v>
      </c>
      <c r="BK11" s="13"/>
      <c r="BL11" s="30">
        <f ca="1"/>
        <v>1</v>
      </c>
      <c r="BN11" s="27">
        <f ca="1"/>
        <v>9</v>
      </c>
      <c r="BO11" s="30" t="str">
        <f ca="1"/>
        <v>Leyla</v>
      </c>
      <c r="BP11" s="30">
        <f ca="1"/>
        <v>1</v>
      </c>
      <c r="BQ11" s="13"/>
      <c r="BR11" s="13">
        <v>0</v>
      </c>
      <c r="BS11" s="1"/>
      <c r="BT11" s="29">
        <f ca="1"/>
        <v>9</v>
      </c>
      <c r="BU11" s="30" t="str">
        <f ca="1"/>
        <v>Leyla</v>
      </c>
      <c r="BV11" s="30" t="e" vm="13">
        <f ca="1"/>
        <v>#VALUE!</v>
      </c>
      <c r="BW11" s="30" t="e">
        <f ca="1"/>
        <v>#VALUE!</v>
      </c>
      <c r="BX11" s="13"/>
      <c r="BY11" s="30">
        <f ca="1"/>
        <v>1</v>
      </c>
      <c r="CA11" s="27">
        <f ca="1"/>
        <v>9</v>
      </c>
      <c r="CB11" s="30" t="str">
        <f ca="1"/>
        <v>Leyla</v>
      </c>
      <c r="CC11" s="30">
        <f ca="1"/>
        <v>1</v>
      </c>
      <c r="CD11" s="13"/>
      <c r="CE11" s="13">
        <v>0</v>
      </c>
      <c r="CG11" s="29">
        <f ca="1"/>
        <v>9</v>
      </c>
      <c r="CH11" s="30" t="str">
        <f ca="1"/>
        <v>Leyla</v>
      </c>
      <c r="CI11" s="30" t="e" vm="13">
        <f ca="1"/>
        <v>#VALUE!</v>
      </c>
      <c r="CJ11" s="30" t="e">
        <f ca="1"/>
        <v>#VALUE!</v>
      </c>
      <c r="CK11" s="13"/>
      <c r="CL11" s="30">
        <f ca="1"/>
        <v>1</v>
      </c>
      <c r="CN11" s="27">
        <f ca="1"/>
        <v>9</v>
      </c>
      <c r="CO11" s="30" t="str">
        <f ca="1"/>
        <v>Leyla</v>
      </c>
      <c r="CP11" s="30">
        <f ca="1"/>
        <v>1</v>
      </c>
      <c r="CQ11" s="13"/>
      <c r="CR11" s="13">
        <v>0</v>
      </c>
      <c r="CT11" s="29">
        <f ca="1"/>
        <v>9</v>
      </c>
      <c r="CU11" s="30" t="str">
        <f ca="1"/>
        <v>Leyla</v>
      </c>
      <c r="CV11" s="30" t="e" vm="13">
        <f ca="1"/>
        <v>#VALUE!</v>
      </c>
      <c r="CW11" s="30" t="e">
        <f ca="1"/>
        <v>#VALUE!</v>
      </c>
      <c r="CX11" s="13"/>
      <c r="CY11" s="30">
        <f ca="1"/>
        <v>1</v>
      </c>
      <c r="DA11" s="27">
        <f ca="1"/>
        <v>9</v>
      </c>
      <c r="DB11" s="30" t="str">
        <f ca="1"/>
        <v>Leyla</v>
      </c>
      <c r="DC11" s="30">
        <f ca="1"/>
        <v>1</v>
      </c>
      <c r="DD11" s="13">
        <v>2</v>
      </c>
      <c r="DE11" s="13">
        <v>5806</v>
      </c>
      <c r="DG11" s="29">
        <f ca="1"/>
        <v>9</v>
      </c>
      <c r="DH11" s="30" t="str">
        <f ca="1"/>
        <v>Sumz</v>
      </c>
      <c r="DI11" s="30" t="e" vm="18">
        <f ca="1"/>
        <v>#VALUE!</v>
      </c>
      <c r="DJ11" s="30" t="e">
        <f ca="1"/>
        <v>#VALUE!</v>
      </c>
      <c r="DK11" s="13">
        <v>1</v>
      </c>
      <c r="DL11" s="30">
        <f ca="1"/>
        <v>2</v>
      </c>
      <c r="DN11" s="27">
        <f ca="1"/>
        <v>9</v>
      </c>
      <c r="DO11" s="30" t="str">
        <f ca="1"/>
        <v>Sumz</v>
      </c>
      <c r="DP11" s="30">
        <f ca="1"/>
        <v>2</v>
      </c>
      <c r="DQ11" s="13"/>
      <c r="DR11" s="13">
        <v>13910</v>
      </c>
      <c r="DT11" s="29">
        <f ca="1"/>
        <v>9</v>
      </c>
      <c r="DU11" s="30" t="str">
        <f ca="1"/>
        <v>Moll</v>
      </c>
      <c r="DV11" s="30" t="e" vm="13">
        <f ca="1"/>
        <v>#VALUE!</v>
      </c>
      <c r="DW11" s="30" t="e">
        <f ca="1"/>
        <v>#VALUE!</v>
      </c>
      <c r="DX11" s="13">
        <v>1</v>
      </c>
      <c r="DY11" s="30">
        <f ca="1"/>
        <v>1</v>
      </c>
      <c r="EA11" s="27">
        <f ca="1"/>
        <v>9</v>
      </c>
      <c r="EB11" s="30" t="str">
        <f ca="1"/>
        <v>Leyla</v>
      </c>
      <c r="EC11" s="30">
        <f ca="1"/>
        <v>2</v>
      </c>
      <c r="ED11" s="13"/>
      <c r="EE11" s="13">
        <v>10728</v>
      </c>
      <c r="EG11" s="29">
        <f ca="1"/>
        <v>9</v>
      </c>
      <c r="EH11" s="30" t="str">
        <f ca="1"/>
        <v>Moll</v>
      </c>
      <c r="EI11" s="30" t="e" vm="13">
        <f ca="1"/>
        <v>#VALUE!</v>
      </c>
      <c r="EJ11" s="30" t="e">
        <f ca="1"/>
        <v>#VALUE!</v>
      </c>
      <c r="EK11" s="13">
        <v>1</v>
      </c>
      <c r="EL11" s="30">
        <f ca="1"/>
        <v>0</v>
      </c>
      <c r="EN11" s="27">
        <f ca="1"/>
        <v>9</v>
      </c>
      <c r="EO11" s="30" t="str">
        <f ca="1"/>
        <v>Antistar</v>
      </c>
      <c r="EP11" s="30">
        <f ca="1"/>
        <v>2</v>
      </c>
      <c r="EQ11" s="13"/>
      <c r="ER11" s="13">
        <v>12143</v>
      </c>
      <c r="ET11" s="29">
        <f ca="1"/>
        <v>9</v>
      </c>
      <c r="EU11" s="30" t="str">
        <f ca="1"/>
        <v>KVD</v>
      </c>
      <c r="EV11" s="30" t="e" vm="12">
        <f ca="1"/>
        <v>#VALUE!</v>
      </c>
      <c r="EW11" s="30" t="e">
        <f ca="1"/>
        <v>#VALUE!</v>
      </c>
      <c r="EX11" s="13">
        <v>1</v>
      </c>
      <c r="EY11" s="30">
        <f ca="1"/>
        <v>2</v>
      </c>
      <c r="FA11" s="27">
        <f ca="1"/>
        <v>9</v>
      </c>
      <c r="FB11" s="30" t="str">
        <f ca="1"/>
        <v>Onwa</v>
      </c>
      <c r="FC11" s="30">
        <f ca="1"/>
        <v>1</v>
      </c>
      <c r="FD11" s="13"/>
      <c r="FE11" s="13">
        <v>13078</v>
      </c>
      <c r="FG11" s="29">
        <f ca="1"/>
        <v>9</v>
      </c>
      <c r="FH11" s="30" t="str">
        <f ca="1"/>
        <v>Antistar</v>
      </c>
      <c r="FI11" s="30" t="e" vm="15">
        <f ca="1"/>
        <v>#VALUE!</v>
      </c>
      <c r="FJ11" s="30" t="e">
        <f ca="1"/>
        <v>#VALUE!</v>
      </c>
      <c r="FK11" s="13">
        <v>1</v>
      </c>
      <c r="FL11" s="30">
        <f ca="1"/>
        <v>1</v>
      </c>
      <c r="FN11" s="27">
        <f ca="1"/>
        <v>9</v>
      </c>
      <c r="FO11" s="30" t="str">
        <f ca="1"/>
        <v>Antistar</v>
      </c>
      <c r="FP11" s="30">
        <f ca="1"/>
        <v>1</v>
      </c>
      <c r="FQ11" s="13"/>
      <c r="FR11" s="13">
        <v>13544</v>
      </c>
      <c r="FT11" s="29">
        <f ca="1"/>
        <v>9</v>
      </c>
      <c r="FU11" s="30" t="str">
        <f ca="1"/>
        <v>Onwa</v>
      </c>
      <c r="FV11" s="30" t="e" vm="16">
        <f ca="1"/>
        <v>#VALUE!</v>
      </c>
      <c r="FW11" s="30" t="e">
        <f ca="1"/>
        <v>#VALUE!</v>
      </c>
      <c r="FX11" s="13">
        <v>1</v>
      </c>
      <c r="FY11" s="30">
        <f ca="1"/>
        <v>0</v>
      </c>
      <c r="GA11" s="27">
        <f ca="1"/>
        <v>9</v>
      </c>
      <c r="GB11" s="30" t="str">
        <f ca="1"/>
        <v>Onwa</v>
      </c>
      <c r="GC11" s="30">
        <f ca="1"/>
        <v>0</v>
      </c>
      <c r="GD11" s="13">
        <v>1</v>
      </c>
      <c r="GE11" s="13">
        <v>14123</v>
      </c>
      <c r="GG11" s="29">
        <f ca="1"/>
        <v>9</v>
      </c>
      <c r="GH11" s="30" t="str">
        <f ca="1"/>
        <v>Onwa</v>
      </c>
      <c r="GI11" s="30" t="e" vm="16">
        <f ca="1"/>
        <v>#VALUE!</v>
      </c>
      <c r="GJ11" s="30" t="e">
        <f ca="1"/>
        <v>#VALUE!</v>
      </c>
      <c r="GK11" s="13">
        <v>1</v>
      </c>
      <c r="GL11" s="30">
        <f ca="1"/>
        <v>0</v>
      </c>
      <c r="GN11" s="27">
        <f ca="1"/>
        <v>9</v>
      </c>
      <c r="GO11" s="30" t="str">
        <f ca="1"/>
        <v>Onwa</v>
      </c>
      <c r="GP11" s="30">
        <f ca="1"/>
        <v>0</v>
      </c>
      <c r="GQ11" s="13"/>
      <c r="GR11" s="13"/>
      <c r="GT11" s="29">
        <f ca="1"/>
        <v>9</v>
      </c>
      <c r="GU11" s="30" t="str">
        <f ca="1"/>
        <v>Onwa</v>
      </c>
      <c r="GV11" s="30" t="e" vm="16">
        <f ca="1"/>
        <v>#VALUE!</v>
      </c>
      <c r="GW11" s="30" t="e">
        <f ca="1"/>
        <v>#VALUE!</v>
      </c>
      <c r="GX11" s="13"/>
      <c r="GY11" s="30">
        <f ca="1"/>
        <v>0</v>
      </c>
      <c r="HA11" s="27">
        <f ca="1"/>
        <v>9</v>
      </c>
      <c r="HB11" s="30" t="str">
        <f ca="1"/>
        <v>Onwa</v>
      </c>
      <c r="HC11" s="30">
        <f ca="1"/>
        <v>0</v>
      </c>
      <c r="HD11" s="13"/>
      <c r="HE11" s="13"/>
      <c r="HF11" s="1"/>
      <c r="HG11" s="29">
        <f ca="1"/>
        <v>9</v>
      </c>
      <c r="HH11" s="30" t="str">
        <f ca="1"/>
        <v>Onwa</v>
      </c>
      <c r="HI11" s="30" t="e" vm="16">
        <f ca="1"/>
        <v>#VALUE!</v>
      </c>
      <c r="HJ11" s="30" t="e">
        <f ca="1"/>
        <v>#VALUE!</v>
      </c>
      <c r="HK11" s="13"/>
      <c r="HL11" s="30">
        <f ca="1"/>
        <v>0</v>
      </c>
      <c r="HN11" s="27">
        <f ca="1"/>
        <v>9</v>
      </c>
      <c r="HO11" s="30" t="str">
        <f ca="1"/>
        <v>Onwa</v>
      </c>
      <c r="HP11" s="30">
        <f ca="1"/>
        <v>0</v>
      </c>
      <c r="HQ11" s="13"/>
      <c r="HR11" s="13"/>
      <c r="HT11" s="29">
        <f ca="1"/>
        <v>9</v>
      </c>
      <c r="HU11" s="30" t="str">
        <f ca="1"/>
        <v>Onwa</v>
      </c>
      <c r="HV11" s="30" t="e" vm="16">
        <f ca="1"/>
        <v>#VALUE!</v>
      </c>
      <c r="HW11" s="30" t="e">
        <f ca="1"/>
        <v>#VALUE!</v>
      </c>
      <c r="HX11" s="13"/>
      <c r="HY11" s="30">
        <f ca="1"/>
        <v>0</v>
      </c>
      <c r="IA11" s="27">
        <f ca="1"/>
        <v>9</v>
      </c>
      <c r="IB11" s="30" t="str">
        <f ca="1"/>
        <v>Onwa</v>
      </c>
      <c r="IC11" s="30">
        <f ca="1"/>
        <v>0</v>
      </c>
      <c r="ID11" s="13"/>
      <c r="IE11" s="13"/>
      <c r="IG11" s="29">
        <f ca="1"/>
        <v>9</v>
      </c>
      <c r="IH11" s="30" t="str">
        <f ca="1"/>
        <v>Onwa</v>
      </c>
      <c r="II11" s="30" t="e" vm="16">
        <f ca="1"/>
        <v>#VALUE!</v>
      </c>
      <c r="IJ11" s="30" t="e">
        <f ca="1"/>
        <v>#VALUE!</v>
      </c>
      <c r="IK11" s="13"/>
      <c r="IL11" s="30">
        <f ca="1"/>
        <v>0</v>
      </c>
      <c r="IN11" s="27">
        <f ca="1"/>
        <v>9</v>
      </c>
      <c r="IO11" s="30" t="str">
        <f ca="1"/>
        <v>Onwa</v>
      </c>
      <c r="IP11" s="30">
        <f ca="1"/>
        <v>0</v>
      </c>
      <c r="IQ11" s="13"/>
      <c r="IR11" s="13"/>
      <c r="IT11" s="29">
        <f ca="1"/>
        <v>9</v>
      </c>
      <c r="IU11" s="30" t="str">
        <f ca="1"/>
        <v>Onwa</v>
      </c>
      <c r="IV11" s="30" t="e" vm="16">
        <f ca="1"/>
        <v>#VALUE!</v>
      </c>
      <c r="IW11" s="30" t="e">
        <f ca="1"/>
        <v>#VALUE!</v>
      </c>
      <c r="IX11" s="13"/>
      <c r="IY11" s="30">
        <f ca="1"/>
        <v>0</v>
      </c>
      <c r="JA11" s="27">
        <f ca="1"/>
        <v>9</v>
      </c>
      <c r="JB11" s="30" t="str">
        <f ca="1"/>
        <v>Onwa</v>
      </c>
      <c r="JC11" s="30">
        <f ca="1"/>
        <v>0</v>
      </c>
      <c r="JD11" s="13"/>
      <c r="JE11" s="13"/>
      <c r="JG11" s="29">
        <f ca="1"/>
        <v>9</v>
      </c>
      <c r="JH11" s="30" t="str">
        <f ca="1"/>
        <v>Onwa</v>
      </c>
      <c r="JI11" s="30" t="e" vm="16">
        <f ca="1"/>
        <v>#VALUE!</v>
      </c>
      <c r="JJ11" s="30" t="e">
        <f ca="1"/>
        <v>#VALUE!</v>
      </c>
      <c r="JK11" s="13"/>
      <c r="JL11" s="30">
        <f ca="1"/>
        <v>0</v>
      </c>
      <c r="JN11" s="27">
        <f ca="1"/>
        <v>9</v>
      </c>
      <c r="JO11" s="30" t="str">
        <f ca="1"/>
        <v>Onwa</v>
      </c>
      <c r="JP11" s="30">
        <f ca="1"/>
        <v>0</v>
      </c>
      <c r="JQ11" s="13"/>
      <c r="JR11" s="13"/>
      <c r="JT11" s="29">
        <f ca="1"/>
        <v>9</v>
      </c>
      <c r="JU11" s="30" t="str">
        <f ca="1"/>
        <v>Onwa</v>
      </c>
      <c r="JV11" s="30" t="e" vm="16">
        <f ca="1"/>
        <v>#VALUE!</v>
      </c>
      <c r="JW11" s="30" t="e">
        <f ca="1"/>
        <v>#VALUE!</v>
      </c>
      <c r="JX11" s="13"/>
      <c r="JY11" s="30">
        <f ca="1"/>
        <v>0</v>
      </c>
      <c r="KA11" s="27">
        <f ca="1"/>
        <v>9</v>
      </c>
      <c r="KB11" s="30" t="str">
        <f ca="1"/>
        <v>Onwa</v>
      </c>
      <c r="KC11" s="30">
        <f ca="1"/>
        <v>0</v>
      </c>
      <c r="KD11" s="13"/>
      <c r="KE11" s="13"/>
      <c r="KG11" s="29">
        <f ca="1"/>
        <v>9</v>
      </c>
      <c r="KH11" s="30" t="str">
        <f ca="1"/>
        <v>Onwa</v>
      </c>
      <c r="KI11" s="30" t="e" vm="16">
        <f ca="1"/>
        <v>#VALUE!</v>
      </c>
      <c r="KJ11" s="30" t="e">
        <f ca="1"/>
        <v>#VALUE!</v>
      </c>
      <c r="KK11" s="13"/>
      <c r="KL11" s="30">
        <f ca="1"/>
        <v>0</v>
      </c>
      <c r="KN11" s="27">
        <f ca="1"/>
        <v>9</v>
      </c>
      <c r="KO11" s="30" t="str">
        <f ca="1"/>
        <v>Onwa</v>
      </c>
      <c r="KP11" s="30">
        <f ca="1"/>
        <v>0</v>
      </c>
      <c r="KQ11" s="13"/>
      <c r="KR11" s="13"/>
      <c r="KT11" s="29">
        <f ca="1"/>
        <v>9</v>
      </c>
      <c r="KU11" s="30" t="str">
        <f ca="1"/>
        <v>Onwa</v>
      </c>
      <c r="KV11" s="30" t="e" vm="16">
        <f ca="1"/>
        <v>#VALUE!</v>
      </c>
      <c r="KW11" s="30" t="e">
        <f ca="1"/>
        <v>#VALUE!</v>
      </c>
      <c r="KX11" s="13"/>
      <c r="KY11" s="30">
        <f ca="1"/>
        <v>0</v>
      </c>
      <c r="LA11" s="27">
        <f ca="1"/>
        <v>9</v>
      </c>
      <c r="LB11" s="30" t="str">
        <f ca="1"/>
        <v>Onwa</v>
      </c>
      <c r="LC11" s="30">
        <f ca="1"/>
        <v>0</v>
      </c>
      <c r="LD11" s="13"/>
      <c r="LE11" s="13"/>
      <c r="LG11" s="29">
        <f ca="1"/>
        <v>9</v>
      </c>
      <c r="LH11" s="30" t="str">
        <f ca="1"/>
        <v>Onwa</v>
      </c>
      <c r="LI11" s="30" t="e" vm="16">
        <f ca="1"/>
        <v>#VALUE!</v>
      </c>
      <c r="LJ11" s="30" t="e">
        <f ca="1"/>
        <v>#VALUE!</v>
      </c>
      <c r="LK11" s="13"/>
      <c r="LL11" s="30">
        <f ca="1"/>
        <v>0</v>
      </c>
      <c r="LN11" s="27">
        <f ca="1"/>
        <v>9</v>
      </c>
      <c r="LO11" s="30" t="str">
        <f ca="1"/>
        <v>Onwa</v>
      </c>
      <c r="LP11" s="30">
        <f ca="1"/>
        <v>0</v>
      </c>
      <c r="LQ11" s="13"/>
      <c r="LR11" s="13"/>
      <c r="LT11" s="29">
        <f ca="1"/>
        <v>9</v>
      </c>
      <c r="LU11" s="30" t="str">
        <f ca="1"/>
        <v>Onwa</v>
      </c>
      <c r="LV11" s="30" t="e" vm="16">
        <f ca="1"/>
        <v>#VALUE!</v>
      </c>
      <c r="LW11" s="30" t="e">
        <f ca="1"/>
        <v>#VALUE!</v>
      </c>
      <c r="LX11" s="13"/>
      <c r="LY11" s="30">
        <f ca="1"/>
        <v>0</v>
      </c>
      <c r="MA11" s="27">
        <f ca="1"/>
        <v>9</v>
      </c>
      <c r="MB11" s="30" t="str">
        <f ca="1"/>
        <v>Onwa</v>
      </c>
      <c r="MC11" s="30">
        <f ca="1"/>
        <v>0</v>
      </c>
      <c r="MD11" s="13"/>
      <c r="ME11" s="13"/>
      <c r="MG11" s="29">
        <f ca="1"/>
        <v>9</v>
      </c>
      <c r="MH11" s="30" t="str">
        <f ca="1"/>
        <v>Onwa</v>
      </c>
      <c r="MI11" s="30" t="e" vm="16">
        <f ca="1"/>
        <v>#VALUE!</v>
      </c>
      <c r="MJ11" s="30" t="e">
        <f ca="1"/>
        <v>#VALUE!</v>
      </c>
      <c r="MK11" s="13"/>
      <c r="ML11" s="30">
        <f ca="1"/>
        <v>0</v>
      </c>
      <c r="MN11" s="27">
        <f ca="1"/>
        <v>9</v>
      </c>
      <c r="MO11" s="30" t="str">
        <f ca="1"/>
        <v>Onwa</v>
      </c>
      <c r="MP11" s="30">
        <f ca="1"/>
        <v>0</v>
      </c>
      <c r="MQ11" s="13"/>
      <c r="MR11" s="13"/>
      <c r="MS11" s="1"/>
      <c r="MT11" s="29">
        <f ca="1"/>
        <v>9</v>
      </c>
      <c r="MU11" s="30" t="str">
        <f ca="1"/>
        <v>Onwa</v>
      </c>
      <c r="MV11" s="30" t="e" vm="16">
        <f ca="1"/>
        <v>#VALUE!</v>
      </c>
      <c r="MW11" s="30" t="e">
        <f ca="1"/>
        <v>#VALUE!</v>
      </c>
      <c r="MX11" s="13"/>
      <c r="MY11" s="30">
        <f ca="1"/>
        <v>0</v>
      </c>
      <c r="NA11" s="27">
        <f ca="1"/>
        <v>9</v>
      </c>
      <c r="NB11" s="30" t="str">
        <f ca="1"/>
        <v>Onwa</v>
      </c>
      <c r="NC11" s="30">
        <f ca="1"/>
        <v>0</v>
      </c>
      <c r="ND11" s="13"/>
      <c r="NE11" s="13"/>
      <c r="NG11" s="29">
        <f ca="1"/>
        <v>9</v>
      </c>
      <c r="NH11" s="30" t="str">
        <f ca="1"/>
        <v>Onwa</v>
      </c>
      <c r="NI11" s="30" t="e" vm="16">
        <f ca="1"/>
        <v>#VALUE!</v>
      </c>
      <c r="NJ11" s="30" t="e">
        <f ca="1"/>
        <v>#VALUE!</v>
      </c>
      <c r="NK11" s="13"/>
      <c r="NL11" s="30">
        <f ca="1"/>
        <v>0</v>
      </c>
      <c r="NN11" s="27">
        <f ca="1"/>
        <v>9</v>
      </c>
      <c r="NO11" s="30" t="str">
        <f ca="1"/>
        <v>Onwa</v>
      </c>
      <c r="NP11" s="30">
        <f ca="1"/>
        <v>0</v>
      </c>
      <c r="NQ11" s="13"/>
      <c r="NR11" s="13"/>
      <c r="NT11" s="29">
        <f ca="1"/>
        <v>9</v>
      </c>
      <c r="NU11" s="30" t="str">
        <f ca="1"/>
        <v>Onwa</v>
      </c>
      <c r="NV11" s="30" t="e" vm="16">
        <f ca="1"/>
        <v>#VALUE!</v>
      </c>
      <c r="NW11" s="30" t="e">
        <f ca="1"/>
        <v>#VALUE!</v>
      </c>
      <c r="NX11" s="13"/>
      <c r="NY11" s="30">
        <f ca="1"/>
        <v>0</v>
      </c>
      <c r="OA11" s="27">
        <f ca="1"/>
        <v>9</v>
      </c>
      <c r="OB11" s="30" t="str">
        <f ca="1"/>
        <v>Onwa</v>
      </c>
      <c r="OC11" s="30">
        <f ca="1"/>
        <v>0</v>
      </c>
      <c r="OD11" s="13"/>
      <c r="OE11" s="13"/>
      <c r="OG11" s="29">
        <f ca="1"/>
        <v>9</v>
      </c>
      <c r="OH11" s="30" t="str">
        <f ca="1"/>
        <v>Onwa</v>
      </c>
      <c r="OI11" s="30" t="e" vm="16">
        <f ca="1"/>
        <v>#VALUE!</v>
      </c>
      <c r="OJ11" s="30" t="e">
        <f ca="1"/>
        <v>#VALUE!</v>
      </c>
      <c r="OK11" s="13"/>
      <c r="OL11" s="30">
        <f ca="1"/>
        <v>0</v>
      </c>
      <c r="ON11" s="27">
        <f ca="1"/>
        <v>9</v>
      </c>
      <c r="OO11" s="30" t="str">
        <f ca="1"/>
        <v>Onwa</v>
      </c>
      <c r="OP11" s="30">
        <f ca="1"/>
        <v>0</v>
      </c>
      <c r="OQ11" s="13"/>
      <c r="OR11" s="13"/>
      <c r="OT11" s="29">
        <f ca="1"/>
        <v>9</v>
      </c>
      <c r="OU11" s="30" t="str">
        <f ca="1"/>
        <v>Onwa</v>
      </c>
      <c r="OV11" s="30" t="e" vm="16">
        <f ca="1"/>
        <v>#VALUE!</v>
      </c>
      <c r="OW11" s="30" t="e">
        <f ca="1"/>
        <v>#VALUE!</v>
      </c>
      <c r="OX11" s="13"/>
      <c r="OY11" s="30">
        <f ca="1"/>
        <v>0</v>
      </c>
      <c r="PA11" s="27">
        <f ca="1"/>
        <v>9</v>
      </c>
      <c r="PB11" s="30" t="str">
        <f ca="1"/>
        <v>Onwa</v>
      </c>
      <c r="PC11" s="30">
        <f ca="1"/>
        <v>0</v>
      </c>
      <c r="PD11" s="13"/>
      <c r="PE11" s="13"/>
      <c r="PG11" s="29">
        <f ca="1"/>
        <v>9</v>
      </c>
      <c r="PH11" s="30" t="str">
        <f ca="1"/>
        <v>Onwa</v>
      </c>
      <c r="PI11" s="30" t="e" vm="16">
        <f ca="1"/>
        <v>#VALUE!</v>
      </c>
      <c r="PJ11" s="30" t="e">
        <f ca="1"/>
        <v>#VALUE!</v>
      </c>
      <c r="PK11" s="13"/>
      <c r="PL11" s="30">
        <f ca="1"/>
        <v>0</v>
      </c>
      <c r="PN11" s="27">
        <f ca="1"/>
        <v>9</v>
      </c>
      <c r="PO11" s="30" t="str">
        <f ca="1"/>
        <v>Onwa</v>
      </c>
      <c r="PP11" s="30">
        <f ca="1"/>
        <v>0</v>
      </c>
      <c r="PQ11" s="13"/>
      <c r="PR11" s="13"/>
      <c r="PT11" s="29">
        <f ca="1"/>
        <v>9</v>
      </c>
      <c r="PU11" s="30" t="str">
        <f ca="1"/>
        <v>Onwa</v>
      </c>
      <c r="PV11" s="30" t="e" vm="16">
        <f ca="1"/>
        <v>#VALUE!</v>
      </c>
      <c r="PW11" s="30" t="e">
        <f ca="1"/>
        <v>#VALUE!</v>
      </c>
      <c r="PX11" s="13"/>
      <c r="PY11" s="30">
        <f ca="1"/>
        <v>0</v>
      </c>
      <c r="QA11" s="27">
        <f ca="1"/>
        <v>9</v>
      </c>
      <c r="QB11" s="30" t="str">
        <f ca="1"/>
        <v>Onwa</v>
      </c>
      <c r="QC11" s="30">
        <f ca="1"/>
        <v>0</v>
      </c>
      <c r="QD11" s="13"/>
      <c r="QE11" s="13"/>
      <c r="QG11" s="29">
        <f ca="1"/>
        <v>9</v>
      </c>
      <c r="QH11" s="30" t="str">
        <f ca="1"/>
        <v>Onwa</v>
      </c>
      <c r="QI11" s="30" t="e" vm="16">
        <f ca="1"/>
        <v>#VALUE!</v>
      </c>
      <c r="QJ11" s="30" t="e">
        <f ca="1"/>
        <v>#VALUE!</v>
      </c>
      <c r="QK11" s="13"/>
      <c r="QL11" s="30">
        <f ca="1"/>
        <v>0</v>
      </c>
      <c r="QN11" s="27">
        <f ca="1"/>
        <v>9</v>
      </c>
      <c r="QO11" s="30" t="str">
        <f ca="1"/>
        <v>Onwa</v>
      </c>
      <c r="QP11" s="30">
        <f ca="1"/>
        <v>0</v>
      </c>
      <c r="QQ11" s="13"/>
      <c r="QR11" s="13"/>
      <c r="QT11" s="29">
        <f ca="1"/>
        <v>9</v>
      </c>
      <c r="QU11" s="30" t="str">
        <f ca="1"/>
        <v>Onwa</v>
      </c>
      <c r="QV11" s="30" t="e" vm="16">
        <f ca="1"/>
        <v>#VALUE!</v>
      </c>
      <c r="QW11" s="30" t="e">
        <f ca="1"/>
        <v>#VALUE!</v>
      </c>
      <c r="QX11" s="13"/>
      <c r="QY11" s="30">
        <f ca="1"/>
        <v>0</v>
      </c>
      <c r="RA11" s="27">
        <f ca="1"/>
        <v>9</v>
      </c>
      <c r="RB11" s="30" t="str">
        <f ca="1"/>
        <v>Onwa</v>
      </c>
      <c r="RC11" s="30">
        <f ca="1"/>
        <v>0</v>
      </c>
      <c r="RD11" s="13"/>
      <c r="RE11" s="13"/>
      <c r="RG11" s="29">
        <f ca="1"/>
        <v>9</v>
      </c>
      <c r="RH11" s="30" t="str">
        <f ca="1"/>
        <v>Onwa</v>
      </c>
      <c r="RI11" s="30" t="e" vm="16">
        <f ca="1"/>
        <v>#VALUE!</v>
      </c>
      <c r="RJ11" s="30" t="e">
        <f ca="1"/>
        <v>#VALUE!</v>
      </c>
      <c r="RK11" s="13"/>
      <c r="RL11" s="30">
        <f ca="1"/>
        <v>0</v>
      </c>
      <c r="RN11" s="27">
        <f ca="1"/>
        <v>9</v>
      </c>
      <c r="RO11" s="30" t="str">
        <f ca="1"/>
        <v>Onwa</v>
      </c>
      <c r="RP11" s="30">
        <f ca="1"/>
        <v>0</v>
      </c>
      <c r="RQ11" s="13"/>
      <c r="RR11" s="13"/>
      <c r="RT11" s="29">
        <f ca="1"/>
        <v>9</v>
      </c>
      <c r="RU11" s="30" t="str">
        <f ca="1"/>
        <v>Onwa</v>
      </c>
      <c r="RV11" s="30" t="e" vm="16">
        <f ca="1"/>
        <v>#VALUE!</v>
      </c>
      <c r="RW11" s="30" t="e">
        <f ca="1"/>
        <v>#VALUE!</v>
      </c>
      <c r="RX11" s="13"/>
      <c r="RY11" s="30">
        <f ca="1"/>
        <v>0</v>
      </c>
      <c r="SA11" s="27">
        <f ca="1"/>
        <v>9</v>
      </c>
      <c r="SB11" s="30" t="str">
        <f ca="1"/>
        <v>Onwa</v>
      </c>
      <c r="SC11" s="30">
        <f ca="1"/>
        <v>0</v>
      </c>
      <c r="SD11" s="13"/>
      <c r="SE11" s="13"/>
      <c r="SG11" s="29">
        <f ca="1"/>
        <v>9</v>
      </c>
      <c r="SH11" s="30" t="str">
        <f ca="1"/>
        <v>Onwa</v>
      </c>
      <c r="SI11" s="30" t="e" vm="16">
        <f ca="1"/>
        <v>#VALUE!</v>
      </c>
      <c r="SJ11" s="30" t="e">
        <f ca="1"/>
        <v>#VALUE!</v>
      </c>
      <c r="SK11" s="13"/>
      <c r="SL11" s="30">
        <f ca="1"/>
        <v>0</v>
      </c>
      <c r="SN11" s="27">
        <f ca="1"/>
        <v>9</v>
      </c>
      <c r="SO11" s="30" t="str">
        <f ca="1"/>
        <v>Onwa</v>
      </c>
      <c r="SP11" s="30">
        <f ca="1"/>
        <v>0</v>
      </c>
      <c r="SQ11" s="13"/>
      <c r="SR11" s="13"/>
      <c r="ST11" s="29">
        <f ca="1"/>
        <v>9</v>
      </c>
      <c r="SU11" s="30" t="str">
        <f ca="1"/>
        <v>Onwa</v>
      </c>
      <c r="SV11" s="30" t="e" vm="16">
        <f ca="1"/>
        <v>#VALUE!</v>
      </c>
      <c r="SW11" s="30" t="e">
        <f ca="1"/>
        <v>#VALUE!</v>
      </c>
      <c r="SX11" s="13"/>
      <c r="SY11" s="30">
        <f ca="1"/>
        <v>0</v>
      </c>
      <c r="TA11" s="29">
        <f ca="1"/>
        <v>9</v>
      </c>
      <c r="TB11" s="30" t="str">
        <f ca="1"/>
        <v>Onwa</v>
      </c>
      <c r="TC11" s="30" t="e" vm="16">
        <f ca="1"/>
        <v>#VALUE!</v>
      </c>
      <c r="TD11" s="30">
        <f ca="1"/>
        <v>420</v>
      </c>
    </row>
    <row r="12" spans="1:524" ht="20.100000000000001" customHeight="1">
      <c r="A12" s="27">
        <f ca="1"/>
        <v>10</v>
      </c>
      <c r="B12" s="30" t="str">
        <f ca="1"/>
        <v>Mike</v>
      </c>
      <c r="C12" s="30">
        <v>1</v>
      </c>
      <c r="D12" s="13"/>
      <c r="E12" s="57">
        <v>0</v>
      </c>
      <c r="G12" s="29">
        <f ca="1"/>
        <v>10</v>
      </c>
      <c r="H12" s="30" t="str">
        <f ca="1"/>
        <v>Mike</v>
      </c>
      <c r="I12" s="30" t="e" vm="12">
        <f ca="1"/>
        <v>#VALUE!</v>
      </c>
      <c r="J12" s="55" t="e">
        <f ca="1"/>
        <v>#VALUE!</v>
      </c>
      <c r="K12" s="13"/>
      <c r="L12" s="30">
        <f ca="1"/>
        <v>1</v>
      </c>
      <c r="N12" s="27">
        <f ca="1"/>
        <v>10</v>
      </c>
      <c r="O12" s="30" t="str">
        <f ca="1"/>
        <v>Mike</v>
      </c>
      <c r="P12" s="30">
        <f ca="1"/>
        <v>1</v>
      </c>
      <c r="Q12" s="13"/>
      <c r="R12" s="13">
        <v>0</v>
      </c>
      <c r="T12" s="29">
        <f ca="1"/>
        <v>10</v>
      </c>
      <c r="U12" s="30" t="str">
        <f ca="1"/>
        <v>Mike</v>
      </c>
      <c r="V12" s="30" t="e" vm="12">
        <f ca="1"/>
        <v>#VALUE!</v>
      </c>
      <c r="W12" s="30" t="e">
        <f ca="1"/>
        <v>#VALUE!</v>
      </c>
      <c r="X12" s="13"/>
      <c r="Y12" s="30">
        <f ca="1"/>
        <v>1</v>
      </c>
      <c r="AA12" s="27">
        <f ca="1"/>
        <v>10</v>
      </c>
      <c r="AB12" s="30" t="str">
        <f ca="1"/>
        <v>Mike</v>
      </c>
      <c r="AC12" s="30">
        <f ca="1"/>
        <v>1</v>
      </c>
      <c r="AD12" s="13"/>
      <c r="AE12" s="13">
        <v>0</v>
      </c>
      <c r="AG12" s="29">
        <f ca="1"/>
        <v>10</v>
      </c>
      <c r="AH12" s="30" t="str">
        <f ca="1"/>
        <v>Mike</v>
      </c>
      <c r="AI12" s="30" t="e" vm="12">
        <f ca="1"/>
        <v>#VALUE!</v>
      </c>
      <c r="AJ12" s="30" t="e">
        <f ca="1"/>
        <v>#VALUE!</v>
      </c>
      <c r="AK12" s="13"/>
      <c r="AL12" s="30">
        <f ca="1"/>
        <v>1</v>
      </c>
      <c r="AN12" s="27">
        <f ca="1"/>
        <v>10</v>
      </c>
      <c r="AO12" s="30" t="str">
        <f ca="1"/>
        <v>Mike</v>
      </c>
      <c r="AP12" s="30">
        <f ca="1"/>
        <v>1</v>
      </c>
      <c r="AQ12" s="13"/>
      <c r="AR12" s="13">
        <v>0</v>
      </c>
      <c r="AT12" s="29">
        <f ca="1"/>
        <v>10</v>
      </c>
      <c r="AU12" s="30" t="str">
        <f ca="1"/>
        <v>Mike</v>
      </c>
      <c r="AV12" s="30" t="e" vm="12">
        <f ca="1"/>
        <v>#VALUE!</v>
      </c>
      <c r="AW12" s="30" t="e">
        <f ca="1"/>
        <v>#VALUE!</v>
      </c>
      <c r="AX12" s="13"/>
      <c r="AY12" s="30">
        <f ca="1"/>
        <v>1</v>
      </c>
      <c r="BA12" s="27">
        <f ca="1"/>
        <v>10</v>
      </c>
      <c r="BB12" s="30" t="str">
        <f ca="1"/>
        <v>Mike</v>
      </c>
      <c r="BC12" s="30">
        <f ca="1"/>
        <v>1</v>
      </c>
      <c r="BD12" s="13"/>
      <c r="BE12" s="13">
        <v>0</v>
      </c>
      <c r="BG12" s="29">
        <f ca="1"/>
        <v>10</v>
      </c>
      <c r="BH12" s="30" t="str">
        <f ca="1"/>
        <v>Mike</v>
      </c>
      <c r="BI12" s="30" t="e" vm="12">
        <f ca="1"/>
        <v>#VALUE!</v>
      </c>
      <c r="BJ12" s="30" t="e">
        <f ca="1"/>
        <v>#VALUE!</v>
      </c>
      <c r="BK12" s="13"/>
      <c r="BL12" s="30">
        <f ca="1"/>
        <v>1</v>
      </c>
      <c r="BN12" s="27">
        <f ca="1"/>
        <v>10</v>
      </c>
      <c r="BO12" s="30" t="str">
        <f ca="1"/>
        <v>Mike</v>
      </c>
      <c r="BP12" s="30">
        <f ca="1"/>
        <v>1</v>
      </c>
      <c r="BQ12" s="13"/>
      <c r="BR12" s="13">
        <v>0</v>
      </c>
      <c r="BS12" s="1"/>
      <c r="BT12" s="29">
        <f ca="1"/>
        <v>10</v>
      </c>
      <c r="BU12" s="30" t="str">
        <f ca="1"/>
        <v>Mike</v>
      </c>
      <c r="BV12" s="30" t="e" vm="12">
        <f ca="1"/>
        <v>#VALUE!</v>
      </c>
      <c r="BW12" s="30" t="e">
        <f ca="1"/>
        <v>#VALUE!</v>
      </c>
      <c r="BX12" s="13"/>
      <c r="BY12" s="30">
        <f ca="1"/>
        <v>1</v>
      </c>
      <c r="CA12" s="27">
        <f ca="1"/>
        <v>10</v>
      </c>
      <c r="CB12" s="30" t="str">
        <f ca="1"/>
        <v>Mike</v>
      </c>
      <c r="CC12" s="30">
        <f ca="1"/>
        <v>1</v>
      </c>
      <c r="CD12" s="13"/>
      <c r="CE12" s="13">
        <v>0</v>
      </c>
      <c r="CG12" s="29">
        <f ca="1"/>
        <v>10</v>
      </c>
      <c r="CH12" s="30" t="str">
        <f ca="1"/>
        <v>Mike</v>
      </c>
      <c r="CI12" s="30" t="e" vm="12">
        <f ca="1"/>
        <v>#VALUE!</v>
      </c>
      <c r="CJ12" s="30" t="e">
        <f ca="1"/>
        <v>#VALUE!</v>
      </c>
      <c r="CK12" s="13"/>
      <c r="CL12" s="30">
        <f ca="1"/>
        <v>1</v>
      </c>
      <c r="CN12" s="27">
        <f ca="1"/>
        <v>10</v>
      </c>
      <c r="CO12" s="30" t="str">
        <f ca="1"/>
        <v>Mike</v>
      </c>
      <c r="CP12" s="30">
        <f ca="1"/>
        <v>1</v>
      </c>
      <c r="CQ12" s="13"/>
      <c r="CR12" s="13">
        <v>0</v>
      </c>
      <c r="CT12" s="29">
        <f ca="1"/>
        <v>10</v>
      </c>
      <c r="CU12" s="30" t="str">
        <f ca="1"/>
        <v>Mike</v>
      </c>
      <c r="CV12" s="30" t="e" vm="12">
        <f ca="1"/>
        <v>#VALUE!</v>
      </c>
      <c r="CW12" s="30" t="e">
        <f ca="1"/>
        <v>#VALUE!</v>
      </c>
      <c r="CX12" s="13"/>
      <c r="CY12" s="30">
        <f ca="1"/>
        <v>1</v>
      </c>
      <c r="DA12" s="27">
        <f ca="1"/>
        <v>10</v>
      </c>
      <c r="DB12" s="30" t="str">
        <f ca="1"/>
        <v>Mike</v>
      </c>
      <c r="DC12" s="30">
        <f ca="1"/>
        <v>1</v>
      </c>
      <c r="DD12" s="13">
        <v>2</v>
      </c>
      <c r="DE12" s="13">
        <v>5671</v>
      </c>
      <c r="DG12" s="29">
        <f ca="1"/>
        <v>10</v>
      </c>
      <c r="DH12" s="30" t="str">
        <f ca="1"/>
        <v>Geo</v>
      </c>
      <c r="DI12" s="30" t="e" vm="15">
        <f ca="1"/>
        <v>#VALUE!</v>
      </c>
      <c r="DJ12" s="30" t="e">
        <f ca="1"/>
        <v>#VALUE!</v>
      </c>
      <c r="DK12" s="13">
        <v>1</v>
      </c>
      <c r="DL12" s="30">
        <f ca="1"/>
        <v>2</v>
      </c>
      <c r="DN12" s="27">
        <f ca="1"/>
        <v>10</v>
      </c>
      <c r="DO12" s="30" t="str">
        <f ca="1"/>
        <v>Geo</v>
      </c>
      <c r="DP12" s="30">
        <f ca="1"/>
        <v>2</v>
      </c>
      <c r="DQ12" s="13"/>
      <c r="DR12" s="13">
        <v>13548</v>
      </c>
      <c r="DT12" s="29">
        <f ca="1"/>
        <v>10</v>
      </c>
      <c r="DU12" s="30" t="str">
        <f ca="1"/>
        <v>Leyla</v>
      </c>
      <c r="DV12" s="30" t="e" vm="13">
        <f ca="1"/>
        <v>#VALUE!</v>
      </c>
      <c r="DW12" s="30" t="e">
        <f ca="1"/>
        <v>#VALUE!</v>
      </c>
      <c r="DX12" s="13">
        <v>1</v>
      </c>
      <c r="DY12" s="30">
        <f ca="1"/>
        <v>2</v>
      </c>
      <c r="EA12" s="27">
        <f ca="1"/>
        <v>10</v>
      </c>
      <c r="EB12" s="30" t="str">
        <f ca="1"/>
        <v>Mike</v>
      </c>
      <c r="EC12" s="30">
        <f ca="1"/>
        <v>2</v>
      </c>
      <c r="ED12" s="13"/>
      <c r="EE12" s="13">
        <v>10395</v>
      </c>
      <c r="EG12" s="29">
        <f ca="1"/>
        <v>10</v>
      </c>
      <c r="EH12" s="30" t="str">
        <f ca="1"/>
        <v>Sumz</v>
      </c>
      <c r="EI12" s="30" t="e" vm="18">
        <f ca="1"/>
        <v>#VALUE!</v>
      </c>
      <c r="EJ12" s="30" t="e">
        <f ca="1"/>
        <v>#VALUE!</v>
      </c>
      <c r="EK12" s="13">
        <v>1</v>
      </c>
      <c r="EL12" s="30">
        <f ca="1"/>
        <v>0</v>
      </c>
      <c r="EN12" s="27">
        <f ca="1"/>
        <v>10</v>
      </c>
      <c r="EO12" s="30" t="str">
        <f ca="1"/>
        <v>Geo</v>
      </c>
      <c r="EP12" s="30">
        <f ca="1"/>
        <v>1</v>
      </c>
      <c r="EQ12" s="13"/>
      <c r="ER12" s="13">
        <v>13209</v>
      </c>
      <c r="ET12" s="29">
        <f ca="1"/>
        <v>10</v>
      </c>
      <c r="EU12" s="30" t="str">
        <f ca="1"/>
        <v>Leyla</v>
      </c>
      <c r="EV12" s="30" t="e" vm="13">
        <f ca="1"/>
        <v>#VALUE!</v>
      </c>
      <c r="EW12" s="30" t="e">
        <f ca="1"/>
        <v>#VALUE!</v>
      </c>
      <c r="EX12" s="13">
        <v>1</v>
      </c>
      <c r="EY12" s="30">
        <f ca="1"/>
        <v>0</v>
      </c>
      <c r="FA12" s="27">
        <f ca="1"/>
        <v>10</v>
      </c>
      <c r="FB12" s="30" t="str">
        <f ca="1"/>
        <v>Leyla</v>
      </c>
      <c r="FC12" s="30">
        <f ca="1"/>
        <v>0</v>
      </c>
      <c r="FD12" s="13"/>
      <c r="FE12" s="13"/>
      <c r="FG12" s="29">
        <f ca="1"/>
        <v>10</v>
      </c>
      <c r="FH12" s="30" t="str">
        <f ca="1"/>
        <v>Leyla</v>
      </c>
      <c r="FI12" s="30" t="e" vm="13">
        <f ca="1"/>
        <v>#VALUE!</v>
      </c>
      <c r="FJ12" s="30" t="e">
        <f ca="1"/>
        <v>#VALUE!</v>
      </c>
      <c r="FK12" s="13"/>
      <c r="FL12" s="30">
        <f ca="1"/>
        <v>0</v>
      </c>
      <c r="FN12" s="27">
        <f ca="1"/>
        <v>10</v>
      </c>
      <c r="FO12" s="30" t="str">
        <f ca="1"/>
        <v>Leyla</v>
      </c>
      <c r="FP12" s="30">
        <f ca="1"/>
        <v>0</v>
      </c>
      <c r="FQ12" s="13"/>
      <c r="FR12" s="13"/>
      <c r="FT12" s="29">
        <f ca="1"/>
        <v>10</v>
      </c>
      <c r="FU12" s="30" t="str">
        <f ca="1"/>
        <v>Leyla</v>
      </c>
      <c r="FV12" s="30" t="e" vm="13">
        <f ca="1"/>
        <v>#VALUE!</v>
      </c>
      <c r="FW12" s="30" t="e">
        <f ca="1"/>
        <v>#VALUE!</v>
      </c>
      <c r="FX12" s="13"/>
      <c r="FY12" s="30">
        <f ca="1"/>
        <v>0</v>
      </c>
      <c r="GA12" s="27">
        <f ca="1"/>
        <v>10</v>
      </c>
      <c r="GB12" s="30" t="str">
        <f ca="1"/>
        <v>Leyla</v>
      </c>
      <c r="GC12" s="30">
        <f ca="1"/>
        <v>0</v>
      </c>
      <c r="GD12" s="13"/>
      <c r="GE12" s="13"/>
      <c r="GG12" s="29">
        <f ca="1"/>
        <v>10</v>
      </c>
      <c r="GH12" s="30" t="str">
        <f ca="1"/>
        <v>Leyla</v>
      </c>
      <c r="GI12" s="30" t="e" vm="13">
        <f ca="1"/>
        <v>#VALUE!</v>
      </c>
      <c r="GJ12" s="30" t="e">
        <f ca="1"/>
        <v>#VALUE!</v>
      </c>
      <c r="GK12" s="13"/>
      <c r="GL12" s="30">
        <f ca="1"/>
        <v>0</v>
      </c>
      <c r="GN12" s="27">
        <f ca="1"/>
        <v>10</v>
      </c>
      <c r="GO12" s="30" t="str">
        <f ca="1"/>
        <v>Leyla</v>
      </c>
      <c r="GP12" s="30">
        <f ca="1"/>
        <v>0</v>
      </c>
      <c r="GQ12" s="13"/>
      <c r="GR12" s="13"/>
      <c r="GT12" s="29">
        <f ca="1"/>
        <v>10</v>
      </c>
      <c r="GU12" s="30" t="str">
        <f ca="1"/>
        <v>Leyla</v>
      </c>
      <c r="GV12" s="30" t="e" vm="13">
        <f ca="1"/>
        <v>#VALUE!</v>
      </c>
      <c r="GW12" s="30" t="e">
        <f ca="1"/>
        <v>#VALUE!</v>
      </c>
      <c r="GX12" s="13"/>
      <c r="GY12" s="30">
        <f ca="1"/>
        <v>0</v>
      </c>
      <c r="HA12" s="27">
        <f ca="1"/>
        <v>10</v>
      </c>
      <c r="HB12" s="30" t="str">
        <f ca="1"/>
        <v>Leyla</v>
      </c>
      <c r="HC12" s="30">
        <f ca="1"/>
        <v>0</v>
      </c>
      <c r="HD12" s="13"/>
      <c r="HE12" s="13"/>
      <c r="HF12" s="1"/>
      <c r="HG12" s="29">
        <f ca="1"/>
        <v>10</v>
      </c>
      <c r="HH12" s="30" t="str">
        <f ca="1"/>
        <v>Leyla</v>
      </c>
      <c r="HI12" s="30" t="e" vm="13">
        <f ca="1"/>
        <v>#VALUE!</v>
      </c>
      <c r="HJ12" s="30" t="e">
        <f ca="1"/>
        <v>#VALUE!</v>
      </c>
      <c r="HK12" s="13"/>
      <c r="HL12" s="30">
        <f ca="1"/>
        <v>0</v>
      </c>
      <c r="HN12" s="27">
        <f ca="1"/>
        <v>10</v>
      </c>
      <c r="HO12" s="30" t="str">
        <f ca="1"/>
        <v>Leyla</v>
      </c>
      <c r="HP12" s="30">
        <f ca="1"/>
        <v>0</v>
      </c>
      <c r="HQ12" s="13"/>
      <c r="HR12" s="13"/>
      <c r="HT12" s="29">
        <f ca="1"/>
        <v>10</v>
      </c>
      <c r="HU12" s="30" t="str">
        <f ca="1"/>
        <v>Leyla</v>
      </c>
      <c r="HV12" s="30" t="e" vm="13">
        <f ca="1"/>
        <v>#VALUE!</v>
      </c>
      <c r="HW12" s="30" t="e">
        <f ca="1"/>
        <v>#VALUE!</v>
      </c>
      <c r="HX12" s="13"/>
      <c r="HY12" s="30">
        <f ca="1"/>
        <v>0</v>
      </c>
      <c r="IA12" s="27">
        <f ca="1"/>
        <v>10</v>
      </c>
      <c r="IB12" s="30" t="str">
        <f ca="1"/>
        <v>Leyla</v>
      </c>
      <c r="IC12" s="30">
        <f ca="1"/>
        <v>0</v>
      </c>
      <c r="ID12" s="13"/>
      <c r="IE12" s="13"/>
      <c r="IG12" s="29">
        <f ca="1"/>
        <v>10</v>
      </c>
      <c r="IH12" s="30" t="str">
        <f ca="1"/>
        <v>Leyla</v>
      </c>
      <c r="II12" s="30" t="e" vm="13">
        <f ca="1"/>
        <v>#VALUE!</v>
      </c>
      <c r="IJ12" s="30" t="e">
        <f ca="1"/>
        <v>#VALUE!</v>
      </c>
      <c r="IK12" s="13"/>
      <c r="IL12" s="30">
        <f ca="1"/>
        <v>0</v>
      </c>
      <c r="IN12" s="27">
        <f ca="1"/>
        <v>10</v>
      </c>
      <c r="IO12" s="30" t="str">
        <f ca="1"/>
        <v>Leyla</v>
      </c>
      <c r="IP12" s="30">
        <f ca="1"/>
        <v>0</v>
      </c>
      <c r="IQ12" s="13"/>
      <c r="IR12" s="13"/>
      <c r="IT12" s="29">
        <f ca="1"/>
        <v>10</v>
      </c>
      <c r="IU12" s="30" t="str">
        <f ca="1"/>
        <v>Leyla</v>
      </c>
      <c r="IV12" s="30" t="e" vm="13">
        <f ca="1"/>
        <v>#VALUE!</v>
      </c>
      <c r="IW12" s="30" t="e">
        <f ca="1"/>
        <v>#VALUE!</v>
      </c>
      <c r="IX12" s="13"/>
      <c r="IY12" s="30">
        <f ca="1"/>
        <v>0</v>
      </c>
      <c r="JA12" s="27">
        <f ca="1"/>
        <v>10</v>
      </c>
      <c r="JB12" s="30" t="str">
        <f ca="1"/>
        <v>Leyla</v>
      </c>
      <c r="JC12" s="30">
        <f ca="1"/>
        <v>0</v>
      </c>
      <c r="JD12" s="13"/>
      <c r="JE12" s="13"/>
      <c r="JG12" s="29">
        <f ca="1"/>
        <v>10</v>
      </c>
      <c r="JH12" s="30" t="str">
        <f ca="1"/>
        <v>Leyla</v>
      </c>
      <c r="JI12" s="30" t="e" vm="13">
        <f ca="1"/>
        <v>#VALUE!</v>
      </c>
      <c r="JJ12" s="30" t="e">
        <f ca="1"/>
        <v>#VALUE!</v>
      </c>
      <c r="JK12" s="13"/>
      <c r="JL12" s="30">
        <f ca="1"/>
        <v>0</v>
      </c>
      <c r="JN12" s="27">
        <f ca="1"/>
        <v>10</v>
      </c>
      <c r="JO12" s="30" t="str">
        <f ca="1"/>
        <v>Leyla</v>
      </c>
      <c r="JP12" s="30">
        <f ca="1"/>
        <v>0</v>
      </c>
      <c r="JQ12" s="13"/>
      <c r="JR12" s="13"/>
      <c r="JT12" s="29">
        <f ca="1"/>
        <v>10</v>
      </c>
      <c r="JU12" s="30" t="str">
        <f ca="1"/>
        <v>Leyla</v>
      </c>
      <c r="JV12" s="30" t="e" vm="13">
        <f ca="1"/>
        <v>#VALUE!</v>
      </c>
      <c r="JW12" s="30" t="e">
        <f ca="1"/>
        <v>#VALUE!</v>
      </c>
      <c r="JX12" s="13"/>
      <c r="JY12" s="30">
        <f ca="1"/>
        <v>0</v>
      </c>
      <c r="KA12" s="27">
        <f ca="1"/>
        <v>10</v>
      </c>
      <c r="KB12" s="30" t="str">
        <f ca="1"/>
        <v>Leyla</v>
      </c>
      <c r="KC12" s="30">
        <f ca="1"/>
        <v>0</v>
      </c>
      <c r="KD12" s="13"/>
      <c r="KE12" s="13"/>
      <c r="KG12" s="29">
        <f ca="1"/>
        <v>10</v>
      </c>
      <c r="KH12" s="30" t="str">
        <f ca="1"/>
        <v>Leyla</v>
      </c>
      <c r="KI12" s="30" t="e" vm="13">
        <f ca="1"/>
        <v>#VALUE!</v>
      </c>
      <c r="KJ12" s="30" t="e">
        <f ca="1"/>
        <v>#VALUE!</v>
      </c>
      <c r="KK12" s="13"/>
      <c r="KL12" s="30">
        <f ca="1"/>
        <v>0</v>
      </c>
      <c r="KN12" s="27">
        <f ca="1"/>
        <v>10</v>
      </c>
      <c r="KO12" s="30" t="str">
        <f ca="1"/>
        <v>Leyla</v>
      </c>
      <c r="KP12" s="30">
        <f ca="1"/>
        <v>0</v>
      </c>
      <c r="KQ12" s="13"/>
      <c r="KR12" s="13"/>
      <c r="KT12" s="29">
        <f ca="1"/>
        <v>10</v>
      </c>
      <c r="KU12" s="30" t="str">
        <f ca="1"/>
        <v>Leyla</v>
      </c>
      <c r="KV12" s="30" t="e" vm="13">
        <f ca="1"/>
        <v>#VALUE!</v>
      </c>
      <c r="KW12" s="30" t="e">
        <f ca="1"/>
        <v>#VALUE!</v>
      </c>
      <c r="KX12" s="13"/>
      <c r="KY12" s="30">
        <f ca="1"/>
        <v>0</v>
      </c>
      <c r="LA12" s="27">
        <f ca="1"/>
        <v>10</v>
      </c>
      <c r="LB12" s="30" t="str">
        <f ca="1"/>
        <v>Leyla</v>
      </c>
      <c r="LC12" s="30">
        <f ca="1"/>
        <v>0</v>
      </c>
      <c r="LD12" s="13"/>
      <c r="LE12" s="13"/>
      <c r="LG12" s="29">
        <f ca="1"/>
        <v>10</v>
      </c>
      <c r="LH12" s="30" t="str">
        <f ca="1"/>
        <v>Leyla</v>
      </c>
      <c r="LI12" s="30" t="e" vm="13">
        <f ca="1"/>
        <v>#VALUE!</v>
      </c>
      <c r="LJ12" s="30" t="e">
        <f ca="1"/>
        <v>#VALUE!</v>
      </c>
      <c r="LK12" s="13"/>
      <c r="LL12" s="30">
        <f ca="1"/>
        <v>0</v>
      </c>
      <c r="LN12" s="27">
        <f ca="1"/>
        <v>10</v>
      </c>
      <c r="LO12" s="30" t="str">
        <f ca="1"/>
        <v>Leyla</v>
      </c>
      <c r="LP12" s="30">
        <f ca="1"/>
        <v>0</v>
      </c>
      <c r="LQ12" s="13"/>
      <c r="LR12" s="13"/>
      <c r="LT12" s="29">
        <f ca="1"/>
        <v>10</v>
      </c>
      <c r="LU12" s="30" t="str">
        <f ca="1"/>
        <v>Leyla</v>
      </c>
      <c r="LV12" s="30" t="e" vm="13">
        <f ca="1"/>
        <v>#VALUE!</v>
      </c>
      <c r="LW12" s="30" t="e">
        <f ca="1"/>
        <v>#VALUE!</v>
      </c>
      <c r="LX12" s="13"/>
      <c r="LY12" s="30">
        <f ca="1"/>
        <v>0</v>
      </c>
      <c r="MA12" s="27">
        <f ca="1"/>
        <v>10</v>
      </c>
      <c r="MB12" s="30" t="str">
        <f ca="1"/>
        <v>Leyla</v>
      </c>
      <c r="MC12" s="30">
        <f ca="1"/>
        <v>0</v>
      </c>
      <c r="MD12" s="13"/>
      <c r="ME12" s="13"/>
      <c r="MG12" s="29">
        <f ca="1"/>
        <v>10</v>
      </c>
      <c r="MH12" s="30" t="str">
        <f ca="1"/>
        <v>Leyla</v>
      </c>
      <c r="MI12" s="30" t="e" vm="13">
        <f ca="1"/>
        <v>#VALUE!</v>
      </c>
      <c r="MJ12" s="30" t="e">
        <f ca="1"/>
        <v>#VALUE!</v>
      </c>
      <c r="MK12" s="13"/>
      <c r="ML12" s="30">
        <f ca="1"/>
        <v>0</v>
      </c>
      <c r="MN12" s="27">
        <f ca="1"/>
        <v>10</v>
      </c>
      <c r="MO12" s="30" t="str">
        <f ca="1"/>
        <v>Leyla</v>
      </c>
      <c r="MP12" s="30">
        <f ca="1"/>
        <v>0</v>
      </c>
      <c r="MQ12" s="13"/>
      <c r="MR12" s="13"/>
      <c r="MS12" s="1"/>
      <c r="MT12" s="29">
        <f ca="1"/>
        <v>10</v>
      </c>
      <c r="MU12" s="30" t="str">
        <f ca="1"/>
        <v>Leyla</v>
      </c>
      <c r="MV12" s="30" t="e" vm="13">
        <f ca="1"/>
        <v>#VALUE!</v>
      </c>
      <c r="MW12" s="30" t="e">
        <f ca="1"/>
        <v>#VALUE!</v>
      </c>
      <c r="MX12" s="13"/>
      <c r="MY12" s="30">
        <f ca="1"/>
        <v>0</v>
      </c>
      <c r="NA12" s="27">
        <f ca="1"/>
        <v>10</v>
      </c>
      <c r="NB12" s="30" t="str">
        <f ca="1"/>
        <v>Leyla</v>
      </c>
      <c r="NC12" s="30">
        <f ca="1"/>
        <v>0</v>
      </c>
      <c r="ND12" s="13"/>
      <c r="NE12" s="13"/>
      <c r="NG12" s="29">
        <f ca="1"/>
        <v>10</v>
      </c>
      <c r="NH12" s="30" t="str">
        <f ca="1"/>
        <v>Leyla</v>
      </c>
      <c r="NI12" s="30" t="e" vm="13">
        <f ca="1"/>
        <v>#VALUE!</v>
      </c>
      <c r="NJ12" s="30" t="e">
        <f ca="1"/>
        <v>#VALUE!</v>
      </c>
      <c r="NK12" s="13"/>
      <c r="NL12" s="30">
        <f ca="1"/>
        <v>0</v>
      </c>
      <c r="NN12" s="27">
        <f ca="1"/>
        <v>10</v>
      </c>
      <c r="NO12" s="30" t="str">
        <f ca="1"/>
        <v>Leyla</v>
      </c>
      <c r="NP12" s="30">
        <f ca="1"/>
        <v>0</v>
      </c>
      <c r="NQ12" s="13"/>
      <c r="NR12" s="13"/>
      <c r="NT12" s="29">
        <f ca="1"/>
        <v>10</v>
      </c>
      <c r="NU12" s="30" t="str">
        <f ca="1"/>
        <v>Leyla</v>
      </c>
      <c r="NV12" s="30" t="e" vm="13">
        <f ca="1"/>
        <v>#VALUE!</v>
      </c>
      <c r="NW12" s="30" t="e">
        <f ca="1"/>
        <v>#VALUE!</v>
      </c>
      <c r="NX12" s="13"/>
      <c r="NY12" s="30">
        <f ca="1"/>
        <v>0</v>
      </c>
      <c r="OA12" s="27">
        <f ca="1"/>
        <v>10</v>
      </c>
      <c r="OB12" s="30" t="str">
        <f ca="1"/>
        <v>Leyla</v>
      </c>
      <c r="OC12" s="30">
        <f ca="1"/>
        <v>0</v>
      </c>
      <c r="OD12" s="13"/>
      <c r="OE12" s="13"/>
      <c r="OG12" s="29">
        <f ca="1"/>
        <v>10</v>
      </c>
      <c r="OH12" s="30" t="str">
        <f ca="1"/>
        <v>Leyla</v>
      </c>
      <c r="OI12" s="30" t="e" vm="13">
        <f ca="1"/>
        <v>#VALUE!</v>
      </c>
      <c r="OJ12" s="30" t="e">
        <f ca="1"/>
        <v>#VALUE!</v>
      </c>
      <c r="OK12" s="13"/>
      <c r="OL12" s="30">
        <f ca="1"/>
        <v>0</v>
      </c>
      <c r="ON12" s="27">
        <f ca="1"/>
        <v>10</v>
      </c>
      <c r="OO12" s="30" t="str">
        <f ca="1"/>
        <v>Leyla</v>
      </c>
      <c r="OP12" s="30">
        <f ca="1"/>
        <v>0</v>
      </c>
      <c r="OQ12" s="13"/>
      <c r="OR12" s="13"/>
      <c r="OT12" s="29">
        <f ca="1"/>
        <v>10</v>
      </c>
      <c r="OU12" s="30" t="str">
        <f ca="1"/>
        <v>Leyla</v>
      </c>
      <c r="OV12" s="30" t="e" vm="13">
        <f ca="1"/>
        <v>#VALUE!</v>
      </c>
      <c r="OW12" s="30" t="e">
        <f ca="1"/>
        <v>#VALUE!</v>
      </c>
      <c r="OX12" s="13"/>
      <c r="OY12" s="30">
        <f ca="1"/>
        <v>0</v>
      </c>
      <c r="PA12" s="27">
        <f ca="1"/>
        <v>10</v>
      </c>
      <c r="PB12" s="30" t="str">
        <f ca="1"/>
        <v>Leyla</v>
      </c>
      <c r="PC12" s="30">
        <f ca="1"/>
        <v>0</v>
      </c>
      <c r="PD12" s="13"/>
      <c r="PE12" s="13"/>
      <c r="PG12" s="29">
        <f ca="1"/>
        <v>10</v>
      </c>
      <c r="PH12" s="30" t="str">
        <f ca="1"/>
        <v>Leyla</v>
      </c>
      <c r="PI12" s="30" t="e" vm="13">
        <f ca="1"/>
        <v>#VALUE!</v>
      </c>
      <c r="PJ12" s="30" t="e">
        <f ca="1"/>
        <v>#VALUE!</v>
      </c>
      <c r="PK12" s="13"/>
      <c r="PL12" s="30">
        <f ca="1"/>
        <v>0</v>
      </c>
      <c r="PN12" s="27">
        <f ca="1"/>
        <v>10</v>
      </c>
      <c r="PO12" s="30" t="str">
        <f ca="1"/>
        <v>Leyla</v>
      </c>
      <c r="PP12" s="30">
        <f ca="1"/>
        <v>0</v>
      </c>
      <c r="PQ12" s="13"/>
      <c r="PR12" s="13"/>
      <c r="PT12" s="29">
        <f ca="1"/>
        <v>10</v>
      </c>
      <c r="PU12" s="30" t="str">
        <f ca="1"/>
        <v>Leyla</v>
      </c>
      <c r="PV12" s="30" t="e" vm="13">
        <f ca="1"/>
        <v>#VALUE!</v>
      </c>
      <c r="PW12" s="30" t="e">
        <f ca="1"/>
        <v>#VALUE!</v>
      </c>
      <c r="PX12" s="13"/>
      <c r="PY12" s="30">
        <f ca="1"/>
        <v>0</v>
      </c>
      <c r="QA12" s="27">
        <f ca="1"/>
        <v>10</v>
      </c>
      <c r="QB12" s="30" t="str">
        <f ca="1"/>
        <v>Leyla</v>
      </c>
      <c r="QC12" s="30">
        <f ca="1"/>
        <v>0</v>
      </c>
      <c r="QD12" s="13"/>
      <c r="QE12" s="13"/>
      <c r="QG12" s="29">
        <f ca="1"/>
        <v>10</v>
      </c>
      <c r="QH12" s="30" t="str">
        <f ca="1"/>
        <v>Leyla</v>
      </c>
      <c r="QI12" s="30" t="e" vm="13">
        <f ca="1"/>
        <v>#VALUE!</v>
      </c>
      <c r="QJ12" s="30" t="e">
        <f ca="1"/>
        <v>#VALUE!</v>
      </c>
      <c r="QK12" s="13"/>
      <c r="QL12" s="30">
        <f ca="1"/>
        <v>0</v>
      </c>
      <c r="QN12" s="27">
        <f ca="1"/>
        <v>10</v>
      </c>
      <c r="QO12" s="30" t="str">
        <f ca="1"/>
        <v>Leyla</v>
      </c>
      <c r="QP12" s="30">
        <f ca="1"/>
        <v>0</v>
      </c>
      <c r="QQ12" s="13"/>
      <c r="QR12" s="13"/>
      <c r="QT12" s="29">
        <f ca="1"/>
        <v>10</v>
      </c>
      <c r="QU12" s="30" t="str">
        <f ca="1"/>
        <v>Leyla</v>
      </c>
      <c r="QV12" s="30" t="e" vm="13">
        <f ca="1"/>
        <v>#VALUE!</v>
      </c>
      <c r="QW12" s="30" t="e">
        <f ca="1"/>
        <v>#VALUE!</v>
      </c>
      <c r="QX12" s="13"/>
      <c r="QY12" s="30">
        <f ca="1"/>
        <v>0</v>
      </c>
      <c r="RA12" s="27">
        <f ca="1"/>
        <v>10</v>
      </c>
      <c r="RB12" s="30" t="str">
        <f ca="1"/>
        <v>Leyla</v>
      </c>
      <c r="RC12" s="30">
        <f ca="1"/>
        <v>0</v>
      </c>
      <c r="RD12" s="13"/>
      <c r="RE12" s="13"/>
      <c r="RG12" s="29">
        <f ca="1"/>
        <v>10</v>
      </c>
      <c r="RH12" s="30" t="str">
        <f ca="1"/>
        <v>Leyla</v>
      </c>
      <c r="RI12" s="30" t="e" vm="13">
        <f ca="1"/>
        <v>#VALUE!</v>
      </c>
      <c r="RJ12" s="30" t="e">
        <f ca="1"/>
        <v>#VALUE!</v>
      </c>
      <c r="RK12" s="13"/>
      <c r="RL12" s="30">
        <f ca="1"/>
        <v>0</v>
      </c>
      <c r="RN12" s="27">
        <f ca="1"/>
        <v>10</v>
      </c>
      <c r="RO12" s="30" t="str">
        <f ca="1"/>
        <v>Leyla</v>
      </c>
      <c r="RP12" s="30">
        <f ca="1"/>
        <v>0</v>
      </c>
      <c r="RQ12" s="13"/>
      <c r="RR12" s="13"/>
      <c r="RT12" s="29">
        <f ca="1"/>
        <v>10</v>
      </c>
      <c r="RU12" s="30" t="str">
        <f ca="1"/>
        <v>Leyla</v>
      </c>
      <c r="RV12" s="30" t="e" vm="13">
        <f ca="1"/>
        <v>#VALUE!</v>
      </c>
      <c r="RW12" s="30" t="e">
        <f ca="1"/>
        <v>#VALUE!</v>
      </c>
      <c r="RX12" s="13"/>
      <c r="RY12" s="30">
        <f ca="1"/>
        <v>0</v>
      </c>
      <c r="SA12" s="27">
        <f ca="1"/>
        <v>10</v>
      </c>
      <c r="SB12" s="30" t="str">
        <f ca="1"/>
        <v>Leyla</v>
      </c>
      <c r="SC12" s="30">
        <f ca="1"/>
        <v>0</v>
      </c>
      <c r="SD12" s="13"/>
      <c r="SE12" s="13"/>
      <c r="SG12" s="29">
        <f ca="1"/>
        <v>10</v>
      </c>
      <c r="SH12" s="30" t="str">
        <f ca="1"/>
        <v>Leyla</v>
      </c>
      <c r="SI12" s="30" t="e" vm="13">
        <f ca="1"/>
        <v>#VALUE!</v>
      </c>
      <c r="SJ12" s="30" t="e">
        <f ca="1"/>
        <v>#VALUE!</v>
      </c>
      <c r="SK12" s="13"/>
      <c r="SL12" s="30">
        <f ca="1"/>
        <v>0</v>
      </c>
      <c r="SN12" s="27">
        <f ca="1"/>
        <v>10</v>
      </c>
      <c r="SO12" s="30" t="str">
        <f ca="1"/>
        <v>Leyla</v>
      </c>
      <c r="SP12" s="30">
        <f ca="1"/>
        <v>0</v>
      </c>
      <c r="SQ12" s="13"/>
      <c r="SR12" s="13"/>
      <c r="ST12" s="29">
        <f ca="1"/>
        <v>10</v>
      </c>
      <c r="SU12" s="30" t="str">
        <f ca="1"/>
        <v>Leyla</v>
      </c>
      <c r="SV12" s="30" t="e" vm="13">
        <f ca="1"/>
        <v>#VALUE!</v>
      </c>
      <c r="SW12" s="30" t="e">
        <f ca="1"/>
        <v>#VALUE!</v>
      </c>
      <c r="SX12" s="13"/>
      <c r="SY12" s="30">
        <f ca="1"/>
        <v>0</v>
      </c>
      <c r="TA12" s="29">
        <f ca="1"/>
        <v>10</v>
      </c>
      <c r="TB12" s="30" t="str">
        <f ca="1"/>
        <v>Leyla</v>
      </c>
      <c r="TC12" s="30" t="e" vm="13">
        <f ca="1"/>
        <v>#VALUE!</v>
      </c>
      <c r="TD12" s="30">
        <f ca="1"/>
        <v>400</v>
      </c>
    </row>
    <row r="13" spans="1:524" ht="20.100000000000001" customHeight="1">
      <c r="A13" s="27">
        <f ca="1"/>
        <v>11</v>
      </c>
      <c r="B13" s="30" t="str">
        <f ca="1"/>
        <v>Onwa</v>
      </c>
      <c r="C13" s="30">
        <v>1</v>
      </c>
      <c r="D13" s="13"/>
      <c r="E13" s="57">
        <v>0</v>
      </c>
      <c r="G13" s="29">
        <f ca="1"/>
        <v>11</v>
      </c>
      <c r="H13" s="30" t="str">
        <f ca="1"/>
        <v>Onwa</v>
      </c>
      <c r="I13" s="30" t="e" vm="16">
        <f ca="1"/>
        <v>#VALUE!</v>
      </c>
      <c r="J13" s="55" t="e">
        <f ca="1"/>
        <v>#VALUE!</v>
      </c>
      <c r="K13" s="13"/>
      <c r="L13" s="30">
        <f ca="1"/>
        <v>1</v>
      </c>
      <c r="N13" s="27">
        <f ca="1"/>
        <v>11</v>
      </c>
      <c r="O13" s="30" t="str">
        <f ca="1"/>
        <v>Onwa</v>
      </c>
      <c r="P13" s="30">
        <f ca="1"/>
        <v>1</v>
      </c>
      <c r="Q13" s="13"/>
      <c r="R13" s="13">
        <v>0</v>
      </c>
      <c r="T13" s="29">
        <f ca="1"/>
        <v>11</v>
      </c>
      <c r="U13" s="30" t="str">
        <f ca="1"/>
        <v>Onwa</v>
      </c>
      <c r="V13" s="30" t="e" vm="16">
        <f ca="1"/>
        <v>#VALUE!</v>
      </c>
      <c r="W13" s="30" t="e">
        <f ca="1"/>
        <v>#VALUE!</v>
      </c>
      <c r="X13" s="13"/>
      <c r="Y13" s="30">
        <f ca="1"/>
        <v>1</v>
      </c>
      <c r="AA13" s="27">
        <f ca="1"/>
        <v>11</v>
      </c>
      <c r="AB13" s="30" t="str">
        <f ca="1"/>
        <v>Onwa</v>
      </c>
      <c r="AC13" s="30">
        <f ca="1"/>
        <v>1</v>
      </c>
      <c r="AD13" s="13"/>
      <c r="AE13" s="13">
        <v>0</v>
      </c>
      <c r="AG13" s="29">
        <f ca="1"/>
        <v>11</v>
      </c>
      <c r="AH13" s="30" t="str">
        <f ca="1"/>
        <v>Onwa</v>
      </c>
      <c r="AI13" s="30" t="e" vm="16">
        <f ca="1"/>
        <v>#VALUE!</v>
      </c>
      <c r="AJ13" s="30" t="e">
        <f ca="1"/>
        <v>#VALUE!</v>
      </c>
      <c r="AK13" s="13"/>
      <c r="AL13" s="30">
        <f ca="1"/>
        <v>1</v>
      </c>
      <c r="AN13" s="27">
        <f ca="1"/>
        <v>11</v>
      </c>
      <c r="AO13" s="30" t="str">
        <f ca="1"/>
        <v>Onwa</v>
      </c>
      <c r="AP13" s="30">
        <f ca="1"/>
        <v>1</v>
      </c>
      <c r="AQ13" s="13"/>
      <c r="AR13" s="13">
        <v>0</v>
      </c>
      <c r="AT13" s="29">
        <f ca="1"/>
        <v>11</v>
      </c>
      <c r="AU13" s="30" t="str">
        <f ca="1"/>
        <v>Onwa</v>
      </c>
      <c r="AV13" s="30" t="e" vm="16">
        <f ca="1"/>
        <v>#VALUE!</v>
      </c>
      <c r="AW13" s="30" t="e">
        <f ca="1"/>
        <v>#VALUE!</v>
      </c>
      <c r="AX13" s="13"/>
      <c r="AY13" s="30">
        <f ca="1"/>
        <v>1</v>
      </c>
      <c r="BA13" s="27">
        <f ca="1"/>
        <v>11</v>
      </c>
      <c r="BB13" s="30" t="str">
        <f ca="1"/>
        <v>Onwa</v>
      </c>
      <c r="BC13" s="30">
        <f ca="1"/>
        <v>1</v>
      </c>
      <c r="BD13" s="13"/>
      <c r="BE13" s="13">
        <v>0</v>
      </c>
      <c r="BG13" s="29">
        <f ca="1"/>
        <v>11</v>
      </c>
      <c r="BH13" s="30" t="str">
        <f ca="1"/>
        <v>Onwa</v>
      </c>
      <c r="BI13" s="30" t="e" vm="16">
        <f ca="1"/>
        <v>#VALUE!</v>
      </c>
      <c r="BJ13" s="30" t="e">
        <f ca="1"/>
        <v>#VALUE!</v>
      </c>
      <c r="BK13" s="13"/>
      <c r="BL13" s="30">
        <f ca="1"/>
        <v>1</v>
      </c>
      <c r="BN13" s="27">
        <f ca="1"/>
        <v>11</v>
      </c>
      <c r="BO13" s="30" t="str">
        <f ca="1"/>
        <v>Onwa</v>
      </c>
      <c r="BP13" s="30">
        <f ca="1"/>
        <v>1</v>
      </c>
      <c r="BQ13" s="13"/>
      <c r="BR13" s="13">
        <v>0</v>
      </c>
      <c r="BS13" s="1"/>
      <c r="BT13" s="29">
        <f ca="1"/>
        <v>11</v>
      </c>
      <c r="BU13" s="30" t="str">
        <f ca="1"/>
        <v>Onwa</v>
      </c>
      <c r="BV13" s="30" t="e" vm="16">
        <f ca="1"/>
        <v>#VALUE!</v>
      </c>
      <c r="BW13" s="30" t="e">
        <f ca="1"/>
        <v>#VALUE!</v>
      </c>
      <c r="BX13" s="13"/>
      <c r="BY13" s="30">
        <f ca="1"/>
        <v>1</v>
      </c>
      <c r="CA13" s="27">
        <f ca="1"/>
        <v>11</v>
      </c>
      <c r="CB13" s="30" t="str">
        <f ca="1"/>
        <v>Onwa</v>
      </c>
      <c r="CC13" s="30">
        <f ca="1"/>
        <v>1</v>
      </c>
      <c r="CD13" s="13"/>
      <c r="CE13" s="13">
        <v>0</v>
      </c>
      <c r="CG13" s="29">
        <f ca="1"/>
        <v>11</v>
      </c>
      <c r="CH13" s="30" t="str">
        <f ca="1"/>
        <v>Onwa</v>
      </c>
      <c r="CI13" s="30" t="e" vm="16">
        <f ca="1"/>
        <v>#VALUE!</v>
      </c>
      <c r="CJ13" s="30" t="e">
        <f ca="1"/>
        <v>#VALUE!</v>
      </c>
      <c r="CK13" s="13"/>
      <c r="CL13" s="30">
        <f ca="1"/>
        <v>1</v>
      </c>
      <c r="CN13" s="27">
        <f ca="1"/>
        <v>11</v>
      </c>
      <c r="CO13" s="30" t="str">
        <f ca="1"/>
        <v>Onwa</v>
      </c>
      <c r="CP13" s="30">
        <f ca="1"/>
        <v>1</v>
      </c>
      <c r="CQ13" s="13"/>
      <c r="CR13" s="13">
        <v>0</v>
      </c>
      <c r="CT13" s="29">
        <f ca="1"/>
        <v>11</v>
      </c>
      <c r="CU13" s="30" t="str">
        <f ca="1"/>
        <v>Onwa</v>
      </c>
      <c r="CV13" s="30" t="e" vm="16">
        <f ca="1"/>
        <v>#VALUE!</v>
      </c>
      <c r="CW13" s="30" t="e">
        <f ca="1"/>
        <v>#VALUE!</v>
      </c>
      <c r="CX13" s="13"/>
      <c r="CY13" s="30">
        <f ca="1"/>
        <v>1</v>
      </c>
      <c r="DA13" s="27">
        <f ca="1"/>
        <v>11</v>
      </c>
      <c r="DB13" s="30" t="str">
        <f ca="1"/>
        <v>Onwa</v>
      </c>
      <c r="DC13" s="30">
        <f ca="1"/>
        <v>1</v>
      </c>
      <c r="DD13" s="13">
        <v>2</v>
      </c>
      <c r="DE13" s="13">
        <v>5591</v>
      </c>
      <c r="DG13" s="29">
        <f ca="1"/>
        <v>11</v>
      </c>
      <c r="DH13" s="30" t="str">
        <f ca="1"/>
        <v>Zarkov</v>
      </c>
      <c r="DI13" s="30" t="e" vm="13">
        <f ca="1"/>
        <v>#VALUE!</v>
      </c>
      <c r="DJ13" s="30" t="e">
        <f ca="1"/>
        <v>#VALUE!</v>
      </c>
      <c r="DK13" s="13">
        <v>1</v>
      </c>
      <c r="DL13" s="30">
        <f ca="1"/>
        <v>2</v>
      </c>
      <c r="DN13" s="27">
        <f ca="1"/>
        <v>11</v>
      </c>
      <c r="DO13" s="30" t="str">
        <f ca="1"/>
        <v>Zarkov</v>
      </c>
      <c r="DP13" s="30">
        <f ca="1"/>
        <v>2</v>
      </c>
      <c r="DQ13" s="13"/>
      <c r="DR13" s="13">
        <v>13595</v>
      </c>
      <c r="DT13" s="29">
        <f ca="1"/>
        <v>11</v>
      </c>
      <c r="DU13" s="30" t="str">
        <f ca="1"/>
        <v>Champix</v>
      </c>
      <c r="DV13" s="30" t="e" vm="15">
        <f ca="1"/>
        <v>#VALUE!</v>
      </c>
      <c r="DW13" s="30" t="e">
        <f ca="1"/>
        <v>#VALUE!</v>
      </c>
      <c r="DX13" s="13">
        <v>1</v>
      </c>
      <c r="DY13" s="30">
        <f ca="1"/>
        <v>1</v>
      </c>
      <c r="EA13" s="27">
        <f ca="1"/>
        <v>11</v>
      </c>
      <c r="EB13" s="30" t="str">
        <f ca="1"/>
        <v>Moll</v>
      </c>
      <c r="EC13" s="30">
        <f ca="1"/>
        <v>1</v>
      </c>
      <c r="ED13" s="13"/>
      <c r="EE13" s="13">
        <v>10439</v>
      </c>
      <c r="EG13" s="29">
        <f ca="1"/>
        <v>11</v>
      </c>
      <c r="EH13" s="30" t="str">
        <f ca="1"/>
        <v>Onwa</v>
      </c>
      <c r="EI13" s="30" t="e" vm="16">
        <f ca="1"/>
        <v>#VALUE!</v>
      </c>
      <c r="EJ13" s="30" t="e">
        <f ca="1"/>
        <v>#VALUE!</v>
      </c>
      <c r="EK13" s="13">
        <v>1</v>
      </c>
      <c r="EL13" s="30">
        <f ca="1"/>
        <v>2</v>
      </c>
      <c r="EN13" s="27">
        <f ca="1"/>
        <v>11</v>
      </c>
      <c r="EO13" s="30" t="str">
        <f ca="1"/>
        <v>Leyla</v>
      </c>
      <c r="EP13" s="30">
        <f ca="1"/>
        <v>1</v>
      </c>
      <c r="EQ13" s="13"/>
      <c r="ER13" s="13">
        <v>13044</v>
      </c>
      <c r="ET13" s="29">
        <f ca="1"/>
        <v>11</v>
      </c>
      <c r="EU13" s="30" t="str">
        <f ca="1"/>
        <v>Geo</v>
      </c>
      <c r="EV13" s="30" t="e" vm="15">
        <f ca="1"/>
        <v>#VALUE!</v>
      </c>
      <c r="EW13" s="30" t="e">
        <f ca="1"/>
        <v>#VALUE!</v>
      </c>
      <c r="EX13" s="13">
        <v>1</v>
      </c>
      <c r="EY13" s="30">
        <f ca="1"/>
        <v>0</v>
      </c>
      <c r="FA13" s="27">
        <f ca="1"/>
        <v>11</v>
      </c>
      <c r="FB13" s="30" t="str">
        <f ca="1"/>
        <v>Geo</v>
      </c>
      <c r="FC13" s="30">
        <f ca="1"/>
        <v>0</v>
      </c>
      <c r="FD13" s="13"/>
      <c r="FE13" s="13"/>
      <c r="FG13" s="29">
        <f ca="1"/>
        <v>11</v>
      </c>
      <c r="FH13" s="30" t="str">
        <f ca="1"/>
        <v>Geo</v>
      </c>
      <c r="FI13" s="30" t="e" vm="15">
        <f ca="1"/>
        <v>#VALUE!</v>
      </c>
      <c r="FJ13" s="30" t="e">
        <f ca="1"/>
        <v>#VALUE!</v>
      </c>
      <c r="FK13" s="13"/>
      <c r="FL13" s="30">
        <f ca="1"/>
        <v>0</v>
      </c>
      <c r="FN13" s="27">
        <f ca="1"/>
        <v>11</v>
      </c>
      <c r="FO13" s="30" t="str">
        <f ca="1"/>
        <v>Geo</v>
      </c>
      <c r="FP13" s="30">
        <f ca="1"/>
        <v>0</v>
      </c>
      <c r="FQ13" s="13"/>
      <c r="FR13" s="13"/>
      <c r="FT13" s="29">
        <f ca="1"/>
        <v>11</v>
      </c>
      <c r="FU13" s="30" t="str">
        <f ca="1"/>
        <v>Geo</v>
      </c>
      <c r="FV13" s="30" t="e" vm="15">
        <f ca="1"/>
        <v>#VALUE!</v>
      </c>
      <c r="FW13" s="30" t="e">
        <f ca="1"/>
        <v>#VALUE!</v>
      </c>
      <c r="FX13" s="13"/>
      <c r="FY13" s="30">
        <f ca="1"/>
        <v>0</v>
      </c>
      <c r="GA13" s="27">
        <f ca="1"/>
        <v>11</v>
      </c>
      <c r="GB13" s="30" t="str">
        <f ca="1"/>
        <v>Geo</v>
      </c>
      <c r="GC13" s="30">
        <f ca="1"/>
        <v>0</v>
      </c>
      <c r="GD13" s="13"/>
      <c r="GE13" s="13"/>
      <c r="GG13" s="29">
        <f ca="1"/>
        <v>11</v>
      </c>
      <c r="GH13" s="30" t="str">
        <f ca="1"/>
        <v>Geo</v>
      </c>
      <c r="GI13" s="30" t="e" vm="15">
        <f ca="1"/>
        <v>#VALUE!</v>
      </c>
      <c r="GJ13" s="30" t="e">
        <f ca="1"/>
        <v>#VALUE!</v>
      </c>
      <c r="GK13" s="13"/>
      <c r="GL13" s="30">
        <f ca="1"/>
        <v>0</v>
      </c>
      <c r="GN13" s="27">
        <f ca="1"/>
        <v>11</v>
      </c>
      <c r="GO13" s="30" t="str">
        <f ca="1"/>
        <v>Geo</v>
      </c>
      <c r="GP13" s="30">
        <f ca="1"/>
        <v>0</v>
      </c>
      <c r="GQ13" s="13"/>
      <c r="GR13" s="13"/>
      <c r="GT13" s="29">
        <f ca="1"/>
        <v>11</v>
      </c>
      <c r="GU13" s="30" t="str">
        <f ca="1"/>
        <v>Geo</v>
      </c>
      <c r="GV13" s="30" t="e" vm="15">
        <f ca="1"/>
        <v>#VALUE!</v>
      </c>
      <c r="GW13" s="30" t="e">
        <f ca="1"/>
        <v>#VALUE!</v>
      </c>
      <c r="GX13" s="13"/>
      <c r="GY13" s="30">
        <f ca="1"/>
        <v>0</v>
      </c>
      <c r="HA13" s="27">
        <f ca="1"/>
        <v>11</v>
      </c>
      <c r="HB13" s="30" t="str">
        <f ca="1"/>
        <v>Geo</v>
      </c>
      <c r="HC13" s="30">
        <f ca="1"/>
        <v>0</v>
      </c>
      <c r="HD13" s="13"/>
      <c r="HE13" s="13"/>
      <c r="HF13" s="1"/>
      <c r="HG13" s="29">
        <f ca="1"/>
        <v>11</v>
      </c>
      <c r="HH13" s="30" t="str">
        <f ca="1"/>
        <v>Geo</v>
      </c>
      <c r="HI13" s="30" t="e" vm="15">
        <f ca="1"/>
        <v>#VALUE!</v>
      </c>
      <c r="HJ13" s="30" t="e">
        <f ca="1"/>
        <v>#VALUE!</v>
      </c>
      <c r="HK13" s="13"/>
      <c r="HL13" s="30">
        <f ca="1"/>
        <v>0</v>
      </c>
      <c r="HN13" s="27">
        <f ca="1"/>
        <v>11</v>
      </c>
      <c r="HO13" s="30" t="str">
        <f ca="1"/>
        <v>Geo</v>
      </c>
      <c r="HP13" s="30">
        <f ca="1"/>
        <v>0</v>
      </c>
      <c r="HQ13" s="13"/>
      <c r="HR13" s="13"/>
      <c r="HT13" s="29">
        <f ca="1"/>
        <v>11</v>
      </c>
      <c r="HU13" s="30" t="str">
        <f ca="1"/>
        <v>Geo</v>
      </c>
      <c r="HV13" s="30" t="e" vm="15">
        <f ca="1"/>
        <v>#VALUE!</v>
      </c>
      <c r="HW13" s="30" t="e">
        <f ca="1"/>
        <v>#VALUE!</v>
      </c>
      <c r="HX13" s="13"/>
      <c r="HY13" s="30">
        <f ca="1"/>
        <v>0</v>
      </c>
      <c r="IA13" s="27">
        <f ca="1"/>
        <v>11</v>
      </c>
      <c r="IB13" s="30" t="str">
        <f ca="1"/>
        <v>Geo</v>
      </c>
      <c r="IC13" s="30">
        <f ca="1"/>
        <v>0</v>
      </c>
      <c r="ID13" s="13"/>
      <c r="IE13" s="13"/>
      <c r="IG13" s="29">
        <f ca="1"/>
        <v>11</v>
      </c>
      <c r="IH13" s="30" t="str">
        <f ca="1"/>
        <v>Geo</v>
      </c>
      <c r="II13" s="30" t="e" vm="15">
        <f ca="1"/>
        <v>#VALUE!</v>
      </c>
      <c r="IJ13" s="30" t="e">
        <f ca="1"/>
        <v>#VALUE!</v>
      </c>
      <c r="IK13" s="13"/>
      <c r="IL13" s="30">
        <f ca="1"/>
        <v>0</v>
      </c>
      <c r="IN13" s="27">
        <f ca="1"/>
        <v>11</v>
      </c>
      <c r="IO13" s="30" t="str">
        <f ca="1"/>
        <v>Geo</v>
      </c>
      <c r="IP13" s="30">
        <f ca="1"/>
        <v>0</v>
      </c>
      <c r="IQ13" s="13"/>
      <c r="IR13" s="13"/>
      <c r="IT13" s="29">
        <f ca="1"/>
        <v>11</v>
      </c>
      <c r="IU13" s="30" t="str">
        <f ca="1"/>
        <v>Geo</v>
      </c>
      <c r="IV13" s="30" t="e" vm="15">
        <f ca="1"/>
        <v>#VALUE!</v>
      </c>
      <c r="IW13" s="30" t="e">
        <f ca="1"/>
        <v>#VALUE!</v>
      </c>
      <c r="IX13" s="13"/>
      <c r="IY13" s="30">
        <f ca="1"/>
        <v>0</v>
      </c>
      <c r="JA13" s="27">
        <f ca="1"/>
        <v>11</v>
      </c>
      <c r="JB13" s="30" t="str">
        <f ca="1"/>
        <v>Geo</v>
      </c>
      <c r="JC13" s="30">
        <f ca="1"/>
        <v>0</v>
      </c>
      <c r="JD13" s="13"/>
      <c r="JE13" s="13"/>
      <c r="JG13" s="29">
        <f ca="1"/>
        <v>11</v>
      </c>
      <c r="JH13" s="30" t="str">
        <f ca="1"/>
        <v>Geo</v>
      </c>
      <c r="JI13" s="30" t="e" vm="15">
        <f ca="1"/>
        <v>#VALUE!</v>
      </c>
      <c r="JJ13" s="30" t="e">
        <f ca="1"/>
        <v>#VALUE!</v>
      </c>
      <c r="JK13" s="13"/>
      <c r="JL13" s="30">
        <f ca="1"/>
        <v>0</v>
      </c>
      <c r="JN13" s="27">
        <f ca="1"/>
        <v>11</v>
      </c>
      <c r="JO13" s="30" t="str">
        <f ca="1"/>
        <v>Geo</v>
      </c>
      <c r="JP13" s="30">
        <f ca="1"/>
        <v>0</v>
      </c>
      <c r="JQ13" s="13"/>
      <c r="JR13" s="13"/>
      <c r="JT13" s="29">
        <f ca="1"/>
        <v>11</v>
      </c>
      <c r="JU13" s="30" t="str">
        <f ca="1"/>
        <v>Geo</v>
      </c>
      <c r="JV13" s="30" t="e" vm="15">
        <f ca="1"/>
        <v>#VALUE!</v>
      </c>
      <c r="JW13" s="30" t="e">
        <f ca="1"/>
        <v>#VALUE!</v>
      </c>
      <c r="JX13" s="13"/>
      <c r="JY13" s="30">
        <f ca="1"/>
        <v>0</v>
      </c>
      <c r="KA13" s="27">
        <f ca="1"/>
        <v>11</v>
      </c>
      <c r="KB13" s="30" t="str">
        <f ca="1"/>
        <v>Geo</v>
      </c>
      <c r="KC13" s="30">
        <f ca="1"/>
        <v>0</v>
      </c>
      <c r="KD13" s="13"/>
      <c r="KE13" s="13"/>
      <c r="KG13" s="29">
        <f ca="1"/>
        <v>11</v>
      </c>
      <c r="KH13" s="30" t="str">
        <f ca="1"/>
        <v>Geo</v>
      </c>
      <c r="KI13" s="30" t="e" vm="15">
        <f ca="1"/>
        <v>#VALUE!</v>
      </c>
      <c r="KJ13" s="30" t="e">
        <f ca="1"/>
        <v>#VALUE!</v>
      </c>
      <c r="KK13" s="13"/>
      <c r="KL13" s="30">
        <f ca="1"/>
        <v>0</v>
      </c>
      <c r="KN13" s="27">
        <f ca="1"/>
        <v>11</v>
      </c>
      <c r="KO13" s="30" t="str">
        <f ca="1"/>
        <v>Geo</v>
      </c>
      <c r="KP13" s="30">
        <f ca="1"/>
        <v>0</v>
      </c>
      <c r="KQ13" s="13"/>
      <c r="KR13" s="13"/>
      <c r="KT13" s="29">
        <f ca="1"/>
        <v>11</v>
      </c>
      <c r="KU13" s="30" t="str">
        <f ca="1"/>
        <v>Geo</v>
      </c>
      <c r="KV13" s="30" t="e" vm="15">
        <f ca="1"/>
        <v>#VALUE!</v>
      </c>
      <c r="KW13" s="30" t="e">
        <f ca="1"/>
        <v>#VALUE!</v>
      </c>
      <c r="KX13" s="13"/>
      <c r="KY13" s="30">
        <f ca="1"/>
        <v>0</v>
      </c>
      <c r="LA13" s="27">
        <f ca="1"/>
        <v>11</v>
      </c>
      <c r="LB13" s="30" t="str">
        <f ca="1"/>
        <v>Geo</v>
      </c>
      <c r="LC13" s="30">
        <f ca="1"/>
        <v>0</v>
      </c>
      <c r="LD13" s="13"/>
      <c r="LE13" s="13"/>
      <c r="LG13" s="29">
        <f ca="1"/>
        <v>11</v>
      </c>
      <c r="LH13" s="30" t="str">
        <f ca="1"/>
        <v>Geo</v>
      </c>
      <c r="LI13" s="30" t="e" vm="15">
        <f ca="1"/>
        <v>#VALUE!</v>
      </c>
      <c r="LJ13" s="30" t="e">
        <f ca="1"/>
        <v>#VALUE!</v>
      </c>
      <c r="LK13" s="13"/>
      <c r="LL13" s="30">
        <f ca="1"/>
        <v>0</v>
      </c>
      <c r="LN13" s="27">
        <f ca="1"/>
        <v>11</v>
      </c>
      <c r="LO13" s="30" t="str">
        <f ca="1"/>
        <v>Geo</v>
      </c>
      <c r="LP13" s="30">
        <f ca="1"/>
        <v>0</v>
      </c>
      <c r="LQ13" s="13"/>
      <c r="LR13" s="13"/>
      <c r="LT13" s="29">
        <f ca="1"/>
        <v>11</v>
      </c>
      <c r="LU13" s="30" t="str">
        <f ca="1"/>
        <v>Geo</v>
      </c>
      <c r="LV13" s="30" t="e" vm="15">
        <f ca="1"/>
        <v>#VALUE!</v>
      </c>
      <c r="LW13" s="30" t="e">
        <f ca="1"/>
        <v>#VALUE!</v>
      </c>
      <c r="LX13" s="13"/>
      <c r="LY13" s="30">
        <f ca="1"/>
        <v>0</v>
      </c>
      <c r="MA13" s="27">
        <f ca="1"/>
        <v>11</v>
      </c>
      <c r="MB13" s="30" t="str">
        <f ca="1"/>
        <v>Geo</v>
      </c>
      <c r="MC13" s="30">
        <f ca="1"/>
        <v>0</v>
      </c>
      <c r="MD13" s="13"/>
      <c r="ME13" s="13"/>
      <c r="MG13" s="29">
        <f ca="1"/>
        <v>11</v>
      </c>
      <c r="MH13" s="30" t="str">
        <f ca="1"/>
        <v>Geo</v>
      </c>
      <c r="MI13" s="30" t="e" vm="15">
        <f ca="1"/>
        <v>#VALUE!</v>
      </c>
      <c r="MJ13" s="30" t="e">
        <f ca="1"/>
        <v>#VALUE!</v>
      </c>
      <c r="MK13" s="13"/>
      <c r="ML13" s="30">
        <f ca="1"/>
        <v>0</v>
      </c>
      <c r="MN13" s="27">
        <f ca="1"/>
        <v>11</v>
      </c>
      <c r="MO13" s="30" t="str">
        <f ca="1"/>
        <v>Geo</v>
      </c>
      <c r="MP13" s="30">
        <f ca="1"/>
        <v>0</v>
      </c>
      <c r="MQ13" s="13"/>
      <c r="MR13" s="13"/>
      <c r="MS13" s="1"/>
      <c r="MT13" s="29">
        <f ca="1"/>
        <v>11</v>
      </c>
      <c r="MU13" s="30" t="str">
        <f ca="1"/>
        <v>Geo</v>
      </c>
      <c r="MV13" s="30" t="e" vm="15">
        <f ca="1"/>
        <v>#VALUE!</v>
      </c>
      <c r="MW13" s="30" t="e">
        <f ca="1"/>
        <v>#VALUE!</v>
      </c>
      <c r="MX13" s="13"/>
      <c r="MY13" s="30">
        <f ca="1"/>
        <v>0</v>
      </c>
      <c r="NA13" s="27">
        <f ca="1"/>
        <v>11</v>
      </c>
      <c r="NB13" s="30" t="str">
        <f ca="1"/>
        <v>Geo</v>
      </c>
      <c r="NC13" s="30">
        <f ca="1"/>
        <v>0</v>
      </c>
      <c r="ND13" s="13"/>
      <c r="NE13" s="13"/>
      <c r="NG13" s="29">
        <f ca="1"/>
        <v>11</v>
      </c>
      <c r="NH13" s="30" t="str">
        <f ca="1"/>
        <v>Geo</v>
      </c>
      <c r="NI13" s="30" t="e" vm="15">
        <f ca="1"/>
        <v>#VALUE!</v>
      </c>
      <c r="NJ13" s="30" t="e">
        <f ca="1"/>
        <v>#VALUE!</v>
      </c>
      <c r="NK13" s="13"/>
      <c r="NL13" s="30">
        <f ca="1"/>
        <v>0</v>
      </c>
      <c r="NN13" s="27">
        <f ca="1"/>
        <v>11</v>
      </c>
      <c r="NO13" s="30" t="str">
        <f ca="1"/>
        <v>Geo</v>
      </c>
      <c r="NP13" s="30">
        <f ca="1"/>
        <v>0</v>
      </c>
      <c r="NQ13" s="13"/>
      <c r="NR13" s="13"/>
      <c r="NT13" s="29">
        <f ca="1"/>
        <v>11</v>
      </c>
      <c r="NU13" s="30" t="str">
        <f ca="1"/>
        <v>Geo</v>
      </c>
      <c r="NV13" s="30" t="e" vm="15">
        <f ca="1"/>
        <v>#VALUE!</v>
      </c>
      <c r="NW13" s="30" t="e">
        <f ca="1"/>
        <v>#VALUE!</v>
      </c>
      <c r="NX13" s="13"/>
      <c r="NY13" s="30">
        <f ca="1"/>
        <v>0</v>
      </c>
      <c r="OA13" s="27">
        <f ca="1"/>
        <v>11</v>
      </c>
      <c r="OB13" s="30" t="str">
        <f ca="1"/>
        <v>Geo</v>
      </c>
      <c r="OC13" s="30">
        <f ca="1"/>
        <v>0</v>
      </c>
      <c r="OD13" s="13"/>
      <c r="OE13" s="13"/>
      <c r="OG13" s="29">
        <f ca="1"/>
        <v>11</v>
      </c>
      <c r="OH13" s="30" t="str">
        <f ca="1"/>
        <v>Geo</v>
      </c>
      <c r="OI13" s="30" t="e" vm="15">
        <f ca="1"/>
        <v>#VALUE!</v>
      </c>
      <c r="OJ13" s="30" t="e">
        <f ca="1"/>
        <v>#VALUE!</v>
      </c>
      <c r="OK13" s="13"/>
      <c r="OL13" s="30">
        <f ca="1"/>
        <v>0</v>
      </c>
      <c r="ON13" s="27">
        <f ca="1"/>
        <v>11</v>
      </c>
      <c r="OO13" s="30" t="str">
        <f ca="1"/>
        <v>Geo</v>
      </c>
      <c r="OP13" s="30">
        <f ca="1"/>
        <v>0</v>
      </c>
      <c r="OQ13" s="13"/>
      <c r="OR13" s="13"/>
      <c r="OT13" s="29">
        <f ca="1"/>
        <v>11</v>
      </c>
      <c r="OU13" s="30" t="str">
        <f ca="1"/>
        <v>Geo</v>
      </c>
      <c r="OV13" s="30" t="e" vm="15">
        <f ca="1"/>
        <v>#VALUE!</v>
      </c>
      <c r="OW13" s="30" t="e">
        <f ca="1"/>
        <v>#VALUE!</v>
      </c>
      <c r="OX13" s="13"/>
      <c r="OY13" s="30">
        <f ca="1"/>
        <v>0</v>
      </c>
      <c r="PA13" s="27">
        <f ca="1"/>
        <v>11</v>
      </c>
      <c r="PB13" s="30" t="str">
        <f ca="1"/>
        <v>Geo</v>
      </c>
      <c r="PC13" s="30">
        <f ca="1"/>
        <v>0</v>
      </c>
      <c r="PD13" s="13"/>
      <c r="PE13" s="13"/>
      <c r="PG13" s="29">
        <f ca="1"/>
        <v>11</v>
      </c>
      <c r="PH13" s="30" t="str">
        <f ca="1"/>
        <v>Geo</v>
      </c>
      <c r="PI13" s="30" t="e" vm="15">
        <f ca="1"/>
        <v>#VALUE!</v>
      </c>
      <c r="PJ13" s="30" t="e">
        <f ca="1"/>
        <v>#VALUE!</v>
      </c>
      <c r="PK13" s="13"/>
      <c r="PL13" s="30">
        <f ca="1"/>
        <v>0</v>
      </c>
      <c r="PN13" s="27">
        <f ca="1"/>
        <v>11</v>
      </c>
      <c r="PO13" s="30" t="str">
        <f ca="1"/>
        <v>Geo</v>
      </c>
      <c r="PP13" s="30">
        <f ca="1"/>
        <v>0</v>
      </c>
      <c r="PQ13" s="13"/>
      <c r="PR13" s="13"/>
      <c r="PT13" s="29">
        <f ca="1"/>
        <v>11</v>
      </c>
      <c r="PU13" s="30" t="str">
        <f ca="1"/>
        <v>Geo</v>
      </c>
      <c r="PV13" s="30" t="e" vm="15">
        <f ca="1"/>
        <v>#VALUE!</v>
      </c>
      <c r="PW13" s="30" t="e">
        <f ca="1"/>
        <v>#VALUE!</v>
      </c>
      <c r="PX13" s="13"/>
      <c r="PY13" s="30">
        <f ca="1"/>
        <v>0</v>
      </c>
      <c r="QA13" s="27">
        <f ca="1"/>
        <v>11</v>
      </c>
      <c r="QB13" s="30" t="str">
        <f ca="1"/>
        <v>Geo</v>
      </c>
      <c r="QC13" s="30">
        <f ca="1"/>
        <v>0</v>
      </c>
      <c r="QD13" s="13"/>
      <c r="QE13" s="13"/>
      <c r="QG13" s="29">
        <f ca="1"/>
        <v>11</v>
      </c>
      <c r="QH13" s="30" t="str">
        <f ca="1"/>
        <v>Geo</v>
      </c>
      <c r="QI13" s="30" t="e" vm="15">
        <f ca="1"/>
        <v>#VALUE!</v>
      </c>
      <c r="QJ13" s="30" t="e">
        <f ca="1"/>
        <v>#VALUE!</v>
      </c>
      <c r="QK13" s="13"/>
      <c r="QL13" s="30">
        <f ca="1"/>
        <v>0</v>
      </c>
      <c r="QN13" s="27">
        <f ca="1"/>
        <v>11</v>
      </c>
      <c r="QO13" s="30" t="str">
        <f ca="1"/>
        <v>Geo</v>
      </c>
      <c r="QP13" s="30">
        <f ca="1"/>
        <v>0</v>
      </c>
      <c r="QQ13" s="13"/>
      <c r="QR13" s="13"/>
      <c r="QT13" s="29">
        <f ca="1"/>
        <v>11</v>
      </c>
      <c r="QU13" s="30" t="str">
        <f ca="1"/>
        <v>Geo</v>
      </c>
      <c r="QV13" s="30" t="e" vm="15">
        <f ca="1"/>
        <v>#VALUE!</v>
      </c>
      <c r="QW13" s="30" t="e">
        <f ca="1"/>
        <v>#VALUE!</v>
      </c>
      <c r="QX13" s="13"/>
      <c r="QY13" s="30">
        <f ca="1"/>
        <v>0</v>
      </c>
      <c r="RA13" s="27">
        <f ca="1"/>
        <v>11</v>
      </c>
      <c r="RB13" s="30" t="str">
        <f ca="1"/>
        <v>Geo</v>
      </c>
      <c r="RC13" s="30">
        <f ca="1"/>
        <v>0</v>
      </c>
      <c r="RD13" s="13"/>
      <c r="RE13" s="13"/>
      <c r="RG13" s="29">
        <f ca="1"/>
        <v>11</v>
      </c>
      <c r="RH13" s="30" t="str">
        <f ca="1"/>
        <v>Geo</v>
      </c>
      <c r="RI13" s="30" t="e" vm="15">
        <f ca="1"/>
        <v>#VALUE!</v>
      </c>
      <c r="RJ13" s="30" t="e">
        <f ca="1"/>
        <v>#VALUE!</v>
      </c>
      <c r="RK13" s="13"/>
      <c r="RL13" s="30">
        <f ca="1"/>
        <v>0</v>
      </c>
      <c r="RN13" s="27">
        <f ca="1"/>
        <v>11</v>
      </c>
      <c r="RO13" s="30" t="str">
        <f ca="1"/>
        <v>Geo</v>
      </c>
      <c r="RP13" s="30">
        <f ca="1"/>
        <v>0</v>
      </c>
      <c r="RQ13" s="13"/>
      <c r="RR13" s="13"/>
      <c r="RT13" s="29">
        <f ca="1"/>
        <v>11</v>
      </c>
      <c r="RU13" s="30" t="str">
        <f ca="1"/>
        <v>Geo</v>
      </c>
      <c r="RV13" s="30" t="e" vm="15">
        <f ca="1"/>
        <v>#VALUE!</v>
      </c>
      <c r="RW13" s="30" t="e">
        <f ca="1"/>
        <v>#VALUE!</v>
      </c>
      <c r="RX13" s="13"/>
      <c r="RY13" s="30">
        <f ca="1"/>
        <v>0</v>
      </c>
      <c r="SA13" s="27">
        <f ca="1"/>
        <v>11</v>
      </c>
      <c r="SB13" s="30" t="str">
        <f ca="1"/>
        <v>Geo</v>
      </c>
      <c r="SC13" s="30">
        <f ca="1"/>
        <v>0</v>
      </c>
      <c r="SD13" s="13"/>
      <c r="SE13" s="13"/>
      <c r="SG13" s="29">
        <f ca="1"/>
        <v>11</v>
      </c>
      <c r="SH13" s="30" t="str">
        <f ca="1"/>
        <v>Geo</v>
      </c>
      <c r="SI13" s="30" t="e" vm="15">
        <f ca="1"/>
        <v>#VALUE!</v>
      </c>
      <c r="SJ13" s="30" t="e">
        <f ca="1"/>
        <v>#VALUE!</v>
      </c>
      <c r="SK13" s="13"/>
      <c r="SL13" s="30">
        <f ca="1"/>
        <v>0</v>
      </c>
      <c r="SN13" s="27">
        <f ca="1"/>
        <v>11</v>
      </c>
      <c r="SO13" s="30" t="str">
        <f ca="1"/>
        <v>Geo</v>
      </c>
      <c r="SP13" s="30">
        <f ca="1"/>
        <v>0</v>
      </c>
      <c r="SQ13" s="13"/>
      <c r="SR13" s="13"/>
      <c r="ST13" s="29">
        <f ca="1"/>
        <v>11</v>
      </c>
      <c r="SU13" s="30" t="str">
        <f ca="1"/>
        <v>Geo</v>
      </c>
      <c r="SV13" s="30" t="e" vm="15">
        <f ca="1"/>
        <v>#VALUE!</v>
      </c>
      <c r="SW13" s="30" t="e">
        <f ca="1"/>
        <v>#VALUE!</v>
      </c>
      <c r="SX13" s="13"/>
      <c r="SY13" s="30">
        <f ca="1"/>
        <v>0</v>
      </c>
      <c r="TA13" s="29">
        <f ca="1"/>
        <v>11</v>
      </c>
      <c r="TB13" s="30" t="str">
        <f ca="1"/>
        <v>Geo</v>
      </c>
      <c r="TC13" s="30" t="e" vm="15">
        <f ca="1"/>
        <v>#VALUE!</v>
      </c>
      <c r="TD13" s="30">
        <f ca="1"/>
        <v>380</v>
      </c>
    </row>
    <row r="14" spans="1:524" ht="20.100000000000001" customHeight="1">
      <c r="A14" s="27">
        <f ca="1"/>
        <v>12</v>
      </c>
      <c r="B14" s="30" t="str">
        <f ca="1"/>
        <v>Geo</v>
      </c>
      <c r="C14" s="30">
        <v>1</v>
      </c>
      <c r="D14" s="13"/>
      <c r="E14" s="57">
        <v>0</v>
      </c>
      <c r="G14" s="29">
        <f ca="1"/>
        <v>12</v>
      </c>
      <c r="H14" s="30" t="str">
        <f ca="1"/>
        <v>Geo</v>
      </c>
      <c r="I14" s="30" t="e" vm="15">
        <f ca="1"/>
        <v>#VALUE!</v>
      </c>
      <c r="J14" s="55" t="e">
        <f ca="1"/>
        <v>#VALUE!</v>
      </c>
      <c r="K14" s="13"/>
      <c r="L14" s="30">
        <f ca="1"/>
        <v>1</v>
      </c>
      <c r="N14" s="27">
        <f ca="1"/>
        <v>12</v>
      </c>
      <c r="O14" s="30" t="str">
        <f ca="1"/>
        <v>Geo</v>
      </c>
      <c r="P14" s="30">
        <f ca="1"/>
        <v>1</v>
      </c>
      <c r="Q14" s="13"/>
      <c r="R14" s="13">
        <v>0</v>
      </c>
      <c r="T14" s="29">
        <f ca="1"/>
        <v>12</v>
      </c>
      <c r="U14" s="30" t="str">
        <f ca="1"/>
        <v>Geo</v>
      </c>
      <c r="V14" s="30" t="e" vm="15">
        <f ca="1"/>
        <v>#VALUE!</v>
      </c>
      <c r="W14" s="30" t="e">
        <f ca="1"/>
        <v>#VALUE!</v>
      </c>
      <c r="X14" s="13"/>
      <c r="Y14" s="30">
        <f ca="1"/>
        <v>1</v>
      </c>
      <c r="AA14" s="27">
        <f ca="1"/>
        <v>12</v>
      </c>
      <c r="AB14" s="30" t="str">
        <f ca="1"/>
        <v>Geo</v>
      </c>
      <c r="AC14" s="30">
        <f ca="1"/>
        <v>1</v>
      </c>
      <c r="AD14" s="13"/>
      <c r="AE14" s="13">
        <v>0</v>
      </c>
      <c r="AG14" s="29">
        <f ca="1"/>
        <v>12</v>
      </c>
      <c r="AH14" s="30" t="str">
        <f ca="1"/>
        <v>Geo</v>
      </c>
      <c r="AI14" s="30" t="e" vm="15">
        <f ca="1"/>
        <v>#VALUE!</v>
      </c>
      <c r="AJ14" s="30" t="e">
        <f ca="1"/>
        <v>#VALUE!</v>
      </c>
      <c r="AK14" s="13"/>
      <c r="AL14" s="30">
        <f ca="1"/>
        <v>1</v>
      </c>
      <c r="AN14" s="27">
        <f ca="1"/>
        <v>12</v>
      </c>
      <c r="AO14" s="30" t="str">
        <f ca="1"/>
        <v>Geo</v>
      </c>
      <c r="AP14" s="30">
        <f ca="1"/>
        <v>1</v>
      </c>
      <c r="AQ14" s="13"/>
      <c r="AR14" s="13">
        <v>0</v>
      </c>
      <c r="AT14" s="29">
        <f ca="1"/>
        <v>12</v>
      </c>
      <c r="AU14" s="30" t="str">
        <f ca="1"/>
        <v>Geo</v>
      </c>
      <c r="AV14" s="30" t="e" vm="15">
        <f ca="1"/>
        <v>#VALUE!</v>
      </c>
      <c r="AW14" s="30" t="e">
        <f ca="1"/>
        <v>#VALUE!</v>
      </c>
      <c r="AX14" s="13"/>
      <c r="AY14" s="30">
        <f ca="1"/>
        <v>1</v>
      </c>
      <c r="BA14" s="27">
        <f ca="1"/>
        <v>12</v>
      </c>
      <c r="BB14" s="30" t="str">
        <f ca="1"/>
        <v>Geo</v>
      </c>
      <c r="BC14" s="30">
        <f ca="1"/>
        <v>1</v>
      </c>
      <c r="BD14" s="13"/>
      <c r="BE14" s="13">
        <v>0</v>
      </c>
      <c r="BG14" s="29">
        <f ca="1"/>
        <v>12</v>
      </c>
      <c r="BH14" s="30" t="str">
        <f ca="1"/>
        <v>Geo</v>
      </c>
      <c r="BI14" s="30" t="e" vm="15">
        <f ca="1"/>
        <v>#VALUE!</v>
      </c>
      <c r="BJ14" s="30" t="e">
        <f ca="1"/>
        <v>#VALUE!</v>
      </c>
      <c r="BK14" s="13"/>
      <c r="BL14" s="30">
        <f ca="1"/>
        <v>1</v>
      </c>
      <c r="BN14" s="27">
        <f ca="1"/>
        <v>12</v>
      </c>
      <c r="BO14" s="30" t="str">
        <f ca="1"/>
        <v>Geo</v>
      </c>
      <c r="BP14" s="30">
        <f ca="1"/>
        <v>1</v>
      </c>
      <c r="BQ14" s="13"/>
      <c r="BR14" s="13">
        <v>0</v>
      </c>
      <c r="BS14" s="1"/>
      <c r="BT14" s="29">
        <f ca="1"/>
        <v>12</v>
      </c>
      <c r="BU14" s="30" t="str">
        <f ca="1"/>
        <v>Geo</v>
      </c>
      <c r="BV14" s="30" t="e" vm="15">
        <f ca="1"/>
        <v>#VALUE!</v>
      </c>
      <c r="BW14" s="30" t="e">
        <f ca="1"/>
        <v>#VALUE!</v>
      </c>
      <c r="BX14" s="13"/>
      <c r="BY14" s="30">
        <f ca="1"/>
        <v>1</v>
      </c>
      <c r="CA14" s="27">
        <f ca="1"/>
        <v>12</v>
      </c>
      <c r="CB14" s="30" t="str">
        <f ca="1"/>
        <v>Geo</v>
      </c>
      <c r="CC14" s="30">
        <f ca="1"/>
        <v>1</v>
      </c>
      <c r="CD14" s="13"/>
      <c r="CE14" s="13">
        <v>0</v>
      </c>
      <c r="CG14" s="29">
        <f ca="1"/>
        <v>12</v>
      </c>
      <c r="CH14" s="30" t="str">
        <f ca="1"/>
        <v>Geo</v>
      </c>
      <c r="CI14" s="30" t="e" vm="15">
        <f ca="1"/>
        <v>#VALUE!</v>
      </c>
      <c r="CJ14" s="30" t="e">
        <f ca="1"/>
        <v>#VALUE!</v>
      </c>
      <c r="CK14" s="13"/>
      <c r="CL14" s="30">
        <f ca="1"/>
        <v>1</v>
      </c>
      <c r="CN14" s="27">
        <f ca="1"/>
        <v>12</v>
      </c>
      <c r="CO14" s="30" t="str">
        <f ca="1"/>
        <v>Geo</v>
      </c>
      <c r="CP14" s="30">
        <f ca="1"/>
        <v>1</v>
      </c>
      <c r="CQ14" s="13"/>
      <c r="CR14" s="13">
        <v>0</v>
      </c>
      <c r="CT14" s="29">
        <f ca="1"/>
        <v>12</v>
      </c>
      <c r="CU14" s="30" t="str">
        <f ca="1"/>
        <v>Geo</v>
      </c>
      <c r="CV14" s="30" t="e" vm="15">
        <f ca="1"/>
        <v>#VALUE!</v>
      </c>
      <c r="CW14" s="30" t="e">
        <f ca="1"/>
        <v>#VALUE!</v>
      </c>
      <c r="CX14" s="13"/>
      <c r="CY14" s="30">
        <f ca="1"/>
        <v>1</v>
      </c>
      <c r="DA14" s="27">
        <f ca="1"/>
        <v>12</v>
      </c>
      <c r="DB14" s="30" t="str">
        <f ca="1"/>
        <v>Geo</v>
      </c>
      <c r="DC14" s="30">
        <f ca="1"/>
        <v>1</v>
      </c>
      <c r="DD14" s="13">
        <v>2</v>
      </c>
      <c r="DE14" s="13">
        <v>5960</v>
      </c>
      <c r="DG14" s="29">
        <f ca="1"/>
        <v>12</v>
      </c>
      <c r="DH14" s="30" t="str">
        <f ca="1"/>
        <v>Champix</v>
      </c>
      <c r="DI14" s="30" t="e" vm="15">
        <f ca="1"/>
        <v>#VALUE!</v>
      </c>
      <c r="DJ14" s="30" t="e">
        <f ca="1"/>
        <v>#VALUE!</v>
      </c>
      <c r="DK14" s="13">
        <v>1</v>
      </c>
      <c r="DL14" s="30">
        <f ca="1"/>
        <v>2</v>
      </c>
      <c r="DN14" s="27">
        <f ca="1"/>
        <v>12</v>
      </c>
      <c r="DO14" s="30" t="str">
        <f ca="1"/>
        <v>Champix</v>
      </c>
      <c r="DP14" s="30">
        <f ca="1"/>
        <v>2</v>
      </c>
      <c r="DQ14" s="13"/>
      <c r="DR14" s="13">
        <v>13506</v>
      </c>
      <c r="DT14" s="29">
        <f ca="1"/>
        <v>12</v>
      </c>
      <c r="DU14" s="30" t="str">
        <f ca="1"/>
        <v>Geo</v>
      </c>
      <c r="DV14" s="30" t="e" vm="15">
        <f ca="1"/>
        <v>#VALUE!</v>
      </c>
      <c r="DW14" s="30" t="e">
        <f ca="1"/>
        <v>#VALUE!</v>
      </c>
      <c r="DX14" s="13">
        <v>1</v>
      </c>
      <c r="DY14" s="30">
        <f ca="1"/>
        <v>1</v>
      </c>
      <c r="EA14" s="27">
        <f ca="1"/>
        <v>12</v>
      </c>
      <c r="EB14" s="30" t="str">
        <f ca="1"/>
        <v>Champix</v>
      </c>
      <c r="EC14" s="30">
        <f ca="1"/>
        <v>1</v>
      </c>
      <c r="ED14" s="13"/>
      <c r="EE14" s="13">
        <v>11201</v>
      </c>
      <c r="EG14" s="29">
        <f ca="1"/>
        <v>12</v>
      </c>
      <c r="EH14" s="30" t="str">
        <f ca="1"/>
        <v>Zarkov</v>
      </c>
      <c r="EI14" s="30" t="e" vm="13">
        <f ca="1"/>
        <v>#VALUE!</v>
      </c>
      <c r="EJ14" s="30" t="e">
        <f ca="1"/>
        <v>#VALUE!</v>
      </c>
      <c r="EK14" s="13">
        <v>1</v>
      </c>
      <c r="EL14" s="30">
        <f ca="1"/>
        <v>0</v>
      </c>
      <c r="EN14" s="27">
        <f ca="1"/>
        <v>12</v>
      </c>
      <c r="EO14" s="30" t="str">
        <f ca="1"/>
        <v>Moll</v>
      </c>
      <c r="EP14" s="30">
        <f ca="1"/>
        <v>0</v>
      </c>
      <c r="EQ14" s="13"/>
      <c r="ER14" s="13"/>
      <c r="ET14" s="29">
        <f ca="1"/>
        <v>12</v>
      </c>
      <c r="EU14" s="30" t="str">
        <f ca="1"/>
        <v>Moll</v>
      </c>
      <c r="EV14" s="30" t="e" vm="13">
        <f ca="1"/>
        <v>#VALUE!</v>
      </c>
      <c r="EW14" s="30" t="e">
        <f ca="1"/>
        <v>#VALUE!</v>
      </c>
      <c r="EX14" s="13"/>
      <c r="EY14" s="30">
        <f ca="1"/>
        <v>0</v>
      </c>
      <c r="FA14" s="27">
        <f ca="1"/>
        <v>12</v>
      </c>
      <c r="FB14" s="30" t="str">
        <f ca="1"/>
        <v>Moll</v>
      </c>
      <c r="FC14" s="30">
        <f ca="1"/>
        <v>0</v>
      </c>
      <c r="FD14" s="13"/>
      <c r="FE14" s="13"/>
      <c r="FG14" s="29">
        <f ca="1"/>
        <v>12</v>
      </c>
      <c r="FH14" s="30" t="str">
        <f ca="1"/>
        <v>Moll</v>
      </c>
      <c r="FI14" s="30" t="e" vm="13">
        <f ca="1"/>
        <v>#VALUE!</v>
      </c>
      <c r="FJ14" s="30" t="e">
        <f ca="1"/>
        <v>#VALUE!</v>
      </c>
      <c r="FK14" s="13"/>
      <c r="FL14" s="30">
        <f ca="1"/>
        <v>0</v>
      </c>
      <c r="FN14" s="27">
        <f ca="1"/>
        <v>12</v>
      </c>
      <c r="FO14" s="30" t="str">
        <f ca="1"/>
        <v>Moll</v>
      </c>
      <c r="FP14" s="30">
        <f ca="1"/>
        <v>0</v>
      </c>
      <c r="FQ14" s="13"/>
      <c r="FR14" s="13"/>
      <c r="FT14" s="29">
        <f ca="1"/>
        <v>12</v>
      </c>
      <c r="FU14" s="30" t="str">
        <f ca="1"/>
        <v>Moll</v>
      </c>
      <c r="FV14" s="30" t="e" vm="13">
        <f ca="1"/>
        <v>#VALUE!</v>
      </c>
      <c r="FW14" s="30" t="e">
        <f ca="1"/>
        <v>#VALUE!</v>
      </c>
      <c r="FX14" s="13"/>
      <c r="FY14" s="30">
        <f ca="1"/>
        <v>0</v>
      </c>
      <c r="GA14" s="27">
        <f ca="1"/>
        <v>12</v>
      </c>
      <c r="GB14" s="30" t="str">
        <f ca="1"/>
        <v>Moll</v>
      </c>
      <c r="GC14" s="30">
        <f ca="1"/>
        <v>0</v>
      </c>
      <c r="GD14" s="13"/>
      <c r="GE14" s="13"/>
      <c r="GG14" s="29">
        <f ca="1"/>
        <v>12</v>
      </c>
      <c r="GH14" s="30" t="str">
        <f ca="1"/>
        <v>Moll</v>
      </c>
      <c r="GI14" s="30" t="e" vm="13">
        <f ca="1"/>
        <v>#VALUE!</v>
      </c>
      <c r="GJ14" s="30" t="e">
        <f ca="1"/>
        <v>#VALUE!</v>
      </c>
      <c r="GK14" s="13"/>
      <c r="GL14" s="30">
        <f ca="1"/>
        <v>0</v>
      </c>
      <c r="GN14" s="27">
        <f ca="1"/>
        <v>12</v>
      </c>
      <c r="GO14" s="30" t="str">
        <f ca="1"/>
        <v>Moll</v>
      </c>
      <c r="GP14" s="30">
        <f ca="1"/>
        <v>0</v>
      </c>
      <c r="GQ14" s="13"/>
      <c r="GR14" s="13"/>
      <c r="GT14" s="29">
        <f ca="1"/>
        <v>12</v>
      </c>
      <c r="GU14" s="30" t="str">
        <f ca="1"/>
        <v>Moll</v>
      </c>
      <c r="GV14" s="30" t="e" vm="13">
        <f ca="1"/>
        <v>#VALUE!</v>
      </c>
      <c r="GW14" s="30" t="e">
        <f ca="1"/>
        <v>#VALUE!</v>
      </c>
      <c r="GX14" s="13"/>
      <c r="GY14" s="30">
        <f ca="1"/>
        <v>0</v>
      </c>
      <c r="HA14" s="27">
        <f ca="1"/>
        <v>12</v>
      </c>
      <c r="HB14" s="30" t="str">
        <f ca="1"/>
        <v>Moll</v>
      </c>
      <c r="HC14" s="30">
        <f ca="1"/>
        <v>0</v>
      </c>
      <c r="HD14" s="13"/>
      <c r="HE14" s="13"/>
      <c r="HF14" s="1"/>
      <c r="HG14" s="29">
        <f ca="1"/>
        <v>12</v>
      </c>
      <c r="HH14" s="30" t="str">
        <f ca="1"/>
        <v>Moll</v>
      </c>
      <c r="HI14" s="30" t="e" vm="13">
        <f ca="1"/>
        <v>#VALUE!</v>
      </c>
      <c r="HJ14" s="30" t="e">
        <f ca="1"/>
        <v>#VALUE!</v>
      </c>
      <c r="HK14" s="13"/>
      <c r="HL14" s="30">
        <f ca="1"/>
        <v>0</v>
      </c>
      <c r="HN14" s="27">
        <f ca="1"/>
        <v>12</v>
      </c>
      <c r="HO14" s="30" t="str">
        <f ca="1"/>
        <v>Moll</v>
      </c>
      <c r="HP14" s="30">
        <f ca="1"/>
        <v>0</v>
      </c>
      <c r="HQ14" s="13"/>
      <c r="HR14" s="13"/>
      <c r="HT14" s="29">
        <f ca="1"/>
        <v>12</v>
      </c>
      <c r="HU14" s="30" t="str">
        <f ca="1"/>
        <v>Moll</v>
      </c>
      <c r="HV14" s="30" t="e" vm="13">
        <f ca="1"/>
        <v>#VALUE!</v>
      </c>
      <c r="HW14" s="30" t="e">
        <f ca="1"/>
        <v>#VALUE!</v>
      </c>
      <c r="HX14" s="13"/>
      <c r="HY14" s="30">
        <f ca="1"/>
        <v>0</v>
      </c>
      <c r="IA14" s="27">
        <f ca="1"/>
        <v>12</v>
      </c>
      <c r="IB14" s="30" t="str">
        <f ca="1"/>
        <v>Moll</v>
      </c>
      <c r="IC14" s="30">
        <f ca="1"/>
        <v>0</v>
      </c>
      <c r="ID14" s="13"/>
      <c r="IE14" s="13"/>
      <c r="IG14" s="29">
        <f ca="1"/>
        <v>12</v>
      </c>
      <c r="IH14" s="30" t="str">
        <f ca="1"/>
        <v>Moll</v>
      </c>
      <c r="II14" s="30" t="e" vm="13">
        <f ca="1"/>
        <v>#VALUE!</v>
      </c>
      <c r="IJ14" s="30" t="e">
        <f ca="1"/>
        <v>#VALUE!</v>
      </c>
      <c r="IK14" s="13"/>
      <c r="IL14" s="30">
        <f ca="1"/>
        <v>0</v>
      </c>
      <c r="IN14" s="27">
        <f ca="1"/>
        <v>12</v>
      </c>
      <c r="IO14" s="30" t="str">
        <f ca="1"/>
        <v>Moll</v>
      </c>
      <c r="IP14" s="30">
        <f ca="1"/>
        <v>0</v>
      </c>
      <c r="IQ14" s="13"/>
      <c r="IR14" s="13"/>
      <c r="IT14" s="29">
        <f ca="1"/>
        <v>12</v>
      </c>
      <c r="IU14" s="30" t="str">
        <f ca="1"/>
        <v>Moll</v>
      </c>
      <c r="IV14" s="30" t="e" vm="13">
        <f ca="1"/>
        <v>#VALUE!</v>
      </c>
      <c r="IW14" s="30" t="e">
        <f ca="1"/>
        <v>#VALUE!</v>
      </c>
      <c r="IX14" s="13"/>
      <c r="IY14" s="30">
        <f ca="1"/>
        <v>0</v>
      </c>
      <c r="JA14" s="27">
        <f ca="1"/>
        <v>12</v>
      </c>
      <c r="JB14" s="30" t="str">
        <f ca="1"/>
        <v>Moll</v>
      </c>
      <c r="JC14" s="30">
        <f ca="1"/>
        <v>0</v>
      </c>
      <c r="JD14" s="13"/>
      <c r="JE14" s="13"/>
      <c r="JG14" s="29">
        <f ca="1"/>
        <v>12</v>
      </c>
      <c r="JH14" s="30" t="str">
        <f ca="1"/>
        <v>Moll</v>
      </c>
      <c r="JI14" s="30" t="e" vm="13">
        <f ca="1"/>
        <v>#VALUE!</v>
      </c>
      <c r="JJ14" s="30" t="e">
        <f ca="1"/>
        <v>#VALUE!</v>
      </c>
      <c r="JK14" s="13"/>
      <c r="JL14" s="30">
        <f ca="1"/>
        <v>0</v>
      </c>
      <c r="JN14" s="27">
        <f ca="1"/>
        <v>12</v>
      </c>
      <c r="JO14" s="30" t="str">
        <f ca="1"/>
        <v>Moll</v>
      </c>
      <c r="JP14" s="30">
        <f ca="1"/>
        <v>0</v>
      </c>
      <c r="JQ14" s="13"/>
      <c r="JR14" s="13"/>
      <c r="JT14" s="29">
        <f ca="1"/>
        <v>12</v>
      </c>
      <c r="JU14" s="30" t="str">
        <f ca="1"/>
        <v>Moll</v>
      </c>
      <c r="JV14" s="30" t="e" vm="13">
        <f ca="1"/>
        <v>#VALUE!</v>
      </c>
      <c r="JW14" s="30" t="e">
        <f ca="1"/>
        <v>#VALUE!</v>
      </c>
      <c r="JX14" s="13"/>
      <c r="JY14" s="30">
        <f ca="1"/>
        <v>0</v>
      </c>
      <c r="KA14" s="27">
        <f ca="1"/>
        <v>12</v>
      </c>
      <c r="KB14" s="30" t="str">
        <f ca="1"/>
        <v>Moll</v>
      </c>
      <c r="KC14" s="30">
        <f ca="1"/>
        <v>0</v>
      </c>
      <c r="KD14" s="13"/>
      <c r="KE14" s="13"/>
      <c r="KG14" s="29">
        <f ca="1"/>
        <v>12</v>
      </c>
      <c r="KH14" s="30" t="str">
        <f ca="1"/>
        <v>Moll</v>
      </c>
      <c r="KI14" s="30" t="e" vm="13">
        <f ca="1"/>
        <v>#VALUE!</v>
      </c>
      <c r="KJ14" s="30" t="e">
        <f ca="1"/>
        <v>#VALUE!</v>
      </c>
      <c r="KK14" s="13"/>
      <c r="KL14" s="30">
        <f ca="1"/>
        <v>0</v>
      </c>
      <c r="KN14" s="27">
        <f ca="1"/>
        <v>12</v>
      </c>
      <c r="KO14" s="30" t="str">
        <f ca="1"/>
        <v>Moll</v>
      </c>
      <c r="KP14" s="30">
        <f ca="1"/>
        <v>0</v>
      </c>
      <c r="KQ14" s="13"/>
      <c r="KR14" s="13"/>
      <c r="KT14" s="29">
        <f ca="1"/>
        <v>12</v>
      </c>
      <c r="KU14" s="30" t="str">
        <f ca="1"/>
        <v>Moll</v>
      </c>
      <c r="KV14" s="30" t="e" vm="13">
        <f ca="1"/>
        <v>#VALUE!</v>
      </c>
      <c r="KW14" s="30" t="e">
        <f ca="1"/>
        <v>#VALUE!</v>
      </c>
      <c r="KX14" s="13"/>
      <c r="KY14" s="30">
        <f ca="1"/>
        <v>0</v>
      </c>
      <c r="LA14" s="27">
        <f ca="1"/>
        <v>12</v>
      </c>
      <c r="LB14" s="30" t="str">
        <f ca="1"/>
        <v>Moll</v>
      </c>
      <c r="LC14" s="30">
        <f ca="1"/>
        <v>0</v>
      </c>
      <c r="LD14" s="13"/>
      <c r="LE14" s="13"/>
      <c r="LG14" s="29">
        <f ca="1"/>
        <v>12</v>
      </c>
      <c r="LH14" s="30" t="str">
        <f ca="1"/>
        <v>Moll</v>
      </c>
      <c r="LI14" s="30" t="e" vm="13">
        <f ca="1"/>
        <v>#VALUE!</v>
      </c>
      <c r="LJ14" s="30" t="e">
        <f ca="1"/>
        <v>#VALUE!</v>
      </c>
      <c r="LK14" s="13"/>
      <c r="LL14" s="30">
        <f ca="1"/>
        <v>0</v>
      </c>
      <c r="LN14" s="27">
        <f ca="1"/>
        <v>12</v>
      </c>
      <c r="LO14" s="30" t="str">
        <f ca="1"/>
        <v>Moll</v>
      </c>
      <c r="LP14" s="30">
        <f ca="1"/>
        <v>0</v>
      </c>
      <c r="LQ14" s="13"/>
      <c r="LR14" s="13"/>
      <c r="LT14" s="29">
        <f ca="1"/>
        <v>12</v>
      </c>
      <c r="LU14" s="30" t="str">
        <f ca="1"/>
        <v>Moll</v>
      </c>
      <c r="LV14" s="30" t="e" vm="13">
        <f ca="1"/>
        <v>#VALUE!</v>
      </c>
      <c r="LW14" s="30" t="e">
        <f ca="1"/>
        <v>#VALUE!</v>
      </c>
      <c r="LX14" s="13"/>
      <c r="LY14" s="30">
        <f ca="1"/>
        <v>0</v>
      </c>
      <c r="MA14" s="27">
        <f ca="1"/>
        <v>12</v>
      </c>
      <c r="MB14" s="30" t="str">
        <f ca="1"/>
        <v>Moll</v>
      </c>
      <c r="MC14" s="30">
        <f ca="1"/>
        <v>0</v>
      </c>
      <c r="MD14" s="13"/>
      <c r="ME14" s="13"/>
      <c r="MG14" s="29">
        <f ca="1"/>
        <v>12</v>
      </c>
      <c r="MH14" s="30" t="str">
        <f ca="1"/>
        <v>Moll</v>
      </c>
      <c r="MI14" s="30" t="e" vm="13">
        <f ca="1"/>
        <v>#VALUE!</v>
      </c>
      <c r="MJ14" s="30" t="e">
        <f ca="1"/>
        <v>#VALUE!</v>
      </c>
      <c r="MK14" s="13"/>
      <c r="ML14" s="30">
        <f ca="1"/>
        <v>0</v>
      </c>
      <c r="MN14" s="27">
        <f ca="1"/>
        <v>12</v>
      </c>
      <c r="MO14" s="30" t="str">
        <f ca="1"/>
        <v>Moll</v>
      </c>
      <c r="MP14" s="30">
        <f ca="1"/>
        <v>0</v>
      </c>
      <c r="MQ14" s="13"/>
      <c r="MR14" s="13"/>
      <c r="MS14" s="1"/>
      <c r="MT14" s="29">
        <f ca="1"/>
        <v>12</v>
      </c>
      <c r="MU14" s="30" t="str">
        <f ca="1"/>
        <v>Moll</v>
      </c>
      <c r="MV14" s="30" t="e" vm="13">
        <f ca="1"/>
        <v>#VALUE!</v>
      </c>
      <c r="MW14" s="30" t="e">
        <f ca="1"/>
        <v>#VALUE!</v>
      </c>
      <c r="MX14" s="13"/>
      <c r="MY14" s="30">
        <f ca="1"/>
        <v>0</v>
      </c>
      <c r="NA14" s="27">
        <f ca="1"/>
        <v>12</v>
      </c>
      <c r="NB14" s="30" t="str">
        <f ca="1"/>
        <v>Moll</v>
      </c>
      <c r="NC14" s="30">
        <f ca="1"/>
        <v>0</v>
      </c>
      <c r="ND14" s="13"/>
      <c r="NE14" s="13"/>
      <c r="NG14" s="29">
        <f ca="1"/>
        <v>12</v>
      </c>
      <c r="NH14" s="30" t="str">
        <f ca="1"/>
        <v>Moll</v>
      </c>
      <c r="NI14" s="30" t="e" vm="13">
        <f ca="1"/>
        <v>#VALUE!</v>
      </c>
      <c r="NJ14" s="30" t="e">
        <f ca="1"/>
        <v>#VALUE!</v>
      </c>
      <c r="NK14" s="13"/>
      <c r="NL14" s="30">
        <f ca="1"/>
        <v>0</v>
      </c>
      <c r="NN14" s="27">
        <f ca="1"/>
        <v>12</v>
      </c>
      <c r="NO14" s="30" t="str">
        <f ca="1"/>
        <v>Moll</v>
      </c>
      <c r="NP14" s="30">
        <f ca="1"/>
        <v>0</v>
      </c>
      <c r="NQ14" s="13"/>
      <c r="NR14" s="13"/>
      <c r="NT14" s="29">
        <f ca="1"/>
        <v>12</v>
      </c>
      <c r="NU14" s="30" t="str">
        <f ca="1"/>
        <v>Moll</v>
      </c>
      <c r="NV14" s="30" t="e" vm="13">
        <f ca="1"/>
        <v>#VALUE!</v>
      </c>
      <c r="NW14" s="30" t="e">
        <f ca="1"/>
        <v>#VALUE!</v>
      </c>
      <c r="NX14" s="13"/>
      <c r="NY14" s="30">
        <f ca="1"/>
        <v>0</v>
      </c>
      <c r="OA14" s="27">
        <f ca="1"/>
        <v>12</v>
      </c>
      <c r="OB14" s="30" t="str">
        <f ca="1"/>
        <v>Moll</v>
      </c>
      <c r="OC14" s="30">
        <f ca="1"/>
        <v>0</v>
      </c>
      <c r="OD14" s="13"/>
      <c r="OE14" s="13"/>
      <c r="OG14" s="29">
        <f ca="1"/>
        <v>12</v>
      </c>
      <c r="OH14" s="30" t="str">
        <f ca="1"/>
        <v>Moll</v>
      </c>
      <c r="OI14" s="30" t="e" vm="13">
        <f ca="1"/>
        <v>#VALUE!</v>
      </c>
      <c r="OJ14" s="30" t="e">
        <f ca="1"/>
        <v>#VALUE!</v>
      </c>
      <c r="OK14" s="13"/>
      <c r="OL14" s="30">
        <f ca="1"/>
        <v>0</v>
      </c>
      <c r="ON14" s="27">
        <f ca="1"/>
        <v>12</v>
      </c>
      <c r="OO14" s="30" t="str">
        <f ca="1"/>
        <v>Moll</v>
      </c>
      <c r="OP14" s="30">
        <f ca="1"/>
        <v>0</v>
      </c>
      <c r="OQ14" s="13"/>
      <c r="OR14" s="13"/>
      <c r="OT14" s="29">
        <f ca="1"/>
        <v>12</v>
      </c>
      <c r="OU14" s="30" t="str">
        <f ca="1"/>
        <v>Moll</v>
      </c>
      <c r="OV14" s="30" t="e" vm="13">
        <f ca="1"/>
        <v>#VALUE!</v>
      </c>
      <c r="OW14" s="30" t="e">
        <f ca="1"/>
        <v>#VALUE!</v>
      </c>
      <c r="OX14" s="13"/>
      <c r="OY14" s="30">
        <f ca="1"/>
        <v>0</v>
      </c>
      <c r="PA14" s="27">
        <f ca="1"/>
        <v>12</v>
      </c>
      <c r="PB14" s="30" t="str">
        <f ca="1"/>
        <v>Moll</v>
      </c>
      <c r="PC14" s="30">
        <f ca="1"/>
        <v>0</v>
      </c>
      <c r="PD14" s="13"/>
      <c r="PE14" s="13"/>
      <c r="PG14" s="29">
        <f ca="1"/>
        <v>12</v>
      </c>
      <c r="PH14" s="30" t="str">
        <f ca="1"/>
        <v>Moll</v>
      </c>
      <c r="PI14" s="30" t="e" vm="13">
        <f ca="1"/>
        <v>#VALUE!</v>
      </c>
      <c r="PJ14" s="30" t="e">
        <f ca="1"/>
        <v>#VALUE!</v>
      </c>
      <c r="PK14" s="13"/>
      <c r="PL14" s="30">
        <f ca="1"/>
        <v>0</v>
      </c>
      <c r="PN14" s="27">
        <f ca="1"/>
        <v>12</v>
      </c>
      <c r="PO14" s="30" t="str">
        <f ca="1"/>
        <v>Moll</v>
      </c>
      <c r="PP14" s="30">
        <f ca="1"/>
        <v>0</v>
      </c>
      <c r="PQ14" s="13"/>
      <c r="PR14" s="13"/>
      <c r="PT14" s="29">
        <f ca="1"/>
        <v>12</v>
      </c>
      <c r="PU14" s="30" t="str">
        <f ca="1"/>
        <v>Moll</v>
      </c>
      <c r="PV14" s="30" t="e" vm="13">
        <f ca="1"/>
        <v>#VALUE!</v>
      </c>
      <c r="PW14" s="30" t="e">
        <f ca="1"/>
        <v>#VALUE!</v>
      </c>
      <c r="PX14" s="13"/>
      <c r="PY14" s="30">
        <f ca="1"/>
        <v>0</v>
      </c>
      <c r="QA14" s="27">
        <f ca="1"/>
        <v>12</v>
      </c>
      <c r="QB14" s="30" t="str">
        <f ca="1"/>
        <v>Moll</v>
      </c>
      <c r="QC14" s="30">
        <f ca="1"/>
        <v>0</v>
      </c>
      <c r="QD14" s="13"/>
      <c r="QE14" s="13"/>
      <c r="QG14" s="29">
        <f ca="1"/>
        <v>12</v>
      </c>
      <c r="QH14" s="30" t="str">
        <f ca="1"/>
        <v>Moll</v>
      </c>
      <c r="QI14" s="30" t="e" vm="13">
        <f ca="1"/>
        <v>#VALUE!</v>
      </c>
      <c r="QJ14" s="30" t="e">
        <f ca="1"/>
        <v>#VALUE!</v>
      </c>
      <c r="QK14" s="13"/>
      <c r="QL14" s="30">
        <f ca="1"/>
        <v>0</v>
      </c>
      <c r="QN14" s="27">
        <f ca="1"/>
        <v>12</v>
      </c>
      <c r="QO14" s="30" t="str">
        <f ca="1"/>
        <v>Moll</v>
      </c>
      <c r="QP14" s="30">
        <f ca="1"/>
        <v>0</v>
      </c>
      <c r="QQ14" s="13"/>
      <c r="QR14" s="13"/>
      <c r="QT14" s="29">
        <f ca="1"/>
        <v>12</v>
      </c>
      <c r="QU14" s="30" t="str">
        <f ca="1"/>
        <v>Moll</v>
      </c>
      <c r="QV14" s="30" t="e" vm="13">
        <f ca="1"/>
        <v>#VALUE!</v>
      </c>
      <c r="QW14" s="30" t="e">
        <f ca="1"/>
        <v>#VALUE!</v>
      </c>
      <c r="QX14" s="13"/>
      <c r="QY14" s="30">
        <f ca="1"/>
        <v>0</v>
      </c>
      <c r="RA14" s="27">
        <f ca="1"/>
        <v>12</v>
      </c>
      <c r="RB14" s="30" t="str">
        <f ca="1"/>
        <v>Moll</v>
      </c>
      <c r="RC14" s="30">
        <f ca="1"/>
        <v>0</v>
      </c>
      <c r="RD14" s="13"/>
      <c r="RE14" s="13"/>
      <c r="RG14" s="29">
        <f ca="1"/>
        <v>12</v>
      </c>
      <c r="RH14" s="30" t="str">
        <f ca="1"/>
        <v>Moll</v>
      </c>
      <c r="RI14" s="30" t="e" vm="13">
        <f ca="1"/>
        <v>#VALUE!</v>
      </c>
      <c r="RJ14" s="30" t="e">
        <f ca="1"/>
        <v>#VALUE!</v>
      </c>
      <c r="RK14" s="13"/>
      <c r="RL14" s="30">
        <f ca="1"/>
        <v>0</v>
      </c>
      <c r="RN14" s="27">
        <f ca="1"/>
        <v>12</v>
      </c>
      <c r="RO14" s="30" t="str">
        <f ca="1"/>
        <v>Moll</v>
      </c>
      <c r="RP14" s="30">
        <f ca="1"/>
        <v>0</v>
      </c>
      <c r="RQ14" s="13"/>
      <c r="RR14" s="13"/>
      <c r="RT14" s="29">
        <f ca="1"/>
        <v>12</v>
      </c>
      <c r="RU14" s="30" t="str">
        <f ca="1"/>
        <v>Moll</v>
      </c>
      <c r="RV14" s="30" t="e" vm="13">
        <f ca="1"/>
        <v>#VALUE!</v>
      </c>
      <c r="RW14" s="30" t="e">
        <f ca="1"/>
        <v>#VALUE!</v>
      </c>
      <c r="RX14" s="13"/>
      <c r="RY14" s="30">
        <f ca="1"/>
        <v>0</v>
      </c>
      <c r="SA14" s="27">
        <f ca="1"/>
        <v>12</v>
      </c>
      <c r="SB14" s="30" t="str">
        <f ca="1"/>
        <v>Moll</v>
      </c>
      <c r="SC14" s="30">
        <f ca="1"/>
        <v>0</v>
      </c>
      <c r="SD14" s="13"/>
      <c r="SE14" s="13"/>
      <c r="SG14" s="29">
        <f ca="1"/>
        <v>12</v>
      </c>
      <c r="SH14" s="30" t="str">
        <f ca="1"/>
        <v>Moll</v>
      </c>
      <c r="SI14" s="30" t="e" vm="13">
        <f ca="1"/>
        <v>#VALUE!</v>
      </c>
      <c r="SJ14" s="30" t="e">
        <f ca="1"/>
        <v>#VALUE!</v>
      </c>
      <c r="SK14" s="13"/>
      <c r="SL14" s="30">
        <f ca="1"/>
        <v>0</v>
      </c>
      <c r="SN14" s="27">
        <f ca="1"/>
        <v>12</v>
      </c>
      <c r="SO14" s="30" t="str">
        <f ca="1"/>
        <v>Moll</v>
      </c>
      <c r="SP14" s="30">
        <f ca="1"/>
        <v>0</v>
      </c>
      <c r="SQ14" s="13"/>
      <c r="SR14" s="13"/>
      <c r="ST14" s="29">
        <f ca="1"/>
        <v>12</v>
      </c>
      <c r="SU14" s="30" t="str">
        <f ca="1"/>
        <v>Moll</v>
      </c>
      <c r="SV14" s="30" t="e" vm="13">
        <f ca="1"/>
        <v>#VALUE!</v>
      </c>
      <c r="SW14" s="30" t="e">
        <f ca="1"/>
        <v>#VALUE!</v>
      </c>
      <c r="SX14" s="13"/>
      <c r="SY14" s="30">
        <f ca="1"/>
        <v>0</v>
      </c>
      <c r="TA14" s="29">
        <f ca="1"/>
        <v>12</v>
      </c>
      <c r="TB14" s="30" t="str">
        <f ca="1"/>
        <v>Moll</v>
      </c>
      <c r="TC14" s="30" t="e" vm="13">
        <f ca="1"/>
        <v>#VALUE!</v>
      </c>
      <c r="TD14" s="30">
        <f ca="1"/>
        <v>360</v>
      </c>
    </row>
    <row r="15" spans="1:524" ht="20.100000000000001" customHeight="1">
      <c r="A15" s="27">
        <f ca="1"/>
        <v>13</v>
      </c>
      <c r="B15" s="30" t="str">
        <f ca="1"/>
        <v>Flo</v>
      </c>
      <c r="C15" s="30">
        <v>1</v>
      </c>
      <c r="D15" s="13"/>
      <c r="E15" s="57">
        <v>0</v>
      </c>
      <c r="G15" s="29">
        <f ca="1"/>
        <v>13</v>
      </c>
      <c r="H15" s="30" t="str">
        <f ca="1"/>
        <v>Flo</v>
      </c>
      <c r="I15" s="30" t="e" vm="15">
        <f ca="1"/>
        <v>#VALUE!</v>
      </c>
      <c r="J15" s="55" t="e">
        <f ca="1"/>
        <v>#VALUE!</v>
      </c>
      <c r="K15" s="13"/>
      <c r="L15" s="30">
        <f ca="1"/>
        <v>1</v>
      </c>
      <c r="N15" s="27">
        <f ca="1"/>
        <v>13</v>
      </c>
      <c r="O15" s="30" t="str">
        <f ca="1"/>
        <v>Flo</v>
      </c>
      <c r="P15" s="30">
        <f ca="1"/>
        <v>1</v>
      </c>
      <c r="Q15" s="13"/>
      <c r="R15" s="13">
        <v>0</v>
      </c>
      <c r="T15" s="29">
        <f ca="1"/>
        <v>13</v>
      </c>
      <c r="U15" s="30" t="str">
        <f ca="1"/>
        <v>Flo</v>
      </c>
      <c r="V15" s="30" t="e" vm="15">
        <f ca="1"/>
        <v>#VALUE!</v>
      </c>
      <c r="W15" s="30" t="e">
        <f ca="1"/>
        <v>#VALUE!</v>
      </c>
      <c r="X15" s="13"/>
      <c r="Y15" s="30">
        <f ca="1"/>
        <v>1</v>
      </c>
      <c r="AA15" s="27">
        <f ca="1"/>
        <v>13</v>
      </c>
      <c r="AB15" s="30" t="str">
        <f ca="1"/>
        <v>Flo</v>
      </c>
      <c r="AC15" s="30">
        <f ca="1"/>
        <v>1</v>
      </c>
      <c r="AD15" s="13"/>
      <c r="AE15" s="13">
        <v>0</v>
      </c>
      <c r="AG15" s="29">
        <f ca="1"/>
        <v>13</v>
      </c>
      <c r="AH15" s="30" t="str">
        <f ca="1"/>
        <v>Flo</v>
      </c>
      <c r="AI15" s="30" t="e" vm="15">
        <f ca="1"/>
        <v>#VALUE!</v>
      </c>
      <c r="AJ15" s="30" t="e">
        <f ca="1"/>
        <v>#VALUE!</v>
      </c>
      <c r="AK15" s="13"/>
      <c r="AL15" s="30">
        <f ca="1"/>
        <v>1</v>
      </c>
      <c r="AN15" s="27">
        <f ca="1"/>
        <v>13</v>
      </c>
      <c r="AO15" s="30" t="str">
        <f ca="1"/>
        <v>Flo</v>
      </c>
      <c r="AP15" s="30">
        <f ca="1"/>
        <v>1</v>
      </c>
      <c r="AQ15" s="13"/>
      <c r="AR15" s="13">
        <v>0</v>
      </c>
      <c r="AT15" s="29">
        <f ca="1"/>
        <v>13</v>
      </c>
      <c r="AU15" s="30" t="str">
        <f ca="1"/>
        <v>Flo</v>
      </c>
      <c r="AV15" s="30" t="e" vm="15">
        <f ca="1"/>
        <v>#VALUE!</v>
      </c>
      <c r="AW15" s="30" t="e">
        <f ca="1"/>
        <v>#VALUE!</v>
      </c>
      <c r="AX15" s="13"/>
      <c r="AY15" s="30">
        <f ca="1"/>
        <v>1</v>
      </c>
      <c r="BA15" s="27">
        <f ca="1"/>
        <v>13</v>
      </c>
      <c r="BB15" s="30" t="str">
        <f ca="1"/>
        <v>Flo</v>
      </c>
      <c r="BC15" s="30">
        <f ca="1"/>
        <v>1</v>
      </c>
      <c r="BD15" s="13"/>
      <c r="BE15" s="13">
        <v>13287</v>
      </c>
      <c r="BG15" s="29">
        <f ca="1"/>
        <v>13</v>
      </c>
      <c r="BH15" s="30" t="str">
        <f ca="1"/>
        <v>Champix</v>
      </c>
      <c r="BI15" s="30" t="e" vm="15">
        <f ca="1"/>
        <v>#VALUE!</v>
      </c>
      <c r="BJ15" s="30" t="e">
        <f ca="1"/>
        <v>#VALUE!</v>
      </c>
      <c r="BK15" s="13"/>
      <c r="BL15" s="30">
        <f ca="1"/>
        <v>1</v>
      </c>
      <c r="BN15" s="27">
        <f ca="1"/>
        <v>13</v>
      </c>
      <c r="BO15" s="30" t="str">
        <f ca="1"/>
        <v>Champix</v>
      </c>
      <c r="BP15" s="30">
        <f ca="1"/>
        <v>1</v>
      </c>
      <c r="BQ15" s="13"/>
      <c r="BR15" s="13">
        <v>11012</v>
      </c>
      <c r="BS15" s="1"/>
      <c r="BT15" s="29">
        <f ca="1"/>
        <v>13</v>
      </c>
      <c r="BU15" s="30" t="str">
        <f ca="1"/>
        <v>Sumz</v>
      </c>
      <c r="BV15" s="30" t="e" vm="18">
        <f ca="1"/>
        <v>#VALUE!</v>
      </c>
      <c r="BW15" s="30" t="e">
        <f ca="1"/>
        <v>#VALUE!</v>
      </c>
      <c r="BX15" s="13"/>
      <c r="BY15" s="30">
        <f ca="1"/>
        <v>1</v>
      </c>
      <c r="CA15" s="27">
        <f ca="1"/>
        <v>13</v>
      </c>
      <c r="CB15" s="30" t="str">
        <f ca="1"/>
        <v>Sumz</v>
      </c>
      <c r="CC15" s="30">
        <f ca="1"/>
        <v>1</v>
      </c>
      <c r="CD15" s="13"/>
      <c r="CE15" s="13">
        <v>11370</v>
      </c>
      <c r="CG15" s="29">
        <f ca="1"/>
        <v>13</v>
      </c>
      <c r="CH15" s="30" t="str">
        <f ca="1"/>
        <v>Sumz</v>
      </c>
      <c r="CI15" s="30" t="e" vm="18">
        <f ca="1"/>
        <v>#VALUE!</v>
      </c>
      <c r="CJ15" s="30" t="e">
        <f ca="1"/>
        <v>#VALUE!</v>
      </c>
      <c r="CK15" s="13"/>
      <c r="CL15" s="30">
        <f ca="1"/>
        <v>1</v>
      </c>
      <c r="CN15" s="27">
        <f ca="1"/>
        <v>13</v>
      </c>
      <c r="CO15" s="30" t="str">
        <f ca="1"/>
        <v>Sumz</v>
      </c>
      <c r="CP15" s="30">
        <f ca="1"/>
        <v>1</v>
      </c>
      <c r="CQ15" s="13"/>
      <c r="CR15" s="13">
        <v>11138</v>
      </c>
      <c r="CT15" s="29">
        <f ca="1"/>
        <v>13</v>
      </c>
      <c r="CU15" s="30" t="str">
        <f ca="1"/>
        <v>Champix</v>
      </c>
      <c r="CV15" s="30" t="e" vm="15">
        <f ca="1"/>
        <v>#VALUE!</v>
      </c>
      <c r="CW15" s="30" t="e">
        <f ca="1"/>
        <v>#VALUE!</v>
      </c>
      <c r="CX15" s="13"/>
      <c r="CY15" s="30">
        <f ca="1"/>
        <v>1</v>
      </c>
      <c r="DA15" s="27">
        <f ca="1"/>
        <v>13</v>
      </c>
      <c r="DB15" s="30" t="str">
        <f ca="1"/>
        <v>Champix</v>
      </c>
      <c r="DC15" s="30">
        <f ca="1"/>
        <v>1</v>
      </c>
      <c r="DD15" s="13">
        <v>2</v>
      </c>
      <c r="DE15" s="13">
        <v>10073</v>
      </c>
      <c r="DG15" s="29">
        <f ca="1"/>
        <v>13</v>
      </c>
      <c r="DH15" s="30" t="str">
        <f ca="1"/>
        <v>Moll</v>
      </c>
      <c r="DI15" s="30" t="e" vm="13">
        <f ca="1"/>
        <v>#VALUE!</v>
      </c>
      <c r="DJ15" s="30" t="e">
        <f ca="1"/>
        <v>#VALUE!</v>
      </c>
      <c r="DK15" s="13">
        <v>1</v>
      </c>
      <c r="DL15" s="30">
        <f ca="1"/>
        <v>2</v>
      </c>
      <c r="DN15" s="27">
        <f ca="1"/>
        <v>13</v>
      </c>
      <c r="DO15" s="30" t="str">
        <f ca="1"/>
        <v>Moll</v>
      </c>
      <c r="DP15" s="30">
        <f ca="1"/>
        <v>2</v>
      </c>
      <c r="DQ15" s="13"/>
      <c r="DR15" s="13">
        <v>13422</v>
      </c>
      <c r="DT15" s="29">
        <f ca="1"/>
        <v>13</v>
      </c>
      <c r="DU15" s="30" t="str">
        <f ca="1"/>
        <v>Mike</v>
      </c>
      <c r="DV15" s="30" t="e" vm="12">
        <f ca="1"/>
        <v>#VALUE!</v>
      </c>
      <c r="DW15" s="30" t="e">
        <f ca="1"/>
        <v>#VALUE!</v>
      </c>
      <c r="DX15" s="13">
        <v>1</v>
      </c>
      <c r="DY15" s="30">
        <f ca="1"/>
        <v>2</v>
      </c>
      <c r="EA15" s="27">
        <f ca="1"/>
        <v>13</v>
      </c>
      <c r="EB15" s="30" t="str">
        <f ca="1"/>
        <v>Geo</v>
      </c>
      <c r="EC15" s="30">
        <f ca="1"/>
        <v>1</v>
      </c>
      <c r="ED15" s="13"/>
      <c r="EE15" s="13">
        <v>10429</v>
      </c>
      <c r="EG15" s="29">
        <f ca="1"/>
        <v>13</v>
      </c>
      <c r="EH15" s="30" t="str">
        <f ca="1"/>
        <v>Leyla</v>
      </c>
      <c r="EI15" s="30" t="e" vm="13">
        <f ca="1"/>
        <v>#VALUE!</v>
      </c>
      <c r="EJ15" s="30" t="e">
        <f ca="1"/>
        <v>#VALUE!</v>
      </c>
      <c r="EK15" s="13">
        <v>1</v>
      </c>
      <c r="EL15" s="30">
        <f ca="1"/>
        <v>1</v>
      </c>
      <c r="EN15" s="27">
        <f ca="1"/>
        <v>13</v>
      </c>
      <c r="EO15" s="30" t="str">
        <f ca="1"/>
        <v>Sumz</v>
      </c>
      <c r="EP15" s="30">
        <f ca="1"/>
        <v>0</v>
      </c>
      <c r="EQ15" s="13"/>
      <c r="ER15" s="13"/>
      <c r="ET15" s="29">
        <f ca="1"/>
        <v>13</v>
      </c>
      <c r="EU15" s="30" t="str">
        <f ca="1"/>
        <v>Sumz</v>
      </c>
      <c r="EV15" s="30" t="e" vm="18">
        <f ca="1"/>
        <v>#VALUE!</v>
      </c>
      <c r="EW15" s="30" t="e">
        <f ca="1"/>
        <v>#VALUE!</v>
      </c>
      <c r="EX15" s="13"/>
      <c r="EY15" s="30">
        <f ca="1"/>
        <v>0</v>
      </c>
      <c r="FA15" s="27">
        <f ca="1"/>
        <v>13</v>
      </c>
      <c r="FB15" s="30" t="str">
        <f ca="1"/>
        <v>Sumz</v>
      </c>
      <c r="FC15" s="30">
        <f ca="1"/>
        <v>0</v>
      </c>
      <c r="FD15" s="13"/>
      <c r="FE15" s="13"/>
      <c r="FG15" s="29">
        <f ca="1"/>
        <v>13</v>
      </c>
      <c r="FH15" s="30" t="str">
        <f ca="1"/>
        <v>Sumz</v>
      </c>
      <c r="FI15" s="30" t="e" vm="18">
        <f ca="1"/>
        <v>#VALUE!</v>
      </c>
      <c r="FJ15" s="30" t="e">
        <f ca="1"/>
        <v>#VALUE!</v>
      </c>
      <c r="FK15" s="13"/>
      <c r="FL15" s="30">
        <f ca="1"/>
        <v>0</v>
      </c>
      <c r="FN15" s="27">
        <f ca="1"/>
        <v>13</v>
      </c>
      <c r="FO15" s="30" t="str">
        <f ca="1"/>
        <v>Sumz</v>
      </c>
      <c r="FP15" s="30">
        <f ca="1"/>
        <v>0</v>
      </c>
      <c r="FQ15" s="13"/>
      <c r="FR15" s="13"/>
      <c r="FT15" s="29">
        <f ca="1"/>
        <v>13</v>
      </c>
      <c r="FU15" s="30" t="str">
        <f ca="1"/>
        <v>Sumz</v>
      </c>
      <c r="FV15" s="30" t="e" vm="18">
        <f ca="1"/>
        <v>#VALUE!</v>
      </c>
      <c r="FW15" s="30" t="e">
        <f ca="1"/>
        <v>#VALUE!</v>
      </c>
      <c r="FX15" s="13"/>
      <c r="FY15" s="30">
        <f ca="1"/>
        <v>0</v>
      </c>
      <c r="GA15" s="27">
        <f ca="1"/>
        <v>13</v>
      </c>
      <c r="GB15" s="30" t="str">
        <f ca="1"/>
        <v>Sumz</v>
      </c>
      <c r="GC15" s="30">
        <f ca="1"/>
        <v>0</v>
      </c>
      <c r="GD15" s="13"/>
      <c r="GE15" s="13"/>
      <c r="GG15" s="29">
        <f ca="1"/>
        <v>13</v>
      </c>
      <c r="GH15" s="30" t="str">
        <f ca="1"/>
        <v>Sumz</v>
      </c>
      <c r="GI15" s="30" t="e" vm="18">
        <f ca="1"/>
        <v>#VALUE!</v>
      </c>
      <c r="GJ15" s="30" t="e">
        <f ca="1"/>
        <v>#VALUE!</v>
      </c>
      <c r="GK15" s="13"/>
      <c r="GL15" s="30">
        <f ca="1"/>
        <v>0</v>
      </c>
      <c r="GN15" s="27">
        <f ca="1"/>
        <v>13</v>
      </c>
      <c r="GO15" s="30" t="str">
        <f ca="1"/>
        <v>Sumz</v>
      </c>
      <c r="GP15" s="30">
        <f ca="1"/>
        <v>0</v>
      </c>
      <c r="GQ15" s="13"/>
      <c r="GR15" s="13"/>
      <c r="GT15" s="29">
        <f ca="1"/>
        <v>13</v>
      </c>
      <c r="GU15" s="30" t="str">
        <f ca="1"/>
        <v>Sumz</v>
      </c>
      <c r="GV15" s="30" t="e" vm="18">
        <f ca="1"/>
        <v>#VALUE!</v>
      </c>
      <c r="GW15" s="30" t="e">
        <f ca="1"/>
        <v>#VALUE!</v>
      </c>
      <c r="GX15" s="13"/>
      <c r="GY15" s="30">
        <f ca="1"/>
        <v>0</v>
      </c>
      <c r="HA15" s="27">
        <f ca="1"/>
        <v>13</v>
      </c>
      <c r="HB15" s="30" t="str">
        <f ca="1"/>
        <v>Sumz</v>
      </c>
      <c r="HC15" s="30">
        <f ca="1"/>
        <v>0</v>
      </c>
      <c r="HD15" s="13"/>
      <c r="HE15" s="13"/>
      <c r="HF15" s="1"/>
      <c r="HG15" s="29">
        <f ca="1"/>
        <v>13</v>
      </c>
      <c r="HH15" s="30" t="str">
        <f ca="1"/>
        <v>Sumz</v>
      </c>
      <c r="HI15" s="30" t="e" vm="18">
        <f ca="1"/>
        <v>#VALUE!</v>
      </c>
      <c r="HJ15" s="30" t="e">
        <f ca="1"/>
        <v>#VALUE!</v>
      </c>
      <c r="HK15" s="13"/>
      <c r="HL15" s="30">
        <f ca="1"/>
        <v>0</v>
      </c>
      <c r="HN15" s="27">
        <f ca="1"/>
        <v>13</v>
      </c>
      <c r="HO15" s="30" t="str">
        <f ca="1"/>
        <v>Sumz</v>
      </c>
      <c r="HP15" s="30">
        <f ca="1"/>
        <v>0</v>
      </c>
      <c r="HQ15" s="13"/>
      <c r="HR15" s="13"/>
      <c r="HT15" s="29">
        <f ca="1"/>
        <v>13</v>
      </c>
      <c r="HU15" s="30" t="str">
        <f ca="1"/>
        <v>Sumz</v>
      </c>
      <c r="HV15" s="30" t="e" vm="18">
        <f ca="1"/>
        <v>#VALUE!</v>
      </c>
      <c r="HW15" s="30" t="e">
        <f ca="1"/>
        <v>#VALUE!</v>
      </c>
      <c r="HX15" s="13"/>
      <c r="HY15" s="30">
        <f ca="1"/>
        <v>0</v>
      </c>
      <c r="IA15" s="27">
        <f ca="1"/>
        <v>13</v>
      </c>
      <c r="IB15" s="30" t="str">
        <f ca="1"/>
        <v>Sumz</v>
      </c>
      <c r="IC15" s="30">
        <f ca="1"/>
        <v>0</v>
      </c>
      <c r="ID15" s="13"/>
      <c r="IE15" s="13"/>
      <c r="IG15" s="29">
        <f ca="1"/>
        <v>13</v>
      </c>
      <c r="IH15" s="30" t="str">
        <f ca="1"/>
        <v>Sumz</v>
      </c>
      <c r="II15" s="30" t="e" vm="18">
        <f ca="1"/>
        <v>#VALUE!</v>
      </c>
      <c r="IJ15" s="30" t="e">
        <f ca="1"/>
        <v>#VALUE!</v>
      </c>
      <c r="IK15" s="13"/>
      <c r="IL15" s="30">
        <f ca="1"/>
        <v>0</v>
      </c>
      <c r="IN15" s="27">
        <f ca="1"/>
        <v>13</v>
      </c>
      <c r="IO15" s="30" t="str">
        <f ca="1"/>
        <v>Sumz</v>
      </c>
      <c r="IP15" s="30">
        <f ca="1"/>
        <v>0</v>
      </c>
      <c r="IQ15" s="13"/>
      <c r="IR15" s="13"/>
      <c r="IT15" s="29">
        <f ca="1"/>
        <v>13</v>
      </c>
      <c r="IU15" s="30" t="str">
        <f ca="1"/>
        <v>Sumz</v>
      </c>
      <c r="IV15" s="30" t="e" vm="18">
        <f ca="1"/>
        <v>#VALUE!</v>
      </c>
      <c r="IW15" s="30" t="e">
        <f ca="1"/>
        <v>#VALUE!</v>
      </c>
      <c r="IX15" s="13"/>
      <c r="IY15" s="30">
        <f ca="1"/>
        <v>0</v>
      </c>
      <c r="JA15" s="27">
        <f ca="1"/>
        <v>13</v>
      </c>
      <c r="JB15" s="30" t="str">
        <f ca="1"/>
        <v>Sumz</v>
      </c>
      <c r="JC15" s="30">
        <f ca="1"/>
        <v>0</v>
      </c>
      <c r="JD15" s="13"/>
      <c r="JE15" s="13"/>
      <c r="JG15" s="29">
        <f ca="1"/>
        <v>13</v>
      </c>
      <c r="JH15" s="30" t="str">
        <f ca="1"/>
        <v>Sumz</v>
      </c>
      <c r="JI15" s="30" t="e" vm="18">
        <f ca="1"/>
        <v>#VALUE!</v>
      </c>
      <c r="JJ15" s="30" t="e">
        <f ca="1"/>
        <v>#VALUE!</v>
      </c>
      <c r="JK15" s="13"/>
      <c r="JL15" s="30">
        <f ca="1"/>
        <v>0</v>
      </c>
      <c r="JN15" s="27">
        <f ca="1"/>
        <v>13</v>
      </c>
      <c r="JO15" s="30" t="str">
        <f ca="1"/>
        <v>Sumz</v>
      </c>
      <c r="JP15" s="30">
        <f ca="1"/>
        <v>0</v>
      </c>
      <c r="JQ15" s="13"/>
      <c r="JR15" s="13"/>
      <c r="JT15" s="29">
        <f ca="1"/>
        <v>13</v>
      </c>
      <c r="JU15" s="30" t="str">
        <f ca="1"/>
        <v>Sumz</v>
      </c>
      <c r="JV15" s="30" t="e" vm="18">
        <f ca="1"/>
        <v>#VALUE!</v>
      </c>
      <c r="JW15" s="30" t="e">
        <f ca="1"/>
        <v>#VALUE!</v>
      </c>
      <c r="JX15" s="13"/>
      <c r="JY15" s="30">
        <f ca="1"/>
        <v>0</v>
      </c>
      <c r="KA15" s="27">
        <f ca="1"/>
        <v>13</v>
      </c>
      <c r="KB15" s="30" t="str">
        <f ca="1"/>
        <v>Sumz</v>
      </c>
      <c r="KC15" s="30">
        <f ca="1"/>
        <v>0</v>
      </c>
      <c r="KD15" s="13"/>
      <c r="KE15" s="13"/>
      <c r="KG15" s="29">
        <f ca="1"/>
        <v>13</v>
      </c>
      <c r="KH15" s="30" t="str">
        <f ca="1"/>
        <v>Sumz</v>
      </c>
      <c r="KI15" s="30" t="e" vm="18">
        <f ca="1"/>
        <v>#VALUE!</v>
      </c>
      <c r="KJ15" s="30" t="e">
        <f ca="1"/>
        <v>#VALUE!</v>
      </c>
      <c r="KK15" s="13"/>
      <c r="KL15" s="30">
        <f ca="1"/>
        <v>0</v>
      </c>
      <c r="KN15" s="27">
        <f ca="1"/>
        <v>13</v>
      </c>
      <c r="KO15" s="30" t="str">
        <f ca="1"/>
        <v>Sumz</v>
      </c>
      <c r="KP15" s="30">
        <f ca="1"/>
        <v>0</v>
      </c>
      <c r="KQ15" s="13"/>
      <c r="KR15" s="13"/>
      <c r="KT15" s="29">
        <f ca="1"/>
        <v>13</v>
      </c>
      <c r="KU15" s="30" t="str">
        <f ca="1"/>
        <v>Sumz</v>
      </c>
      <c r="KV15" s="30" t="e" vm="18">
        <f ca="1"/>
        <v>#VALUE!</v>
      </c>
      <c r="KW15" s="30" t="e">
        <f ca="1"/>
        <v>#VALUE!</v>
      </c>
      <c r="KX15" s="13"/>
      <c r="KY15" s="30">
        <f ca="1"/>
        <v>0</v>
      </c>
      <c r="LA15" s="27">
        <f ca="1"/>
        <v>13</v>
      </c>
      <c r="LB15" s="30" t="str">
        <f ca="1"/>
        <v>Sumz</v>
      </c>
      <c r="LC15" s="30">
        <f ca="1"/>
        <v>0</v>
      </c>
      <c r="LD15" s="13"/>
      <c r="LE15" s="13"/>
      <c r="LG15" s="29">
        <f ca="1"/>
        <v>13</v>
      </c>
      <c r="LH15" s="30" t="str">
        <f ca="1"/>
        <v>Sumz</v>
      </c>
      <c r="LI15" s="30" t="e" vm="18">
        <f ca="1"/>
        <v>#VALUE!</v>
      </c>
      <c r="LJ15" s="30" t="e">
        <f ca="1"/>
        <v>#VALUE!</v>
      </c>
      <c r="LK15" s="13"/>
      <c r="LL15" s="30">
        <f ca="1"/>
        <v>0</v>
      </c>
      <c r="LN15" s="27">
        <f ca="1"/>
        <v>13</v>
      </c>
      <c r="LO15" s="30" t="str">
        <f ca="1"/>
        <v>Sumz</v>
      </c>
      <c r="LP15" s="30">
        <f ca="1"/>
        <v>0</v>
      </c>
      <c r="LQ15" s="13"/>
      <c r="LR15" s="13"/>
      <c r="LT15" s="29">
        <f ca="1"/>
        <v>13</v>
      </c>
      <c r="LU15" s="30" t="str">
        <f ca="1"/>
        <v>Sumz</v>
      </c>
      <c r="LV15" s="30" t="e" vm="18">
        <f ca="1"/>
        <v>#VALUE!</v>
      </c>
      <c r="LW15" s="30" t="e">
        <f ca="1"/>
        <v>#VALUE!</v>
      </c>
      <c r="LX15" s="13"/>
      <c r="LY15" s="30">
        <f ca="1"/>
        <v>0</v>
      </c>
      <c r="MA15" s="27">
        <f ca="1"/>
        <v>13</v>
      </c>
      <c r="MB15" s="30" t="str">
        <f ca="1"/>
        <v>Sumz</v>
      </c>
      <c r="MC15" s="30">
        <f ca="1"/>
        <v>0</v>
      </c>
      <c r="MD15" s="13"/>
      <c r="ME15" s="13"/>
      <c r="MG15" s="29">
        <f ca="1"/>
        <v>13</v>
      </c>
      <c r="MH15" s="30" t="str">
        <f ca="1"/>
        <v>Sumz</v>
      </c>
      <c r="MI15" s="30" t="e" vm="18">
        <f ca="1"/>
        <v>#VALUE!</v>
      </c>
      <c r="MJ15" s="30" t="e">
        <f ca="1"/>
        <v>#VALUE!</v>
      </c>
      <c r="MK15" s="13"/>
      <c r="ML15" s="30">
        <f ca="1"/>
        <v>0</v>
      </c>
      <c r="MN15" s="27">
        <f ca="1"/>
        <v>13</v>
      </c>
      <c r="MO15" s="30" t="str">
        <f ca="1"/>
        <v>Sumz</v>
      </c>
      <c r="MP15" s="30">
        <f ca="1"/>
        <v>0</v>
      </c>
      <c r="MQ15" s="13"/>
      <c r="MR15" s="13"/>
      <c r="MS15" s="1"/>
      <c r="MT15" s="29">
        <f ca="1"/>
        <v>13</v>
      </c>
      <c r="MU15" s="30" t="str">
        <f ca="1"/>
        <v>Sumz</v>
      </c>
      <c r="MV15" s="30" t="e" vm="18">
        <f ca="1"/>
        <v>#VALUE!</v>
      </c>
      <c r="MW15" s="30" t="e">
        <f ca="1"/>
        <v>#VALUE!</v>
      </c>
      <c r="MX15" s="13"/>
      <c r="MY15" s="30">
        <f ca="1"/>
        <v>0</v>
      </c>
      <c r="NA15" s="27">
        <f ca="1"/>
        <v>13</v>
      </c>
      <c r="NB15" s="30" t="str">
        <f ca="1"/>
        <v>Sumz</v>
      </c>
      <c r="NC15" s="30">
        <f ca="1"/>
        <v>0</v>
      </c>
      <c r="ND15" s="13"/>
      <c r="NE15" s="13"/>
      <c r="NG15" s="29">
        <f ca="1"/>
        <v>13</v>
      </c>
      <c r="NH15" s="30" t="str">
        <f ca="1"/>
        <v>Sumz</v>
      </c>
      <c r="NI15" s="30" t="e" vm="18">
        <f ca="1"/>
        <v>#VALUE!</v>
      </c>
      <c r="NJ15" s="30" t="e">
        <f ca="1"/>
        <v>#VALUE!</v>
      </c>
      <c r="NK15" s="13"/>
      <c r="NL15" s="30">
        <f ca="1"/>
        <v>0</v>
      </c>
      <c r="NN15" s="27">
        <f ca="1"/>
        <v>13</v>
      </c>
      <c r="NO15" s="30" t="str">
        <f ca="1"/>
        <v>Sumz</v>
      </c>
      <c r="NP15" s="30">
        <f ca="1"/>
        <v>0</v>
      </c>
      <c r="NQ15" s="13"/>
      <c r="NR15" s="13"/>
      <c r="NT15" s="29">
        <f ca="1"/>
        <v>13</v>
      </c>
      <c r="NU15" s="30" t="str">
        <f ca="1"/>
        <v>Sumz</v>
      </c>
      <c r="NV15" s="30" t="e" vm="18">
        <f ca="1"/>
        <v>#VALUE!</v>
      </c>
      <c r="NW15" s="30" t="e">
        <f ca="1"/>
        <v>#VALUE!</v>
      </c>
      <c r="NX15" s="13"/>
      <c r="NY15" s="30">
        <f ca="1"/>
        <v>0</v>
      </c>
      <c r="OA15" s="27">
        <f ca="1"/>
        <v>13</v>
      </c>
      <c r="OB15" s="30" t="str">
        <f ca="1"/>
        <v>Sumz</v>
      </c>
      <c r="OC15" s="30">
        <f ca="1"/>
        <v>0</v>
      </c>
      <c r="OD15" s="13"/>
      <c r="OE15" s="13"/>
      <c r="OG15" s="29">
        <f ca="1"/>
        <v>13</v>
      </c>
      <c r="OH15" s="30" t="str">
        <f ca="1"/>
        <v>Sumz</v>
      </c>
      <c r="OI15" s="30" t="e" vm="18">
        <f ca="1"/>
        <v>#VALUE!</v>
      </c>
      <c r="OJ15" s="30" t="e">
        <f ca="1"/>
        <v>#VALUE!</v>
      </c>
      <c r="OK15" s="13"/>
      <c r="OL15" s="30">
        <f ca="1"/>
        <v>0</v>
      </c>
      <c r="ON15" s="27">
        <f ca="1"/>
        <v>13</v>
      </c>
      <c r="OO15" s="30" t="str">
        <f ca="1"/>
        <v>Sumz</v>
      </c>
      <c r="OP15" s="30">
        <f ca="1"/>
        <v>0</v>
      </c>
      <c r="OQ15" s="13"/>
      <c r="OR15" s="13"/>
      <c r="OT15" s="29">
        <f ca="1"/>
        <v>13</v>
      </c>
      <c r="OU15" s="30" t="str">
        <f ca="1"/>
        <v>Sumz</v>
      </c>
      <c r="OV15" s="30" t="e" vm="18">
        <f ca="1"/>
        <v>#VALUE!</v>
      </c>
      <c r="OW15" s="30" t="e">
        <f ca="1"/>
        <v>#VALUE!</v>
      </c>
      <c r="OX15" s="13"/>
      <c r="OY15" s="30">
        <f ca="1"/>
        <v>0</v>
      </c>
      <c r="PA15" s="27">
        <f ca="1"/>
        <v>13</v>
      </c>
      <c r="PB15" s="30" t="str">
        <f ca="1"/>
        <v>Sumz</v>
      </c>
      <c r="PC15" s="30">
        <f ca="1"/>
        <v>0</v>
      </c>
      <c r="PD15" s="13"/>
      <c r="PE15" s="13"/>
      <c r="PG15" s="29">
        <f ca="1"/>
        <v>13</v>
      </c>
      <c r="PH15" s="30" t="str">
        <f ca="1"/>
        <v>Sumz</v>
      </c>
      <c r="PI15" s="30" t="e" vm="18">
        <f ca="1"/>
        <v>#VALUE!</v>
      </c>
      <c r="PJ15" s="30" t="e">
        <f ca="1"/>
        <v>#VALUE!</v>
      </c>
      <c r="PK15" s="13"/>
      <c r="PL15" s="30">
        <f ca="1"/>
        <v>0</v>
      </c>
      <c r="PN15" s="27">
        <f ca="1"/>
        <v>13</v>
      </c>
      <c r="PO15" s="30" t="str">
        <f ca="1"/>
        <v>Sumz</v>
      </c>
      <c r="PP15" s="30">
        <f ca="1"/>
        <v>0</v>
      </c>
      <c r="PQ15" s="13"/>
      <c r="PR15" s="13"/>
      <c r="PT15" s="29">
        <f ca="1"/>
        <v>13</v>
      </c>
      <c r="PU15" s="30" t="str">
        <f ca="1"/>
        <v>Sumz</v>
      </c>
      <c r="PV15" s="30" t="e" vm="18">
        <f ca="1"/>
        <v>#VALUE!</v>
      </c>
      <c r="PW15" s="30" t="e">
        <f ca="1"/>
        <v>#VALUE!</v>
      </c>
      <c r="PX15" s="13"/>
      <c r="PY15" s="30">
        <f ca="1"/>
        <v>0</v>
      </c>
      <c r="QA15" s="27">
        <f ca="1"/>
        <v>13</v>
      </c>
      <c r="QB15" s="30" t="str">
        <f ca="1"/>
        <v>Sumz</v>
      </c>
      <c r="QC15" s="30">
        <f ca="1"/>
        <v>0</v>
      </c>
      <c r="QD15" s="13"/>
      <c r="QE15" s="13"/>
      <c r="QG15" s="29">
        <f ca="1"/>
        <v>13</v>
      </c>
      <c r="QH15" s="30" t="str">
        <f ca="1"/>
        <v>Sumz</v>
      </c>
      <c r="QI15" s="30" t="e" vm="18">
        <f ca="1"/>
        <v>#VALUE!</v>
      </c>
      <c r="QJ15" s="30" t="e">
        <f ca="1"/>
        <v>#VALUE!</v>
      </c>
      <c r="QK15" s="13"/>
      <c r="QL15" s="30">
        <f ca="1"/>
        <v>0</v>
      </c>
      <c r="QN15" s="27">
        <f ca="1"/>
        <v>13</v>
      </c>
      <c r="QO15" s="30" t="str">
        <f ca="1"/>
        <v>Sumz</v>
      </c>
      <c r="QP15" s="30">
        <f ca="1"/>
        <v>0</v>
      </c>
      <c r="QQ15" s="13"/>
      <c r="QR15" s="13"/>
      <c r="QT15" s="29">
        <f ca="1"/>
        <v>13</v>
      </c>
      <c r="QU15" s="30" t="str">
        <f ca="1"/>
        <v>Sumz</v>
      </c>
      <c r="QV15" s="30" t="e" vm="18">
        <f ca="1"/>
        <v>#VALUE!</v>
      </c>
      <c r="QW15" s="30" t="e">
        <f ca="1"/>
        <v>#VALUE!</v>
      </c>
      <c r="QX15" s="13"/>
      <c r="QY15" s="30">
        <f ca="1"/>
        <v>0</v>
      </c>
      <c r="RA15" s="27">
        <f ca="1"/>
        <v>13</v>
      </c>
      <c r="RB15" s="30" t="str">
        <f ca="1"/>
        <v>Sumz</v>
      </c>
      <c r="RC15" s="30">
        <f ca="1"/>
        <v>0</v>
      </c>
      <c r="RD15" s="13"/>
      <c r="RE15" s="13"/>
      <c r="RG15" s="29">
        <f ca="1"/>
        <v>13</v>
      </c>
      <c r="RH15" s="30" t="str">
        <f ca="1"/>
        <v>Sumz</v>
      </c>
      <c r="RI15" s="30" t="e" vm="18">
        <f ca="1"/>
        <v>#VALUE!</v>
      </c>
      <c r="RJ15" s="30" t="e">
        <f ca="1"/>
        <v>#VALUE!</v>
      </c>
      <c r="RK15" s="13"/>
      <c r="RL15" s="30">
        <f ca="1"/>
        <v>0</v>
      </c>
      <c r="RN15" s="27">
        <f ca="1"/>
        <v>13</v>
      </c>
      <c r="RO15" s="30" t="str">
        <f ca="1"/>
        <v>Sumz</v>
      </c>
      <c r="RP15" s="30">
        <f ca="1"/>
        <v>0</v>
      </c>
      <c r="RQ15" s="13"/>
      <c r="RR15" s="13"/>
      <c r="RT15" s="29">
        <f ca="1"/>
        <v>13</v>
      </c>
      <c r="RU15" s="30" t="str">
        <f ca="1"/>
        <v>Sumz</v>
      </c>
      <c r="RV15" s="30" t="e" vm="18">
        <f ca="1"/>
        <v>#VALUE!</v>
      </c>
      <c r="RW15" s="30" t="e">
        <f ca="1"/>
        <v>#VALUE!</v>
      </c>
      <c r="RX15" s="13"/>
      <c r="RY15" s="30">
        <f ca="1"/>
        <v>0</v>
      </c>
      <c r="SA15" s="27">
        <f ca="1"/>
        <v>13</v>
      </c>
      <c r="SB15" s="30" t="str">
        <f ca="1"/>
        <v>Sumz</v>
      </c>
      <c r="SC15" s="30">
        <f ca="1"/>
        <v>0</v>
      </c>
      <c r="SD15" s="13"/>
      <c r="SE15" s="13"/>
      <c r="SG15" s="29">
        <f ca="1"/>
        <v>13</v>
      </c>
      <c r="SH15" s="30" t="str">
        <f ca="1"/>
        <v>Sumz</v>
      </c>
      <c r="SI15" s="30" t="e" vm="18">
        <f ca="1"/>
        <v>#VALUE!</v>
      </c>
      <c r="SJ15" s="30" t="e">
        <f ca="1"/>
        <v>#VALUE!</v>
      </c>
      <c r="SK15" s="13"/>
      <c r="SL15" s="30">
        <f ca="1"/>
        <v>0</v>
      </c>
      <c r="SN15" s="27">
        <f ca="1"/>
        <v>13</v>
      </c>
      <c r="SO15" s="30" t="str">
        <f ca="1"/>
        <v>Sumz</v>
      </c>
      <c r="SP15" s="30">
        <f ca="1"/>
        <v>0</v>
      </c>
      <c r="SQ15" s="13"/>
      <c r="SR15" s="13"/>
      <c r="ST15" s="29">
        <f ca="1"/>
        <v>13</v>
      </c>
      <c r="SU15" s="30" t="str">
        <f ca="1"/>
        <v>Sumz</v>
      </c>
      <c r="SV15" s="30" t="e" vm="18">
        <f ca="1"/>
        <v>#VALUE!</v>
      </c>
      <c r="SW15" s="30" t="e">
        <f ca="1"/>
        <v>#VALUE!</v>
      </c>
      <c r="SX15" s="13"/>
      <c r="SY15" s="30">
        <f ca="1"/>
        <v>0</v>
      </c>
      <c r="TA15" s="29">
        <f ca="1"/>
        <v>13</v>
      </c>
      <c r="TB15" s="30" t="str">
        <f ca="1"/>
        <v>Sumz</v>
      </c>
      <c r="TC15" s="30" t="e" vm="18">
        <f ca="1"/>
        <v>#VALUE!</v>
      </c>
      <c r="TD15" s="30">
        <f ca="1"/>
        <v>340</v>
      </c>
    </row>
    <row r="16" spans="1:524" ht="20.100000000000001" customHeight="1">
      <c r="A16" s="27">
        <f ca="1"/>
        <v>14</v>
      </c>
      <c r="B16" s="30" t="str">
        <f ca="1"/>
        <v>Kasmo</v>
      </c>
      <c r="C16" s="30">
        <v>1</v>
      </c>
      <c r="D16" s="13"/>
      <c r="E16" s="57">
        <v>0</v>
      </c>
      <c r="G16" s="29">
        <f ca="1"/>
        <v>14</v>
      </c>
      <c r="H16" s="30" t="str">
        <f ca="1"/>
        <v>Kasmo</v>
      </c>
      <c r="I16" s="30" t="e" vm="16">
        <f ca="1"/>
        <v>#VALUE!</v>
      </c>
      <c r="J16" s="55" t="e">
        <f ca="1"/>
        <v>#VALUE!</v>
      </c>
      <c r="K16" s="13"/>
      <c r="L16" s="30">
        <f ca="1"/>
        <v>1</v>
      </c>
      <c r="N16" s="27">
        <f ca="1"/>
        <v>14</v>
      </c>
      <c r="O16" s="30" t="str">
        <f ca="1"/>
        <v>Kasmo</v>
      </c>
      <c r="P16" s="30">
        <f ca="1"/>
        <v>1</v>
      </c>
      <c r="Q16" s="13"/>
      <c r="R16" s="13">
        <v>0</v>
      </c>
      <c r="T16" s="29">
        <f ca="1"/>
        <v>14</v>
      </c>
      <c r="U16" s="30" t="str">
        <f ca="1"/>
        <v>Kasmo</v>
      </c>
      <c r="V16" s="30" t="e" vm="16">
        <f ca="1"/>
        <v>#VALUE!</v>
      </c>
      <c r="W16" s="30" t="e">
        <f ca="1"/>
        <v>#VALUE!</v>
      </c>
      <c r="X16" s="13"/>
      <c r="Y16" s="30">
        <f ca="1"/>
        <v>1</v>
      </c>
      <c r="AA16" s="27">
        <f ca="1"/>
        <v>14</v>
      </c>
      <c r="AB16" s="30" t="str">
        <f ca="1"/>
        <v>Kasmo</v>
      </c>
      <c r="AC16" s="30">
        <f ca="1"/>
        <v>1</v>
      </c>
      <c r="AD16" s="13"/>
      <c r="AE16" s="13">
        <v>0</v>
      </c>
      <c r="AG16" s="29">
        <f ca="1"/>
        <v>14</v>
      </c>
      <c r="AH16" s="30" t="str">
        <f ca="1"/>
        <v>Kasmo</v>
      </c>
      <c r="AI16" s="30" t="e" vm="16">
        <f ca="1"/>
        <v>#VALUE!</v>
      </c>
      <c r="AJ16" s="30" t="e">
        <f ca="1"/>
        <v>#VALUE!</v>
      </c>
      <c r="AK16" s="13"/>
      <c r="AL16" s="30">
        <f ca="1"/>
        <v>1</v>
      </c>
      <c r="AN16" s="27">
        <f ca="1"/>
        <v>14</v>
      </c>
      <c r="AO16" s="30" t="str">
        <f ca="1"/>
        <v>Kasmo</v>
      </c>
      <c r="AP16" s="30">
        <f ca="1"/>
        <v>1</v>
      </c>
      <c r="AQ16" s="13"/>
      <c r="AR16" s="13">
        <v>0</v>
      </c>
      <c r="AT16" s="29">
        <f ca="1"/>
        <v>14</v>
      </c>
      <c r="AU16" s="30" t="str">
        <f ca="1"/>
        <v>Kasmo</v>
      </c>
      <c r="AV16" s="30" t="e" vm="16">
        <f ca="1"/>
        <v>#VALUE!</v>
      </c>
      <c r="AW16" s="30" t="e">
        <f ca="1"/>
        <v>#VALUE!</v>
      </c>
      <c r="AX16" s="13"/>
      <c r="AY16" s="30">
        <f ca="1"/>
        <v>1</v>
      </c>
      <c r="BA16" s="27">
        <f ca="1"/>
        <v>14</v>
      </c>
      <c r="BB16" s="30" t="str">
        <f ca="1"/>
        <v>Kasmo</v>
      </c>
      <c r="BC16" s="30">
        <f ca="1"/>
        <v>1</v>
      </c>
      <c r="BD16" s="13"/>
      <c r="BE16" s="13">
        <v>13615</v>
      </c>
      <c r="BG16" s="29">
        <f ca="1"/>
        <v>14</v>
      </c>
      <c r="BH16" s="30" t="str">
        <f ca="1"/>
        <v>Julien</v>
      </c>
      <c r="BI16" s="30" t="e" vm="15">
        <f ca="1"/>
        <v>#VALUE!</v>
      </c>
      <c r="BJ16" s="30" t="e">
        <f ca="1"/>
        <v>#VALUE!</v>
      </c>
      <c r="BK16" s="13"/>
      <c r="BL16" s="30">
        <f ca="1"/>
        <v>1</v>
      </c>
      <c r="BN16" s="27">
        <f ca="1"/>
        <v>14</v>
      </c>
      <c r="BO16" s="30" t="str">
        <f ca="1"/>
        <v>Julien</v>
      </c>
      <c r="BP16" s="30">
        <f ca="1"/>
        <v>1</v>
      </c>
      <c r="BQ16" s="13"/>
      <c r="BR16" s="13">
        <v>11136</v>
      </c>
      <c r="BS16" s="1"/>
      <c r="BT16" s="29">
        <f ca="1"/>
        <v>14</v>
      </c>
      <c r="BU16" s="30" t="str">
        <f ca="1"/>
        <v>Kasmo</v>
      </c>
      <c r="BV16" s="30" t="e" vm="16">
        <f ca="1"/>
        <v>#VALUE!</v>
      </c>
      <c r="BW16" s="30" t="e">
        <f ca="1"/>
        <v>#VALUE!</v>
      </c>
      <c r="BX16" s="13"/>
      <c r="BY16" s="30">
        <f ca="1"/>
        <v>1</v>
      </c>
      <c r="CA16" s="27">
        <f ca="1"/>
        <v>14</v>
      </c>
      <c r="CB16" s="30" t="str">
        <f ca="1"/>
        <v>Kasmo</v>
      </c>
      <c r="CC16" s="30">
        <f ca="1"/>
        <v>1</v>
      </c>
      <c r="CD16" s="13"/>
      <c r="CE16" s="13">
        <v>11378</v>
      </c>
      <c r="CG16" s="29">
        <f ca="1"/>
        <v>14</v>
      </c>
      <c r="CH16" s="30" t="str">
        <f ca="1"/>
        <v>Kasmo</v>
      </c>
      <c r="CI16" s="30" t="e" vm="16">
        <f ca="1"/>
        <v>#VALUE!</v>
      </c>
      <c r="CJ16" s="30" t="e">
        <f ca="1"/>
        <v>#VALUE!</v>
      </c>
      <c r="CK16" s="13"/>
      <c r="CL16" s="30">
        <f ca="1"/>
        <v>1</v>
      </c>
      <c r="CN16" s="27">
        <f ca="1"/>
        <v>14</v>
      </c>
      <c r="CO16" s="30" t="str">
        <f ca="1"/>
        <v>Kasmo</v>
      </c>
      <c r="CP16" s="30">
        <f ca="1"/>
        <v>1</v>
      </c>
      <c r="CQ16" s="13"/>
      <c r="CR16" s="13">
        <v>10859</v>
      </c>
      <c r="CT16" s="29">
        <f ca="1"/>
        <v>14</v>
      </c>
      <c r="CU16" s="30" t="str">
        <f ca="1"/>
        <v>Zarkov</v>
      </c>
      <c r="CV16" s="30" t="e" vm="13">
        <f ca="1"/>
        <v>#VALUE!</v>
      </c>
      <c r="CW16" s="30" t="e">
        <f ca="1"/>
        <v>#VALUE!</v>
      </c>
      <c r="CX16" s="13"/>
      <c r="CY16" s="30">
        <f ca="1"/>
        <v>1</v>
      </c>
      <c r="DA16" s="27">
        <f ca="1"/>
        <v>14</v>
      </c>
      <c r="DB16" s="30" t="str">
        <f ca="1"/>
        <v>Zarkov</v>
      </c>
      <c r="DC16" s="30">
        <f ca="1"/>
        <v>1</v>
      </c>
      <c r="DD16" s="13">
        <v>2</v>
      </c>
      <c r="DE16" s="13">
        <v>10003</v>
      </c>
      <c r="DG16" s="29">
        <f ca="1"/>
        <v>14</v>
      </c>
      <c r="DH16" s="30" t="str">
        <f ca="1"/>
        <v>Jarmou</v>
      </c>
      <c r="DI16" s="30" t="e" vm="17">
        <f ca="1"/>
        <v>#VALUE!</v>
      </c>
      <c r="DJ16" s="30" t="e">
        <f ca="1"/>
        <v>#VALUE!</v>
      </c>
      <c r="DK16" s="13">
        <v>1</v>
      </c>
      <c r="DL16" s="30">
        <f ca="1"/>
        <v>2</v>
      </c>
      <c r="DN16" s="27">
        <f ca="1"/>
        <v>14</v>
      </c>
      <c r="DO16" s="30" t="str">
        <f ca="1"/>
        <v>Jarmou</v>
      </c>
      <c r="DP16" s="30">
        <f ca="1"/>
        <v>2</v>
      </c>
      <c r="DQ16" s="13"/>
      <c r="DR16" s="13">
        <v>13418</v>
      </c>
      <c r="DT16" s="29">
        <f ca="1"/>
        <v>14</v>
      </c>
      <c r="DU16" s="30" t="str">
        <f ca="1"/>
        <v>Kasmo</v>
      </c>
      <c r="DV16" s="30" t="e" vm="16">
        <f ca="1"/>
        <v>#VALUE!</v>
      </c>
      <c r="DW16" s="30" t="e">
        <f ca="1"/>
        <v>#VALUE!</v>
      </c>
      <c r="DX16" s="13">
        <v>1</v>
      </c>
      <c r="DY16" s="30">
        <f ca="1"/>
        <v>1</v>
      </c>
      <c r="EA16" s="27">
        <f ca="1"/>
        <v>14</v>
      </c>
      <c r="EB16" s="30" t="str">
        <f ca="1"/>
        <v>Kasmo</v>
      </c>
      <c r="EC16" s="30">
        <f ca="1"/>
        <v>1</v>
      </c>
      <c r="ED16" s="13"/>
      <c r="EE16" s="13">
        <v>10957</v>
      </c>
      <c r="EG16" s="29">
        <f ca="1"/>
        <v>14</v>
      </c>
      <c r="EH16" s="30" t="str">
        <f ca="1"/>
        <v>Antistar</v>
      </c>
      <c r="EI16" s="30" t="e" vm="15">
        <f ca="1"/>
        <v>#VALUE!</v>
      </c>
      <c r="EJ16" s="30" t="e">
        <f ca="1"/>
        <v>#VALUE!</v>
      </c>
      <c r="EK16" s="13">
        <v>1</v>
      </c>
      <c r="EL16" s="30">
        <f ca="1"/>
        <v>2</v>
      </c>
      <c r="EN16" s="27">
        <f ca="1"/>
        <v>14</v>
      </c>
      <c r="EO16" s="30" t="str">
        <f ca="1"/>
        <v>Zarkov</v>
      </c>
      <c r="EP16" s="30">
        <f ca="1"/>
        <v>0</v>
      </c>
      <c r="EQ16" s="13"/>
      <c r="ER16" s="13"/>
      <c r="ET16" s="29">
        <f ca="1"/>
        <v>14</v>
      </c>
      <c r="EU16" s="30" t="str">
        <f ca="1"/>
        <v>Zarkov</v>
      </c>
      <c r="EV16" s="30" t="e" vm="13">
        <f ca="1"/>
        <v>#VALUE!</v>
      </c>
      <c r="EW16" s="30" t="e">
        <f ca="1"/>
        <v>#VALUE!</v>
      </c>
      <c r="EX16" s="13"/>
      <c r="EY16" s="30">
        <f ca="1"/>
        <v>0</v>
      </c>
      <c r="FA16" s="27">
        <f ca="1"/>
        <v>14</v>
      </c>
      <c r="FB16" s="30" t="str">
        <f ca="1"/>
        <v>Zarkov</v>
      </c>
      <c r="FC16" s="30">
        <f ca="1"/>
        <v>0</v>
      </c>
      <c r="FD16" s="13"/>
      <c r="FE16" s="13"/>
      <c r="FG16" s="29">
        <f ca="1"/>
        <v>14</v>
      </c>
      <c r="FH16" s="30" t="str">
        <f ca="1"/>
        <v>Zarkov</v>
      </c>
      <c r="FI16" s="30" t="e" vm="13">
        <f ca="1"/>
        <v>#VALUE!</v>
      </c>
      <c r="FJ16" s="30" t="e">
        <f ca="1"/>
        <v>#VALUE!</v>
      </c>
      <c r="FK16" s="13"/>
      <c r="FL16" s="30">
        <f ca="1"/>
        <v>0</v>
      </c>
      <c r="FN16" s="27">
        <f ca="1"/>
        <v>14</v>
      </c>
      <c r="FO16" s="30" t="str">
        <f ca="1"/>
        <v>Zarkov</v>
      </c>
      <c r="FP16" s="30">
        <f ca="1"/>
        <v>0</v>
      </c>
      <c r="FQ16" s="13"/>
      <c r="FR16" s="13"/>
      <c r="FT16" s="29">
        <f ca="1"/>
        <v>14</v>
      </c>
      <c r="FU16" s="30" t="str">
        <f ca="1"/>
        <v>Zarkov</v>
      </c>
      <c r="FV16" s="30" t="e" vm="13">
        <f ca="1"/>
        <v>#VALUE!</v>
      </c>
      <c r="FW16" s="30" t="e">
        <f ca="1"/>
        <v>#VALUE!</v>
      </c>
      <c r="FX16" s="13"/>
      <c r="FY16" s="30">
        <f ca="1"/>
        <v>0</v>
      </c>
      <c r="GA16" s="27">
        <f ca="1"/>
        <v>14</v>
      </c>
      <c r="GB16" s="30" t="str">
        <f ca="1"/>
        <v>Zarkov</v>
      </c>
      <c r="GC16" s="30">
        <f ca="1"/>
        <v>0</v>
      </c>
      <c r="GD16" s="13"/>
      <c r="GE16" s="13"/>
      <c r="GG16" s="29">
        <f ca="1"/>
        <v>14</v>
      </c>
      <c r="GH16" s="30" t="str">
        <f ca="1"/>
        <v>Zarkov</v>
      </c>
      <c r="GI16" s="30" t="e" vm="13">
        <f ca="1"/>
        <v>#VALUE!</v>
      </c>
      <c r="GJ16" s="30" t="e">
        <f ca="1"/>
        <v>#VALUE!</v>
      </c>
      <c r="GK16" s="13"/>
      <c r="GL16" s="30">
        <f ca="1"/>
        <v>0</v>
      </c>
      <c r="GN16" s="27">
        <f ca="1"/>
        <v>14</v>
      </c>
      <c r="GO16" s="30" t="str">
        <f ca="1"/>
        <v>Zarkov</v>
      </c>
      <c r="GP16" s="30">
        <f ca="1"/>
        <v>0</v>
      </c>
      <c r="GQ16" s="13"/>
      <c r="GR16" s="13"/>
      <c r="GT16" s="29">
        <f ca="1"/>
        <v>14</v>
      </c>
      <c r="GU16" s="30" t="str">
        <f ca="1"/>
        <v>Zarkov</v>
      </c>
      <c r="GV16" s="30" t="e" vm="13">
        <f ca="1"/>
        <v>#VALUE!</v>
      </c>
      <c r="GW16" s="30" t="e">
        <f ca="1"/>
        <v>#VALUE!</v>
      </c>
      <c r="GX16" s="13"/>
      <c r="GY16" s="30">
        <f ca="1"/>
        <v>0</v>
      </c>
      <c r="HA16" s="27">
        <f ca="1"/>
        <v>14</v>
      </c>
      <c r="HB16" s="30" t="str">
        <f ca="1"/>
        <v>Zarkov</v>
      </c>
      <c r="HC16" s="30">
        <f ca="1"/>
        <v>0</v>
      </c>
      <c r="HD16" s="13"/>
      <c r="HE16" s="13"/>
      <c r="HF16" s="1"/>
      <c r="HG16" s="29">
        <f ca="1"/>
        <v>14</v>
      </c>
      <c r="HH16" s="30" t="str">
        <f ca="1"/>
        <v>Zarkov</v>
      </c>
      <c r="HI16" s="30" t="e" vm="13">
        <f ca="1"/>
        <v>#VALUE!</v>
      </c>
      <c r="HJ16" s="30" t="e">
        <f ca="1"/>
        <v>#VALUE!</v>
      </c>
      <c r="HK16" s="13"/>
      <c r="HL16" s="30">
        <f ca="1"/>
        <v>0</v>
      </c>
      <c r="HN16" s="27">
        <f ca="1"/>
        <v>14</v>
      </c>
      <c r="HO16" s="30" t="str">
        <f ca="1"/>
        <v>Zarkov</v>
      </c>
      <c r="HP16" s="30">
        <f ca="1"/>
        <v>0</v>
      </c>
      <c r="HQ16" s="13"/>
      <c r="HR16" s="13"/>
      <c r="HT16" s="29">
        <f ca="1"/>
        <v>14</v>
      </c>
      <c r="HU16" s="30" t="str">
        <f ca="1"/>
        <v>Zarkov</v>
      </c>
      <c r="HV16" s="30" t="e" vm="13">
        <f ca="1"/>
        <v>#VALUE!</v>
      </c>
      <c r="HW16" s="30" t="e">
        <f ca="1"/>
        <v>#VALUE!</v>
      </c>
      <c r="HX16" s="13"/>
      <c r="HY16" s="30">
        <f ca="1"/>
        <v>0</v>
      </c>
      <c r="IA16" s="27">
        <f ca="1"/>
        <v>14</v>
      </c>
      <c r="IB16" s="30" t="str">
        <f ca="1"/>
        <v>Zarkov</v>
      </c>
      <c r="IC16" s="30">
        <f ca="1"/>
        <v>0</v>
      </c>
      <c r="ID16" s="13"/>
      <c r="IE16" s="13"/>
      <c r="IG16" s="29">
        <f ca="1"/>
        <v>14</v>
      </c>
      <c r="IH16" s="30" t="str">
        <f ca="1"/>
        <v>Zarkov</v>
      </c>
      <c r="II16" s="30" t="e" vm="13">
        <f ca="1"/>
        <v>#VALUE!</v>
      </c>
      <c r="IJ16" s="30" t="e">
        <f ca="1"/>
        <v>#VALUE!</v>
      </c>
      <c r="IK16" s="13"/>
      <c r="IL16" s="30">
        <f ca="1"/>
        <v>0</v>
      </c>
      <c r="IN16" s="27">
        <f ca="1"/>
        <v>14</v>
      </c>
      <c r="IO16" s="30" t="str">
        <f ca="1"/>
        <v>Zarkov</v>
      </c>
      <c r="IP16" s="30">
        <f ca="1"/>
        <v>0</v>
      </c>
      <c r="IQ16" s="13"/>
      <c r="IR16" s="13"/>
      <c r="IT16" s="29">
        <f ca="1"/>
        <v>14</v>
      </c>
      <c r="IU16" s="30" t="str">
        <f ca="1"/>
        <v>Zarkov</v>
      </c>
      <c r="IV16" s="30" t="e" vm="13">
        <f ca="1"/>
        <v>#VALUE!</v>
      </c>
      <c r="IW16" s="30" t="e">
        <f ca="1"/>
        <v>#VALUE!</v>
      </c>
      <c r="IX16" s="13"/>
      <c r="IY16" s="30">
        <f ca="1"/>
        <v>0</v>
      </c>
      <c r="JA16" s="27">
        <f ca="1"/>
        <v>14</v>
      </c>
      <c r="JB16" s="30" t="str">
        <f ca="1"/>
        <v>Zarkov</v>
      </c>
      <c r="JC16" s="30">
        <f ca="1"/>
        <v>0</v>
      </c>
      <c r="JD16" s="13"/>
      <c r="JE16" s="13"/>
      <c r="JG16" s="29">
        <f ca="1"/>
        <v>14</v>
      </c>
      <c r="JH16" s="30" t="str">
        <f ca="1"/>
        <v>Zarkov</v>
      </c>
      <c r="JI16" s="30" t="e" vm="13">
        <f ca="1"/>
        <v>#VALUE!</v>
      </c>
      <c r="JJ16" s="30" t="e">
        <f ca="1"/>
        <v>#VALUE!</v>
      </c>
      <c r="JK16" s="13"/>
      <c r="JL16" s="30">
        <f ca="1"/>
        <v>0</v>
      </c>
      <c r="JN16" s="27">
        <f ca="1"/>
        <v>14</v>
      </c>
      <c r="JO16" s="30" t="str">
        <f ca="1"/>
        <v>Zarkov</v>
      </c>
      <c r="JP16" s="30">
        <f ca="1"/>
        <v>0</v>
      </c>
      <c r="JQ16" s="13"/>
      <c r="JR16" s="13"/>
      <c r="JT16" s="29">
        <f ca="1"/>
        <v>14</v>
      </c>
      <c r="JU16" s="30" t="str">
        <f ca="1"/>
        <v>Zarkov</v>
      </c>
      <c r="JV16" s="30" t="e" vm="13">
        <f ca="1"/>
        <v>#VALUE!</v>
      </c>
      <c r="JW16" s="30" t="e">
        <f ca="1"/>
        <v>#VALUE!</v>
      </c>
      <c r="JX16" s="13"/>
      <c r="JY16" s="30">
        <f ca="1"/>
        <v>0</v>
      </c>
      <c r="KA16" s="27">
        <f ca="1"/>
        <v>14</v>
      </c>
      <c r="KB16" s="30" t="str">
        <f ca="1"/>
        <v>Zarkov</v>
      </c>
      <c r="KC16" s="30">
        <f ca="1"/>
        <v>0</v>
      </c>
      <c r="KD16" s="13"/>
      <c r="KE16" s="13"/>
      <c r="KG16" s="29">
        <f ca="1"/>
        <v>14</v>
      </c>
      <c r="KH16" s="30" t="str">
        <f ca="1"/>
        <v>Zarkov</v>
      </c>
      <c r="KI16" s="30" t="e" vm="13">
        <f ca="1"/>
        <v>#VALUE!</v>
      </c>
      <c r="KJ16" s="30" t="e">
        <f ca="1"/>
        <v>#VALUE!</v>
      </c>
      <c r="KK16" s="13"/>
      <c r="KL16" s="30">
        <f ca="1"/>
        <v>0</v>
      </c>
      <c r="KN16" s="27">
        <f ca="1"/>
        <v>14</v>
      </c>
      <c r="KO16" s="30" t="str">
        <f ca="1"/>
        <v>Zarkov</v>
      </c>
      <c r="KP16" s="30">
        <f ca="1"/>
        <v>0</v>
      </c>
      <c r="KQ16" s="13"/>
      <c r="KR16" s="13"/>
      <c r="KT16" s="29">
        <f ca="1"/>
        <v>14</v>
      </c>
      <c r="KU16" s="30" t="str">
        <f ca="1"/>
        <v>Zarkov</v>
      </c>
      <c r="KV16" s="30" t="e" vm="13">
        <f ca="1"/>
        <v>#VALUE!</v>
      </c>
      <c r="KW16" s="30" t="e">
        <f ca="1"/>
        <v>#VALUE!</v>
      </c>
      <c r="KX16" s="13"/>
      <c r="KY16" s="30">
        <f ca="1"/>
        <v>0</v>
      </c>
      <c r="LA16" s="27">
        <f ca="1"/>
        <v>14</v>
      </c>
      <c r="LB16" s="30" t="str">
        <f ca="1"/>
        <v>Zarkov</v>
      </c>
      <c r="LC16" s="30">
        <f ca="1"/>
        <v>0</v>
      </c>
      <c r="LD16" s="13"/>
      <c r="LE16" s="13"/>
      <c r="LG16" s="29">
        <f ca="1"/>
        <v>14</v>
      </c>
      <c r="LH16" s="30" t="str">
        <f ca="1"/>
        <v>Zarkov</v>
      </c>
      <c r="LI16" s="30" t="e" vm="13">
        <f ca="1"/>
        <v>#VALUE!</v>
      </c>
      <c r="LJ16" s="30" t="e">
        <f ca="1"/>
        <v>#VALUE!</v>
      </c>
      <c r="LK16" s="13"/>
      <c r="LL16" s="30">
        <f ca="1"/>
        <v>0</v>
      </c>
      <c r="LN16" s="27">
        <f ca="1"/>
        <v>14</v>
      </c>
      <c r="LO16" s="30" t="str">
        <f ca="1"/>
        <v>Zarkov</v>
      </c>
      <c r="LP16" s="30">
        <f ca="1"/>
        <v>0</v>
      </c>
      <c r="LQ16" s="13"/>
      <c r="LR16" s="13"/>
      <c r="LT16" s="29">
        <f ca="1"/>
        <v>14</v>
      </c>
      <c r="LU16" s="30" t="str">
        <f ca="1"/>
        <v>Zarkov</v>
      </c>
      <c r="LV16" s="30" t="e" vm="13">
        <f ca="1"/>
        <v>#VALUE!</v>
      </c>
      <c r="LW16" s="30" t="e">
        <f ca="1"/>
        <v>#VALUE!</v>
      </c>
      <c r="LX16" s="13"/>
      <c r="LY16" s="30">
        <f ca="1"/>
        <v>0</v>
      </c>
      <c r="MA16" s="27">
        <f ca="1"/>
        <v>14</v>
      </c>
      <c r="MB16" s="30" t="str">
        <f ca="1"/>
        <v>Zarkov</v>
      </c>
      <c r="MC16" s="30">
        <f ca="1"/>
        <v>0</v>
      </c>
      <c r="MD16" s="13"/>
      <c r="ME16" s="13"/>
      <c r="MG16" s="29">
        <f ca="1"/>
        <v>14</v>
      </c>
      <c r="MH16" s="30" t="str">
        <f ca="1"/>
        <v>Zarkov</v>
      </c>
      <c r="MI16" s="30" t="e" vm="13">
        <f ca="1"/>
        <v>#VALUE!</v>
      </c>
      <c r="MJ16" s="30" t="e">
        <f ca="1"/>
        <v>#VALUE!</v>
      </c>
      <c r="MK16" s="13"/>
      <c r="ML16" s="30">
        <f ca="1"/>
        <v>0</v>
      </c>
      <c r="MN16" s="27">
        <f ca="1"/>
        <v>14</v>
      </c>
      <c r="MO16" s="30" t="str">
        <f ca="1"/>
        <v>Zarkov</v>
      </c>
      <c r="MP16" s="30">
        <f ca="1"/>
        <v>0</v>
      </c>
      <c r="MQ16" s="13"/>
      <c r="MR16" s="13"/>
      <c r="MS16" s="1"/>
      <c r="MT16" s="29">
        <f ca="1"/>
        <v>14</v>
      </c>
      <c r="MU16" s="30" t="str">
        <f ca="1"/>
        <v>Zarkov</v>
      </c>
      <c r="MV16" s="30" t="e" vm="13">
        <f ca="1"/>
        <v>#VALUE!</v>
      </c>
      <c r="MW16" s="30" t="e">
        <f ca="1"/>
        <v>#VALUE!</v>
      </c>
      <c r="MX16" s="13"/>
      <c r="MY16" s="30">
        <f ca="1"/>
        <v>0</v>
      </c>
      <c r="NA16" s="27">
        <f ca="1"/>
        <v>14</v>
      </c>
      <c r="NB16" s="30" t="str">
        <f ca="1"/>
        <v>Zarkov</v>
      </c>
      <c r="NC16" s="30">
        <f ca="1"/>
        <v>0</v>
      </c>
      <c r="ND16" s="13"/>
      <c r="NE16" s="13"/>
      <c r="NG16" s="29">
        <f ca="1"/>
        <v>14</v>
      </c>
      <c r="NH16" s="30" t="str">
        <f ca="1"/>
        <v>Zarkov</v>
      </c>
      <c r="NI16" s="30" t="e" vm="13">
        <f ca="1"/>
        <v>#VALUE!</v>
      </c>
      <c r="NJ16" s="30" t="e">
        <f ca="1"/>
        <v>#VALUE!</v>
      </c>
      <c r="NK16" s="13"/>
      <c r="NL16" s="30">
        <f ca="1"/>
        <v>0</v>
      </c>
      <c r="NN16" s="27">
        <f ca="1"/>
        <v>14</v>
      </c>
      <c r="NO16" s="30" t="str">
        <f ca="1"/>
        <v>Zarkov</v>
      </c>
      <c r="NP16" s="30">
        <f ca="1"/>
        <v>0</v>
      </c>
      <c r="NQ16" s="13"/>
      <c r="NR16" s="13"/>
      <c r="NT16" s="29">
        <f ca="1"/>
        <v>14</v>
      </c>
      <c r="NU16" s="30" t="str">
        <f ca="1"/>
        <v>Zarkov</v>
      </c>
      <c r="NV16" s="30" t="e" vm="13">
        <f ca="1"/>
        <v>#VALUE!</v>
      </c>
      <c r="NW16" s="30" t="e">
        <f ca="1"/>
        <v>#VALUE!</v>
      </c>
      <c r="NX16" s="13"/>
      <c r="NY16" s="30">
        <f ca="1"/>
        <v>0</v>
      </c>
      <c r="OA16" s="27">
        <f ca="1"/>
        <v>14</v>
      </c>
      <c r="OB16" s="30" t="str">
        <f ca="1"/>
        <v>Zarkov</v>
      </c>
      <c r="OC16" s="30">
        <f ca="1"/>
        <v>0</v>
      </c>
      <c r="OD16" s="13"/>
      <c r="OE16" s="13"/>
      <c r="OG16" s="29">
        <f ca="1"/>
        <v>14</v>
      </c>
      <c r="OH16" s="30" t="str">
        <f ca="1"/>
        <v>Zarkov</v>
      </c>
      <c r="OI16" s="30" t="e" vm="13">
        <f ca="1"/>
        <v>#VALUE!</v>
      </c>
      <c r="OJ16" s="30" t="e">
        <f ca="1"/>
        <v>#VALUE!</v>
      </c>
      <c r="OK16" s="13"/>
      <c r="OL16" s="30">
        <f ca="1"/>
        <v>0</v>
      </c>
      <c r="ON16" s="27">
        <f ca="1"/>
        <v>14</v>
      </c>
      <c r="OO16" s="30" t="str">
        <f ca="1"/>
        <v>Zarkov</v>
      </c>
      <c r="OP16" s="30">
        <f ca="1"/>
        <v>0</v>
      </c>
      <c r="OQ16" s="13"/>
      <c r="OR16" s="13"/>
      <c r="OT16" s="29">
        <f ca="1"/>
        <v>14</v>
      </c>
      <c r="OU16" s="30" t="str">
        <f ca="1"/>
        <v>Zarkov</v>
      </c>
      <c r="OV16" s="30" t="e" vm="13">
        <f ca="1"/>
        <v>#VALUE!</v>
      </c>
      <c r="OW16" s="30" t="e">
        <f ca="1"/>
        <v>#VALUE!</v>
      </c>
      <c r="OX16" s="13"/>
      <c r="OY16" s="30">
        <f ca="1"/>
        <v>0</v>
      </c>
      <c r="PA16" s="27">
        <f ca="1"/>
        <v>14</v>
      </c>
      <c r="PB16" s="30" t="str">
        <f ca="1"/>
        <v>Zarkov</v>
      </c>
      <c r="PC16" s="30">
        <f ca="1"/>
        <v>0</v>
      </c>
      <c r="PD16" s="13"/>
      <c r="PE16" s="13"/>
      <c r="PG16" s="29">
        <f ca="1"/>
        <v>14</v>
      </c>
      <c r="PH16" s="30" t="str">
        <f ca="1"/>
        <v>Zarkov</v>
      </c>
      <c r="PI16" s="30" t="e" vm="13">
        <f ca="1"/>
        <v>#VALUE!</v>
      </c>
      <c r="PJ16" s="30" t="e">
        <f ca="1"/>
        <v>#VALUE!</v>
      </c>
      <c r="PK16" s="13"/>
      <c r="PL16" s="30">
        <f ca="1"/>
        <v>0</v>
      </c>
      <c r="PN16" s="27">
        <f ca="1"/>
        <v>14</v>
      </c>
      <c r="PO16" s="30" t="str">
        <f ca="1"/>
        <v>Zarkov</v>
      </c>
      <c r="PP16" s="30">
        <f ca="1"/>
        <v>0</v>
      </c>
      <c r="PQ16" s="13"/>
      <c r="PR16" s="13"/>
      <c r="PT16" s="29">
        <f ca="1"/>
        <v>14</v>
      </c>
      <c r="PU16" s="30" t="str">
        <f ca="1"/>
        <v>Zarkov</v>
      </c>
      <c r="PV16" s="30" t="e" vm="13">
        <f ca="1"/>
        <v>#VALUE!</v>
      </c>
      <c r="PW16" s="30" t="e">
        <f ca="1"/>
        <v>#VALUE!</v>
      </c>
      <c r="PX16" s="13"/>
      <c r="PY16" s="30">
        <f ca="1"/>
        <v>0</v>
      </c>
      <c r="QA16" s="27">
        <f ca="1"/>
        <v>14</v>
      </c>
      <c r="QB16" s="30" t="str">
        <f ca="1"/>
        <v>Zarkov</v>
      </c>
      <c r="QC16" s="30">
        <f ca="1"/>
        <v>0</v>
      </c>
      <c r="QD16" s="13"/>
      <c r="QE16" s="13"/>
      <c r="QG16" s="29">
        <f ca="1"/>
        <v>14</v>
      </c>
      <c r="QH16" s="30" t="str">
        <f ca="1"/>
        <v>Zarkov</v>
      </c>
      <c r="QI16" s="30" t="e" vm="13">
        <f ca="1"/>
        <v>#VALUE!</v>
      </c>
      <c r="QJ16" s="30" t="e">
        <f ca="1"/>
        <v>#VALUE!</v>
      </c>
      <c r="QK16" s="13"/>
      <c r="QL16" s="30">
        <f ca="1"/>
        <v>0</v>
      </c>
      <c r="QN16" s="27">
        <f ca="1"/>
        <v>14</v>
      </c>
      <c r="QO16" s="30" t="str">
        <f ca="1"/>
        <v>Zarkov</v>
      </c>
      <c r="QP16" s="30">
        <f ca="1"/>
        <v>0</v>
      </c>
      <c r="QQ16" s="13"/>
      <c r="QR16" s="13"/>
      <c r="QT16" s="29">
        <f ca="1"/>
        <v>14</v>
      </c>
      <c r="QU16" s="30" t="str">
        <f ca="1"/>
        <v>Zarkov</v>
      </c>
      <c r="QV16" s="30" t="e" vm="13">
        <f ca="1"/>
        <v>#VALUE!</v>
      </c>
      <c r="QW16" s="30" t="e">
        <f ca="1"/>
        <v>#VALUE!</v>
      </c>
      <c r="QX16" s="13"/>
      <c r="QY16" s="30">
        <f ca="1"/>
        <v>0</v>
      </c>
      <c r="RA16" s="27">
        <f ca="1"/>
        <v>14</v>
      </c>
      <c r="RB16" s="30" t="str">
        <f ca="1"/>
        <v>Zarkov</v>
      </c>
      <c r="RC16" s="30">
        <f ca="1"/>
        <v>0</v>
      </c>
      <c r="RD16" s="13"/>
      <c r="RE16" s="13"/>
      <c r="RG16" s="29">
        <f ca="1"/>
        <v>14</v>
      </c>
      <c r="RH16" s="30" t="str">
        <f ca="1"/>
        <v>Zarkov</v>
      </c>
      <c r="RI16" s="30" t="e" vm="13">
        <f ca="1"/>
        <v>#VALUE!</v>
      </c>
      <c r="RJ16" s="30" t="e">
        <f ca="1"/>
        <v>#VALUE!</v>
      </c>
      <c r="RK16" s="13"/>
      <c r="RL16" s="30">
        <f ca="1"/>
        <v>0</v>
      </c>
      <c r="RN16" s="27">
        <f ca="1"/>
        <v>14</v>
      </c>
      <c r="RO16" s="30" t="str">
        <f ca="1"/>
        <v>Zarkov</v>
      </c>
      <c r="RP16" s="30">
        <f ca="1"/>
        <v>0</v>
      </c>
      <c r="RQ16" s="13"/>
      <c r="RR16" s="13"/>
      <c r="RT16" s="29">
        <f ca="1"/>
        <v>14</v>
      </c>
      <c r="RU16" s="30" t="str">
        <f ca="1"/>
        <v>Zarkov</v>
      </c>
      <c r="RV16" s="30" t="e" vm="13">
        <f ca="1"/>
        <v>#VALUE!</v>
      </c>
      <c r="RW16" s="30" t="e">
        <f ca="1"/>
        <v>#VALUE!</v>
      </c>
      <c r="RX16" s="13"/>
      <c r="RY16" s="30">
        <f ca="1"/>
        <v>0</v>
      </c>
      <c r="SA16" s="27">
        <f ca="1"/>
        <v>14</v>
      </c>
      <c r="SB16" s="30" t="str">
        <f ca="1"/>
        <v>Zarkov</v>
      </c>
      <c r="SC16" s="30">
        <f ca="1"/>
        <v>0</v>
      </c>
      <c r="SD16" s="13"/>
      <c r="SE16" s="13"/>
      <c r="SG16" s="29">
        <f ca="1"/>
        <v>14</v>
      </c>
      <c r="SH16" s="30" t="str">
        <f ca="1"/>
        <v>Zarkov</v>
      </c>
      <c r="SI16" s="30" t="e" vm="13">
        <f ca="1"/>
        <v>#VALUE!</v>
      </c>
      <c r="SJ16" s="30" t="e">
        <f ca="1"/>
        <v>#VALUE!</v>
      </c>
      <c r="SK16" s="13"/>
      <c r="SL16" s="30">
        <f ca="1"/>
        <v>0</v>
      </c>
      <c r="SN16" s="27">
        <f ca="1"/>
        <v>14</v>
      </c>
      <c r="SO16" s="30" t="str">
        <f ca="1"/>
        <v>Zarkov</v>
      </c>
      <c r="SP16" s="30">
        <f ca="1"/>
        <v>0</v>
      </c>
      <c r="SQ16" s="13"/>
      <c r="SR16" s="13"/>
      <c r="ST16" s="29">
        <f ca="1"/>
        <v>14</v>
      </c>
      <c r="SU16" s="30" t="str">
        <f ca="1"/>
        <v>Zarkov</v>
      </c>
      <c r="SV16" s="30" t="e" vm="13">
        <f ca="1"/>
        <v>#VALUE!</v>
      </c>
      <c r="SW16" s="30" t="e">
        <f ca="1"/>
        <v>#VALUE!</v>
      </c>
      <c r="SX16" s="13"/>
      <c r="SY16" s="30">
        <f ca="1"/>
        <v>0</v>
      </c>
      <c r="TA16" s="29">
        <f ca="1"/>
        <v>14</v>
      </c>
      <c r="TB16" s="30" t="str">
        <f ca="1"/>
        <v>Zarkov</v>
      </c>
      <c r="TC16" s="30" t="e" vm="13">
        <f ca="1"/>
        <v>#VALUE!</v>
      </c>
      <c r="TD16" s="30">
        <f ca="1"/>
        <v>320</v>
      </c>
    </row>
    <row r="17" spans="1:524" ht="20.100000000000001" customHeight="1">
      <c r="A17" s="27">
        <f ca="1"/>
        <v>15</v>
      </c>
      <c r="B17" s="30" t="str">
        <f ca="1"/>
        <v>Sumz</v>
      </c>
      <c r="C17" s="30">
        <v>1</v>
      </c>
      <c r="D17" s="13"/>
      <c r="E17" s="57">
        <v>0</v>
      </c>
      <c r="G17" s="29">
        <f ca="1"/>
        <v>15</v>
      </c>
      <c r="H17" s="30" t="str">
        <f ca="1"/>
        <v>Sumz</v>
      </c>
      <c r="I17" s="30" t="e" vm="18">
        <f ca="1"/>
        <v>#VALUE!</v>
      </c>
      <c r="J17" s="55" t="e">
        <f ca="1"/>
        <v>#VALUE!</v>
      </c>
      <c r="K17" s="13"/>
      <c r="L17" s="30">
        <f ca="1"/>
        <v>1</v>
      </c>
      <c r="N17" s="27">
        <f ca="1"/>
        <v>15</v>
      </c>
      <c r="O17" s="30" t="str">
        <f ca="1"/>
        <v>Sumz</v>
      </c>
      <c r="P17" s="30">
        <f ca="1"/>
        <v>1</v>
      </c>
      <c r="Q17" s="13"/>
      <c r="R17" s="13">
        <v>0</v>
      </c>
      <c r="T17" s="29">
        <f ca="1"/>
        <v>15</v>
      </c>
      <c r="U17" s="30" t="str">
        <f ca="1"/>
        <v>Sumz</v>
      </c>
      <c r="V17" s="30" t="e" vm="18">
        <f ca="1"/>
        <v>#VALUE!</v>
      </c>
      <c r="W17" s="30" t="e">
        <f ca="1"/>
        <v>#VALUE!</v>
      </c>
      <c r="X17" s="13"/>
      <c r="Y17" s="30">
        <f ca="1"/>
        <v>1</v>
      </c>
      <c r="AA17" s="27">
        <f ca="1"/>
        <v>15</v>
      </c>
      <c r="AB17" s="30" t="str">
        <f ca="1"/>
        <v>Sumz</v>
      </c>
      <c r="AC17" s="30">
        <f ca="1"/>
        <v>1</v>
      </c>
      <c r="AD17" s="13"/>
      <c r="AE17" s="13">
        <v>0</v>
      </c>
      <c r="AG17" s="29">
        <f ca="1"/>
        <v>15</v>
      </c>
      <c r="AH17" s="30" t="str">
        <f ca="1"/>
        <v>Sumz</v>
      </c>
      <c r="AI17" s="30" t="e" vm="18">
        <f ca="1"/>
        <v>#VALUE!</v>
      </c>
      <c r="AJ17" s="30" t="e">
        <f ca="1"/>
        <v>#VALUE!</v>
      </c>
      <c r="AK17" s="13"/>
      <c r="AL17" s="30">
        <f ca="1"/>
        <v>1</v>
      </c>
      <c r="AN17" s="27">
        <f ca="1"/>
        <v>15</v>
      </c>
      <c r="AO17" s="30" t="str">
        <f ca="1"/>
        <v>Sumz</v>
      </c>
      <c r="AP17" s="30">
        <f ca="1"/>
        <v>1</v>
      </c>
      <c r="AQ17" s="13"/>
      <c r="AR17" s="13">
        <v>0</v>
      </c>
      <c r="AT17" s="29">
        <f ca="1"/>
        <v>15</v>
      </c>
      <c r="AU17" s="30" t="str">
        <f ca="1"/>
        <v>Sumz</v>
      </c>
      <c r="AV17" s="30" t="e" vm="18">
        <f ca="1"/>
        <v>#VALUE!</v>
      </c>
      <c r="AW17" s="30" t="e">
        <f ca="1"/>
        <v>#VALUE!</v>
      </c>
      <c r="AX17" s="13"/>
      <c r="AY17" s="30">
        <f ca="1"/>
        <v>1</v>
      </c>
      <c r="BA17" s="27">
        <f ca="1"/>
        <v>15</v>
      </c>
      <c r="BB17" s="30" t="str">
        <f ca="1"/>
        <v>Sumz</v>
      </c>
      <c r="BC17" s="30">
        <f ca="1"/>
        <v>1</v>
      </c>
      <c r="BD17" s="13"/>
      <c r="BE17" s="13">
        <v>14274</v>
      </c>
      <c r="BG17" s="29">
        <f ca="1"/>
        <v>15</v>
      </c>
      <c r="BH17" s="30" t="str">
        <f ca="1"/>
        <v>Thibault</v>
      </c>
      <c r="BI17" s="30" t="e" vm="15">
        <f ca="1"/>
        <v>#VALUE!</v>
      </c>
      <c r="BJ17" s="30" t="e">
        <f ca="1"/>
        <v>#VALUE!</v>
      </c>
      <c r="BK17" s="13"/>
      <c r="BL17" s="30">
        <f ca="1"/>
        <v>1</v>
      </c>
      <c r="BN17" s="27">
        <f ca="1"/>
        <v>15</v>
      </c>
      <c r="BO17" s="30" t="str">
        <f ca="1"/>
        <v>Thibault</v>
      </c>
      <c r="BP17" s="30">
        <f ca="1"/>
        <v>1</v>
      </c>
      <c r="BQ17" s="13"/>
      <c r="BR17" s="13">
        <v>11480</v>
      </c>
      <c r="BS17" s="1"/>
      <c r="BT17" s="29">
        <f ca="1"/>
        <v>15</v>
      </c>
      <c r="BU17" s="30" t="str">
        <f ca="1"/>
        <v>Champix</v>
      </c>
      <c r="BV17" s="30" t="e" vm="15">
        <f ca="1"/>
        <v>#VALUE!</v>
      </c>
      <c r="BW17" s="30" t="e">
        <f ca="1"/>
        <v>#VALUE!</v>
      </c>
      <c r="BX17" s="13"/>
      <c r="BY17" s="30">
        <f ca="1"/>
        <v>1</v>
      </c>
      <c r="CA17" s="27">
        <f ca="1"/>
        <v>15</v>
      </c>
      <c r="CB17" s="30" t="str">
        <f ca="1"/>
        <v>Champix</v>
      </c>
      <c r="CC17" s="30">
        <f ca="1"/>
        <v>1</v>
      </c>
      <c r="CD17" s="13"/>
      <c r="CE17" s="13">
        <v>11466</v>
      </c>
      <c r="CG17" s="29">
        <f ca="1"/>
        <v>15</v>
      </c>
      <c r="CH17" s="30" t="str">
        <f ca="1"/>
        <v>Flo</v>
      </c>
      <c r="CI17" s="30" t="e" vm="15">
        <f ca="1"/>
        <v>#VALUE!</v>
      </c>
      <c r="CJ17" s="30" t="e">
        <f ca="1"/>
        <v>#VALUE!</v>
      </c>
      <c r="CK17" s="13"/>
      <c r="CL17" s="30">
        <f ca="1"/>
        <v>1</v>
      </c>
      <c r="CN17" s="27">
        <f ca="1"/>
        <v>15</v>
      </c>
      <c r="CO17" s="30" t="str">
        <f ca="1"/>
        <v>Flo</v>
      </c>
      <c r="CP17" s="30">
        <f ca="1"/>
        <v>1</v>
      </c>
      <c r="CQ17" s="13"/>
      <c r="CR17" s="13">
        <v>11247</v>
      </c>
      <c r="CT17" s="29">
        <f ca="1"/>
        <v>15</v>
      </c>
      <c r="CU17" s="30" t="str">
        <f ca="1"/>
        <v>Kasmo</v>
      </c>
      <c r="CV17" s="30" t="e" vm="16">
        <f ca="1"/>
        <v>#VALUE!</v>
      </c>
      <c r="CW17" s="30" t="e">
        <f ca="1"/>
        <v>#VALUE!</v>
      </c>
      <c r="CX17" s="13"/>
      <c r="CY17" s="30">
        <f ca="1"/>
        <v>1</v>
      </c>
      <c r="DA17" s="27">
        <f ca="1"/>
        <v>15</v>
      </c>
      <c r="DB17" s="30" t="str">
        <f ca="1"/>
        <v>Kasmo</v>
      </c>
      <c r="DC17" s="30">
        <f ca="1"/>
        <v>1</v>
      </c>
      <c r="DD17" s="13">
        <v>2</v>
      </c>
      <c r="DE17" s="13">
        <v>10823</v>
      </c>
      <c r="DG17" s="29">
        <f ca="1"/>
        <v>15</v>
      </c>
      <c r="DH17" s="30" t="str">
        <f ca="1"/>
        <v>Lafungo</v>
      </c>
      <c r="DI17" s="30" t="e" vm="14">
        <f ca="1"/>
        <v>#VALUE!</v>
      </c>
      <c r="DJ17" s="30" t="e">
        <f ca="1"/>
        <v>#VALUE!</v>
      </c>
      <c r="DK17" s="13">
        <v>1</v>
      </c>
      <c r="DL17" s="30">
        <f ca="1"/>
        <v>2</v>
      </c>
      <c r="DN17" s="27">
        <f ca="1"/>
        <v>15</v>
      </c>
      <c r="DO17" s="30" t="str">
        <f ca="1"/>
        <v>Lafungo</v>
      </c>
      <c r="DP17" s="30">
        <f ca="1"/>
        <v>2</v>
      </c>
      <c r="DQ17" s="13"/>
      <c r="DR17" s="13">
        <v>13110</v>
      </c>
      <c r="DT17" s="29">
        <f ca="1"/>
        <v>15</v>
      </c>
      <c r="DU17" s="30" t="str">
        <f ca="1"/>
        <v>Zarkov</v>
      </c>
      <c r="DV17" s="30" t="e" vm="13">
        <f ca="1"/>
        <v>#VALUE!</v>
      </c>
      <c r="DW17" s="30" t="e">
        <f ca="1"/>
        <v>#VALUE!</v>
      </c>
      <c r="DX17" s="13">
        <v>1</v>
      </c>
      <c r="DY17" s="30">
        <f ca="1"/>
        <v>1</v>
      </c>
      <c r="EA17" s="27">
        <f ca="1"/>
        <v>15</v>
      </c>
      <c r="EB17" s="30" t="str">
        <f ca="1"/>
        <v>Zarkov</v>
      </c>
      <c r="EC17" s="30">
        <f ca="1"/>
        <v>1</v>
      </c>
      <c r="ED17" s="13"/>
      <c r="EE17" s="13">
        <v>10529</v>
      </c>
      <c r="EG17" s="29">
        <f ca="1"/>
        <v>15</v>
      </c>
      <c r="EH17" s="30" t="str">
        <f ca="1"/>
        <v>Kasmo</v>
      </c>
      <c r="EI17" s="30" t="e" vm="16">
        <f ca="1"/>
        <v>#VALUE!</v>
      </c>
      <c r="EJ17" s="30" t="e">
        <f ca="1"/>
        <v>#VALUE!</v>
      </c>
      <c r="EK17" s="13">
        <v>1</v>
      </c>
      <c r="EL17" s="30">
        <f ca="1"/>
        <v>0</v>
      </c>
      <c r="EN17" s="27">
        <f ca="1"/>
        <v>15</v>
      </c>
      <c r="EO17" s="30" t="str">
        <f ca="1"/>
        <v>Kasmo</v>
      </c>
      <c r="EP17" s="30">
        <f ca="1"/>
        <v>0</v>
      </c>
      <c r="EQ17" s="13"/>
      <c r="ER17" s="13"/>
      <c r="ET17" s="29">
        <f ca="1"/>
        <v>15</v>
      </c>
      <c r="EU17" s="30" t="str">
        <f ca="1"/>
        <v>Kasmo</v>
      </c>
      <c r="EV17" s="30" t="e" vm="16">
        <f ca="1"/>
        <v>#VALUE!</v>
      </c>
      <c r="EW17" s="30" t="e">
        <f ca="1"/>
        <v>#VALUE!</v>
      </c>
      <c r="EX17" s="13"/>
      <c r="EY17" s="30">
        <f ca="1"/>
        <v>0</v>
      </c>
      <c r="FA17" s="27">
        <f ca="1"/>
        <v>15</v>
      </c>
      <c r="FB17" s="30" t="str">
        <f ca="1"/>
        <v>Kasmo</v>
      </c>
      <c r="FC17" s="30">
        <f ca="1"/>
        <v>0</v>
      </c>
      <c r="FD17" s="13"/>
      <c r="FE17" s="13"/>
      <c r="FG17" s="29">
        <f ca="1"/>
        <v>15</v>
      </c>
      <c r="FH17" s="30" t="str">
        <f ca="1"/>
        <v>Kasmo</v>
      </c>
      <c r="FI17" s="30" t="e" vm="16">
        <f ca="1"/>
        <v>#VALUE!</v>
      </c>
      <c r="FJ17" s="30" t="e">
        <f ca="1"/>
        <v>#VALUE!</v>
      </c>
      <c r="FK17" s="13"/>
      <c r="FL17" s="30">
        <f ca="1"/>
        <v>0</v>
      </c>
      <c r="FN17" s="27">
        <f ca="1"/>
        <v>15</v>
      </c>
      <c r="FO17" s="30" t="str">
        <f ca="1"/>
        <v>Kasmo</v>
      </c>
      <c r="FP17" s="30">
        <f ca="1"/>
        <v>0</v>
      </c>
      <c r="FQ17" s="13"/>
      <c r="FR17" s="13"/>
      <c r="FT17" s="29">
        <f ca="1"/>
        <v>15</v>
      </c>
      <c r="FU17" s="30" t="str">
        <f ca="1"/>
        <v>Kasmo</v>
      </c>
      <c r="FV17" s="30" t="e" vm="16">
        <f ca="1"/>
        <v>#VALUE!</v>
      </c>
      <c r="FW17" s="30" t="e">
        <f ca="1"/>
        <v>#VALUE!</v>
      </c>
      <c r="FX17" s="13"/>
      <c r="FY17" s="30">
        <f ca="1"/>
        <v>0</v>
      </c>
      <c r="GA17" s="27">
        <f ca="1"/>
        <v>15</v>
      </c>
      <c r="GB17" s="30" t="str">
        <f ca="1"/>
        <v>Kasmo</v>
      </c>
      <c r="GC17" s="30">
        <f ca="1"/>
        <v>0</v>
      </c>
      <c r="GD17" s="13"/>
      <c r="GE17" s="13"/>
      <c r="GG17" s="29">
        <f ca="1"/>
        <v>15</v>
      </c>
      <c r="GH17" s="30" t="str">
        <f ca="1"/>
        <v>Kasmo</v>
      </c>
      <c r="GI17" s="30" t="e" vm="16">
        <f ca="1"/>
        <v>#VALUE!</v>
      </c>
      <c r="GJ17" s="30" t="e">
        <f ca="1"/>
        <v>#VALUE!</v>
      </c>
      <c r="GK17" s="13"/>
      <c r="GL17" s="30">
        <f ca="1"/>
        <v>0</v>
      </c>
      <c r="GN17" s="27">
        <f ca="1"/>
        <v>15</v>
      </c>
      <c r="GO17" s="30" t="str">
        <f ca="1"/>
        <v>Kasmo</v>
      </c>
      <c r="GP17" s="30">
        <f ca="1"/>
        <v>0</v>
      </c>
      <c r="GQ17" s="13"/>
      <c r="GR17" s="13"/>
      <c r="GT17" s="29">
        <f ca="1"/>
        <v>15</v>
      </c>
      <c r="GU17" s="30" t="str">
        <f ca="1"/>
        <v>Kasmo</v>
      </c>
      <c r="GV17" s="30" t="e" vm="16">
        <f ca="1"/>
        <v>#VALUE!</v>
      </c>
      <c r="GW17" s="30" t="e">
        <f ca="1"/>
        <v>#VALUE!</v>
      </c>
      <c r="GX17" s="13"/>
      <c r="GY17" s="30">
        <f ca="1"/>
        <v>0</v>
      </c>
      <c r="HA17" s="27">
        <f ca="1"/>
        <v>15</v>
      </c>
      <c r="HB17" s="30" t="str">
        <f ca="1"/>
        <v>Kasmo</v>
      </c>
      <c r="HC17" s="30">
        <f ca="1"/>
        <v>0</v>
      </c>
      <c r="HD17" s="13"/>
      <c r="HE17" s="13"/>
      <c r="HF17" s="1"/>
      <c r="HG17" s="29">
        <f ca="1"/>
        <v>15</v>
      </c>
      <c r="HH17" s="30" t="str">
        <f ca="1"/>
        <v>Kasmo</v>
      </c>
      <c r="HI17" s="30" t="e" vm="16">
        <f ca="1"/>
        <v>#VALUE!</v>
      </c>
      <c r="HJ17" s="30" t="e">
        <f ca="1"/>
        <v>#VALUE!</v>
      </c>
      <c r="HK17" s="13"/>
      <c r="HL17" s="30">
        <f ca="1"/>
        <v>0</v>
      </c>
      <c r="HN17" s="27">
        <f ca="1"/>
        <v>15</v>
      </c>
      <c r="HO17" s="30" t="str">
        <f ca="1"/>
        <v>Kasmo</v>
      </c>
      <c r="HP17" s="30">
        <f ca="1"/>
        <v>0</v>
      </c>
      <c r="HQ17" s="13"/>
      <c r="HR17" s="13"/>
      <c r="HT17" s="29">
        <f ca="1"/>
        <v>15</v>
      </c>
      <c r="HU17" s="30" t="str">
        <f ca="1"/>
        <v>Kasmo</v>
      </c>
      <c r="HV17" s="30" t="e" vm="16">
        <f ca="1"/>
        <v>#VALUE!</v>
      </c>
      <c r="HW17" s="30" t="e">
        <f ca="1"/>
        <v>#VALUE!</v>
      </c>
      <c r="HX17" s="13"/>
      <c r="HY17" s="30">
        <f ca="1"/>
        <v>0</v>
      </c>
      <c r="IA17" s="27">
        <f ca="1"/>
        <v>15</v>
      </c>
      <c r="IB17" s="30" t="str">
        <f ca="1"/>
        <v>Kasmo</v>
      </c>
      <c r="IC17" s="30">
        <f ca="1"/>
        <v>0</v>
      </c>
      <c r="ID17" s="13"/>
      <c r="IE17" s="13"/>
      <c r="IG17" s="29">
        <f ca="1"/>
        <v>15</v>
      </c>
      <c r="IH17" s="30" t="str">
        <f ca="1"/>
        <v>Kasmo</v>
      </c>
      <c r="II17" s="30" t="e" vm="16">
        <f ca="1"/>
        <v>#VALUE!</v>
      </c>
      <c r="IJ17" s="30" t="e">
        <f ca="1"/>
        <v>#VALUE!</v>
      </c>
      <c r="IK17" s="13"/>
      <c r="IL17" s="30">
        <f ca="1"/>
        <v>0</v>
      </c>
      <c r="IN17" s="27">
        <f ca="1"/>
        <v>15</v>
      </c>
      <c r="IO17" s="30" t="str">
        <f ca="1"/>
        <v>Kasmo</v>
      </c>
      <c r="IP17" s="30">
        <f ca="1"/>
        <v>0</v>
      </c>
      <c r="IQ17" s="13"/>
      <c r="IR17" s="13"/>
      <c r="IT17" s="29">
        <f ca="1"/>
        <v>15</v>
      </c>
      <c r="IU17" s="30" t="str">
        <f ca="1"/>
        <v>Kasmo</v>
      </c>
      <c r="IV17" s="30" t="e" vm="16">
        <f ca="1"/>
        <v>#VALUE!</v>
      </c>
      <c r="IW17" s="30" t="e">
        <f ca="1"/>
        <v>#VALUE!</v>
      </c>
      <c r="IX17" s="13"/>
      <c r="IY17" s="30">
        <f ca="1"/>
        <v>0</v>
      </c>
      <c r="JA17" s="27">
        <f ca="1"/>
        <v>15</v>
      </c>
      <c r="JB17" s="30" t="str">
        <f ca="1"/>
        <v>Kasmo</v>
      </c>
      <c r="JC17" s="30">
        <f ca="1"/>
        <v>0</v>
      </c>
      <c r="JD17" s="13"/>
      <c r="JE17" s="13"/>
      <c r="JG17" s="29">
        <f ca="1"/>
        <v>15</v>
      </c>
      <c r="JH17" s="30" t="str">
        <f ca="1"/>
        <v>Kasmo</v>
      </c>
      <c r="JI17" s="30" t="e" vm="16">
        <f ca="1"/>
        <v>#VALUE!</v>
      </c>
      <c r="JJ17" s="30" t="e">
        <f ca="1"/>
        <v>#VALUE!</v>
      </c>
      <c r="JK17" s="13"/>
      <c r="JL17" s="30">
        <f ca="1"/>
        <v>0</v>
      </c>
      <c r="JN17" s="27">
        <f ca="1"/>
        <v>15</v>
      </c>
      <c r="JO17" s="30" t="str">
        <f ca="1"/>
        <v>Kasmo</v>
      </c>
      <c r="JP17" s="30">
        <f ca="1"/>
        <v>0</v>
      </c>
      <c r="JQ17" s="13"/>
      <c r="JR17" s="13"/>
      <c r="JT17" s="29">
        <f ca="1"/>
        <v>15</v>
      </c>
      <c r="JU17" s="30" t="str">
        <f ca="1"/>
        <v>Kasmo</v>
      </c>
      <c r="JV17" s="30" t="e" vm="16">
        <f ca="1"/>
        <v>#VALUE!</v>
      </c>
      <c r="JW17" s="30" t="e">
        <f ca="1"/>
        <v>#VALUE!</v>
      </c>
      <c r="JX17" s="13"/>
      <c r="JY17" s="30">
        <f ca="1"/>
        <v>0</v>
      </c>
      <c r="KA17" s="27">
        <f ca="1"/>
        <v>15</v>
      </c>
      <c r="KB17" s="30" t="str">
        <f ca="1"/>
        <v>Kasmo</v>
      </c>
      <c r="KC17" s="30">
        <f ca="1"/>
        <v>0</v>
      </c>
      <c r="KD17" s="13"/>
      <c r="KE17" s="13"/>
      <c r="KG17" s="29">
        <f ca="1"/>
        <v>15</v>
      </c>
      <c r="KH17" s="30" t="str">
        <f ca="1"/>
        <v>Kasmo</v>
      </c>
      <c r="KI17" s="30" t="e" vm="16">
        <f ca="1"/>
        <v>#VALUE!</v>
      </c>
      <c r="KJ17" s="30" t="e">
        <f ca="1"/>
        <v>#VALUE!</v>
      </c>
      <c r="KK17" s="13"/>
      <c r="KL17" s="30">
        <f ca="1"/>
        <v>0</v>
      </c>
      <c r="KN17" s="27">
        <f ca="1"/>
        <v>15</v>
      </c>
      <c r="KO17" s="30" t="str">
        <f ca="1"/>
        <v>Kasmo</v>
      </c>
      <c r="KP17" s="30">
        <f ca="1"/>
        <v>0</v>
      </c>
      <c r="KQ17" s="13"/>
      <c r="KR17" s="13"/>
      <c r="KT17" s="29">
        <f ca="1"/>
        <v>15</v>
      </c>
      <c r="KU17" s="30" t="str">
        <f ca="1"/>
        <v>Kasmo</v>
      </c>
      <c r="KV17" s="30" t="e" vm="16">
        <f ca="1"/>
        <v>#VALUE!</v>
      </c>
      <c r="KW17" s="30" t="e">
        <f ca="1"/>
        <v>#VALUE!</v>
      </c>
      <c r="KX17" s="13"/>
      <c r="KY17" s="30">
        <f ca="1"/>
        <v>0</v>
      </c>
      <c r="LA17" s="27">
        <f ca="1"/>
        <v>15</v>
      </c>
      <c r="LB17" s="30" t="str">
        <f ca="1"/>
        <v>Kasmo</v>
      </c>
      <c r="LC17" s="30">
        <f ca="1"/>
        <v>0</v>
      </c>
      <c r="LD17" s="13"/>
      <c r="LE17" s="13"/>
      <c r="LG17" s="29">
        <f ca="1"/>
        <v>15</v>
      </c>
      <c r="LH17" s="30" t="str">
        <f ca="1"/>
        <v>Kasmo</v>
      </c>
      <c r="LI17" s="30" t="e" vm="16">
        <f ca="1"/>
        <v>#VALUE!</v>
      </c>
      <c r="LJ17" s="30" t="e">
        <f ca="1"/>
        <v>#VALUE!</v>
      </c>
      <c r="LK17" s="13"/>
      <c r="LL17" s="30">
        <f ca="1"/>
        <v>0</v>
      </c>
      <c r="LN17" s="27">
        <f ca="1"/>
        <v>15</v>
      </c>
      <c r="LO17" s="30" t="str">
        <f ca="1"/>
        <v>Kasmo</v>
      </c>
      <c r="LP17" s="30">
        <f ca="1"/>
        <v>0</v>
      </c>
      <c r="LQ17" s="13"/>
      <c r="LR17" s="13"/>
      <c r="LT17" s="29">
        <f ca="1"/>
        <v>15</v>
      </c>
      <c r="LU17" s="30" t="str">
        <f ca="1"/>
        <v>Kasmo</v>
      </c>
      <c r="LV17" s="30" t="e" vm="16">
        <f ca="1"/>
        <v>#VALUE!</v>
      </c>
      <c r="LW17" s="30" t="e">
        <f ca="1"/>
        <v>#VALUE!</v>
      </c>
      <c r="LX17" s="13"/>
      <c r="LY17" s="30">
        <f ca="1"/>
        <v>0</v>
      </c>
      <c r="MA17" s="27">
        <f ca="1"/>
        <v>15</v>
      </c>
      <c r="MB17" s="30" t="str">
        <f ca="1"/>
        <v>Kasmo</v>
      </c>
      <c r="MC17" s="30">
        <f ca="1"/>
        <v>0</v>
      </c>
      <c r="MD17" s="13"/>
      <c r="ME17" s="13"/>
      <c r="MG17" s="29">
        <f ca="1"/>
        <v>15</v>
      </c>
      <c r="MH17" s="30" t="str">
        <f ca="1"/>
        <v>Kasmo</v>
      </c>
      <c r="MI17" s="30" t="e" vm="16">
        <f ca="1"/>
        <v>#VALUE!</v>
      </c>
      <c r="MJ17" s="30" t="e">
        <f ca="1"/>
        <v>#VALUE!</v>
      </c>
      <c r="MK17" s="13"/>
      <c r="ML17" s="30">
        <f ca="1"/>
        <v>0</v>
      </c>
      <c r="MN17" s="27">
        <f ca="1"/>
        <v>15</v>
      </c>
      <c r="MO17" s="30" t="str">
        <f ca="1"/>
        <v>Kasmo</v>
      </c>
      <c r="MP17" s="30">
        <f ca="1"/>
        <v>0</v>
      </c>
      <c r="MQ17" s="13"/>
      <c r="MR17" s="13"/>
      <c r="MS17" s="1"/>
      <c r="MT17" s="29">
        <f ca="1"/>
        <v>15</v>
      </c>
      <c r="MU17" s="30" t="str">
        <f ca="1"/>
        <v>Kasmo</v>
      </c>
      <c r="MV17" s="30" t="e" vm="16">
        <f ca="1"/>
        <v>#VALUE!</v>
      </c>
      <c r="MW17" s="30" t="e">
        <f ca="1"/>
        <v>#VALUE!</v>
      </c>
      <c r="MX17" s="13"/>
      <c r="MY17" s="30">
        <f ca="1"/>
        <v>0</v>
      </c>
      <c r="NA17" s="27">
        <f ca="1"/>
        <v>15</v>
      </c>
      <c r="NB17" s="30" t="str">
        <f ca="1"/>
        <v>Kasmo</v>
      </c>
      <c r="NC17" s="30">
        <f ca="1"/>
        <v>0</v>
      </c>
      <c r="ND17" s="13"/>
      <c r="NE17" s="13"/>
      <c r="NG17" s="29">
        <f ca="1"/>
        <v>15</v>
      </c>
      <c r="NH17" s="30" t="str">
        <f ca="1"/>
        <v>Kasmo</v>
      </c>
      <c r="NI17" s="30" t="e" vm="16">
        <f ca="1"/>
        <v>#VALUE!</v>
      </c>
      <c r="NJ17" s="30" t="e">
        <f ca="1"/>
        <v>#VALUE!</v>
      </c>
      <c r="NK17" s="13"/>
      <c r="NL17" s="30">
        <f ca="1"/>
        <v>0</v>
      </c>
      <c r="NN17" s="27">
        <f ca="1"/>
        <v>15</v>
      </c>
      <c r="NO17" s="30" t="str">
        <f ca="1"/>
        <v>Kasmo</v>
      </c>
      <c r="NP17" s="30">
        <f ca="1"/>
        <v>0</v>
      </c>
      <c r="NQ17" s="13"/>
      <c r="NR17" s="13"/>
      <c r="NT17" s="29">
        <f ca="1"/>
        <v>15</v>
      </c>
      <c r="NU17" s="30" t="str">
        <f ca="1"/>
        <v>Kasmo</v>
      </c>
      <c r="NV17" s="30" t="e" vm="16">
        <f ca="1"/>
        <v>#VALUE!</v>
      </c>
      <c r="NW17" s="30" t="e">
        <f ca="1"/>
        <v>#VALUE!</v>
      </c>
      <c r="NX17" s="13"/>
      <c r="NY17" s="30">
        <f ca="1"/>
        <v>0</v>
      </c>
      <c r="OA17" s="27">
        <f ca="1"/>
        <v>15</v>
      </c>
      <c r="OB17" s="30" t="str">
        <f ca="1"/>
        <v>Kasmo</v>
      </c>
      <c r="OC17" s="30">
        <f ca="1"/>
        <v>0</v>
      </c>
      <c r="OD17" s="13"/>
      <c r="OE17" s="13"/>
      <c r="OG17" s="29">
        <f ca="1"/>
        <v>15</v>
      </c>
      <c r="OH17" s="30" t="str">
        <f ca="1"/>
        <v>Kasmo</v>
      </c>
      <c r="OI17" s="30" t="e" vm="16">
        <f ca="1"/>
        <v>#VALUE!</v>
      </c>
      <c r="OJ17" s="30" t="e">
        <f ca="1"/>
        <v>#VALUE!</v>
      </c>
      <c r="OK17" s="13"/>
      <c r="OL17" s="30">
        <f ca="1"/>
        <v>0</v>
      </c>
      <c r="ON17" s="27">
        <f ca="1"/>
        <v>15</v>
      </c>
      <c r="OO17" s="30" t="str">
        <f ca="1"/>
        <v>Kasmo</v>
      </c>
      <c r="OP17" s="30">
        <f ca="1"/>
        <v>0</v>
      </c>
      <c r="OQ17" s="13"/>
      <c r="OR17" s="13"/>
      <c r="OT17" s="29">
        <f ca="1"/>
        <v>15</v>
      </c>
      <c r="OU17" s="30" t="str">
        <f ca="1"/>
        <v>Kasmo</v>
      </c>
      <c r="OV17" s="30" t="e" vm="16">
        <f ca="1"/>
        <v>#VALUE!</v>
      </c>
      <c r="OW17" s="30" t="e">
        <f ca="1"/>
        <v>#VALUE!</v>
      </c>
      <c r="OX17" s="13"/>
      <c r="OY17" s="30">
        <f ca="1"/>
        <v>0</v>
      </c>
      <c r="PA17" s="27">
        <f ca="1"/>
        <v>15</v>
      </c>
      <c r="PB17" s="30" t="str">
        <f ca="1"/>
        <v>Kasmo</v>
      </c>
      <c r="PC17" s="30">
        <f ca="1"/>
        <v>0</v>
      </c>
      <c r="PD17" s="13"/>
      <c r="PE17" s="13"/>
      <c r="PG17" s="29">
        <f ca="1"/>
        <v>15</v>
      </c>
      <c r="PH17" s="30" t="str">
        <f ca="1"/>
        <v>Kasmo</v>
      </c>
      <c r="PI17" s="30" t="e" vm="16">
        <f ca="1"/>
        <v>#VALUE!</v>
      </c>
      <c r="PJ17" s="30" t="e">
        <f ca="1"/>
        <v>#VALUE!</v>
      </c>
      <c r="PK17" s="13"/>
      <c r="PL17" s="30">
        <f ca="1"/>
        <v>0</v>
      </c>
      <c r="PN17" s="27">
        <f ca="1"/>
        <v>15</v>
      </c>
      <c r="PO17" s="30" t="str">
        <f ca="1"/>
        <v>Kasmo</v>
      </c>
      <c r="PP17" s="30">
        <f ca="1"/>
        <v>0</v>
      </c>
      <c r="PQ17" s="13"/>
      <c r="PR17" s="13"/>
      <c r="PT17" s="29">
        <f ca="1"/>
        <v>15</v>
      </c>
      <c r="PU17" s="30" t="str">
        <f ca="1"/>
        <v>Kasmo</v>
      </c>
      <c r="PV17" s="30" t="e" vm="16">
        <f ca="1"/>
        <v>#VALUE!</v>
      </c>
      <c r="PW17" s="30" t="e">
        <f ca="1"/>
        <v>#VALUE!</v>
      </c>
      <c r="PX17" s="13"/>
      <c r="PY17" s="30">
        <f ca="1"/>
        <v>0</v>
      </c>
      <c r="QA17" s="27">
        <f ca="1"/>
        <v>15</v>
      </c>
      <c r="QB17" s="30" t="str">
        <f ca="1"/>
        <v>Kasmo</v>
      </c>
      <c r="QC17" s="30">
        <f ca="1"/>
        <v>0</v>
      </c>
      <c r="QD17" s="13"/>
      <c r="QE17" s="13"/>
      <c r="QG17" s="29">
        <f ca="1"/>
        <v>15</v>
      </c>
      <c r="QH17" s="30" t="str">
        <f ca="1"/>
        <v>Kasmo</v>
      </c>
      <c r="QI17" s="30" t="e" vm="16">
        <f ca="1"/>
        <v>#VALUE!</v>
      </c>
      <c r="QJ17" s="30" t="e">
        <f ca="1"/>
        <v>#VALUE!</v>
      </c>
      <c r="QK17" s="13"/>
      <c r="QL17" s="30">
        <f ca="1"/>
        <v>0</v>
      </c>
      <c r="QN17" s="27">
        <f ca="1"/>
        <v>15</v>
      </c>
      <c r="QO17" s="30" t="str">
        <f ca="1"/>
        <v>Kasmo</v>
      </c>
      <c r="QP17" s="30">
        <f ca="1"/>
        <v>0</v>
      </c>
      <c r="QQ17" s="13"/>
      <c r="QR17" s="13"/>
      <c r="QT17" s="29">
        <f ca="1"/>
        <v>15</v>
      </c>
      <c r="QU17" s="30" t="str">
        <f ca="1"/>
        <v>Kasmo</v>
      </c>
      <c r="QV17" s="30" t="e" vm="16">
        <f ca="1"/>
        <v>#VALUE!</v>
      </c>
      <c r="QW17" s="30" t="e">
        <f ca="1"/>
        <v>#VALUE!</v>
      </c>
      <c r="QX17" s="13"/>
      <c r="QY17" s="30">
        <f ca="1"/>
        <v>0</v>
      </c>
      <c r="RA17" s="27">
        <f ca="1"/>
        <v>15</v>
      </c>
      <c r="RB17" s="30" t="str">
        <f ca="1"/>
        <v>Kasmo</v>
      </c>
      <c r="RC17" s="30">
        <f ca="1"/>
        <v>0</v>
      </c>
      <c r="RD17" s="13"/>
      <c r="RE17" s="13"/>
      <c r="RG17" s="29">
        <f ca="1"/>
        <v>15</v>
      </c>
      <c r="RH17" s="30" t="str">
        <f ca="1"/>
        <v>Kasmo</v>
      </c>
      <c r="RI17" s="30" t="e" vm="16">
        <f ca="1"/>
        <v>#VALUE!</v>
      </c>
      <c r="RJ17" s="30" t="e">
        <f ca="1"/>
        <v>#VALUE!</v>
      </c>
      <c r="RK17" s="13"/>
      <c r="RL17" s="30">
        <f ca="1"/>
        <v>0</v>
      </c>
      <c r="RN17" s="27">
        <f ca="1"/>
        <v>15</v>
      </c>
      <c r="RO17" s="30" t="str">
        <f ca="1"/>
        <v>Kasmo</v>
      </c>
      <c r="RP17" s="30">
        <f ca="1"/>
        <v>0</v>
      </c>
      <c r="RQ17" s="13"/>
      <c r="RR17" s="13"/>
      <c r="RT17" s="29">
        <f ca="1"/>
        <v>15</v>
      </c>
      <c r="RU17" s="30" t="str">
        <f ca="1"/>
        <v>Kasmo</v>
      </c>
      <c r="RV17" s="30" t="e" vm="16">
        <f ca="1"/>
        <v>#VALUE!</v>
      </c>
      <c r="RW17" s="30" t="e">
        <f ca="1"/>
        <v>#VALUE!</v>
      </c>
      <c r="RX17" s="13"/>
      <c r="RY17" s="30">
        <f ca="1"/>
        <v>0</v>
      </c>
      <c r="SA17" s="27">
        <f ca="1"/>
        <v>15</v>
      </c>
      <c r="SB17" s="30" t="str">
        <f ca="1"/>
        <v>Kasmo</v>
      </c>
      <c r="SC17" s="30">
        <f ca="1"/>
        <v>0</v>
      </c>
      <c r="SD17" s="13"/>
      <c r="SE17" s="13"/>
      <c r="SG17" s="29">
        <f ca="1"/>
        <v>15</v>
      </c>
      <c r="SH17" s="30" t="str">
        <f ca="1"/>
        <v>Kasmo</v>
      </c>
      <c r="SI17" s="30" t="e" vm="16">
        <f ca="1"/>
        <v>#VALUE!</v>
      </c>
      <c r="SJ17" s="30" t="e">
        <f ca="1"/>
        <v>#VALUE!</v>
      </c>
      <c r="SK17" s="13"/>
      <c r="SL17" s="30">
        <f ca="1"/>
        <v>0</v>
      </c>
      <c r="SN17" s="27">
        <f ca="1"/>
        <v>15</v>
      </c>
      <c r="SO17" s="30" t="str">
        <f ca="1"/>
        <v>Kasmo</v>
      </c>
      <c r="SP17" s="30">
        <f ca="1"/>
        <v>0</v>
      </c>
      <c r="SQ17" s="13"/>
      <c r="SR17" s="13"/>
      <c r="ST17" s="29">
        <f ca="1"/>
        <v>15</v>
      </c>
      <c r="SU17" s="30" t="str">
        <f ca="1"/>
        <v>Kasmo</v>
      </c>
      <c r="SV17" s="30" t="e" vm="16">
        <f ca="1"/>
        <v>#VALUE!</v>
      </c>
      <c r="SW17" s="30" t="e">
        <f ca="1"/>
        <v>#VALUE!</v>
      </c>
      <c r="SX17" s="13"/>
      <c r="SY17" s="30">
        <f ca="1"/>
        <v>0</v>
      </c>
      <c r="TA17" s="29">
        <f ca="1"/>
        <v>15</v>
      </c>
      <c r="TB17" s="30" t="str">
        <f ca="1"/>
        <v>Kasmo</v>
      </c>
      <c r="TC17" s="30" t="e" vm="16">
        <f ca="1"/>
        <v>#VALUE!</v>
      </c>
      <c r="TD17" s="30">
        <f ca="1"/>
        <v>300</v>
      </c>
    </row>
    <row r="18" spans="1:524" ht="20.100000000000001" customHeight="1">
      <c r="A18" s="27">
        <f ca="1"/>
        <v>16</v>
      </c>
      <c r="B18" s="30" t="str">
        <f ca="1"/>
        <v>Champix</v>
      </c>
      <c r="C18" s="30">
        <v>1</v>
      </c>
      <c r="D18" s="13"/>
      <c r="E18" s="57">
        <v>0</v>
      </c>
      <c r="G18" s="29">
        <f ca="1"/>
        <v>16</v>
      </c>
      <c r="H18" s="30" t="str">
        <f ca="1"/>
        <v>Champix</v>
      </c>
      <c r="I18" s="30" t="e" vm="15">
        <f ca="1"/>
        <v>#VALUE!</v>
      </c>
      <c r="J18" s="55" t="e">
        <f ca="1"/>
        <v>#VALUE!</v>
      </c>
      <c r="K18" s="13"/>
      <c r="L18" s="30">
        <f ca="1"/>
        <v>1</v>
      </c>
      <c r="N18" s="27">
        <f ca="1"/>
        <v>16</v>
      </c>
      <c r="O18" s="30" t="str">
        <f ca="1"/>
        <v>Champix</v>
      </c>
      <c r="P18" s="30">
        <f ca="1"/>
        <v>1</v>
      </c>
      <c r="Q18" s="13"/>
      <c r="R18" s="13">
        <v>0</v>
      </c>
      <c r="T18" s="29">
        <f ca="1"/>
        <v>16</v>
      </c>
      <c r="U18" s="30" t="str">
        <f ca="1"/>
        <v>Champix</v>
      </c>
      <c r="V18" s="30" t="e" vm="15">
        <f ca="1"/>
        <v>#VALUE!</v>
      </c>
      <c r="W18" s="30" t="e">
        <f ca="1"/>
        <v>#VALUE!</v>
      </c>
      <c r="X18" s="13"/>
      <c r="Y18" s="30">
        <f ca="1"/>
        <v>1</v>
      </c>
      <c r="AA18" s="27">
        <f ca="1"/>
        <v>16</v>
      </c>
      <c r="AB18" s="30" t="str">
        <f ca="1"/>
        <v>Champix</v>
      </c>
      <c r="AC18" s="30">
        <f ca="1"/>
        <v>1</v>
      </c>
      <c r="AD18" s="13"/>
      <c r="AE18" s="13">
        <v>0</v>
      </c>
      <c r="AG18" s="29">
        <f ca="1"/>
        <v>16</v>
      </c>
      <c r="AH18" s="30" t="str">
        <f ca="1"/>
        <v>Champix</v>
      </c>
      <c r="AI18" s="30" t="e" vm="15">
        <f ca="1"/>
        <v>#VALUE!</v>
      </c>
      <c r="AJ18" s="30" t="e">
        <f ca="1"/>
        <v>#VALUE!</v>
      </c>
      <c r="AK18" s="13"/>
      <c r="AL18" s="30">
        <f ca="1"/>
        <v>1</v>
      </c>
      <c r="AN18" s="27">
        <f ca="1"/>
        <v>16</v>
      </c>
      <c r="AO18" s="30" t="str">
        <f ca="1"/>
        <v>Champix</v>
      </c>
      <c r="AP18" s="30">
        <f ca="1"/>
        <v>1</v>
      </c>
      <c r="AQ18" s="13"/>
      <c r="AR18" s="13">
        <v>0</v>
      </c>
      <c r="AT18" s="29">
        <f ca="1"/>
        <v>16</v>
      </c>
      <c r="AU18" s="30" t="str">
        <f ca="1"/>
        <v>Champix</v>
      </c>
      <c r="AV18" s="30" t="e" vm="15">
        <f ca="1"/>
        <v>#VALUE!</v>
      </c>
      <c r="AW18" s="30" t="e">
        <f ca="1"/>
        <v>#VALUE!</v>
      </c>
      <c r="AX18" s="13"/>
      <c r="AY18" s="30">
        <f ca="1"/>
        <v>1</v>
      </c>
      <c r="BA18" s="27">
        <f ca="1"/>
        <v>16</v>
      </c>
      <c r="BB18" s="30" t="str">
        <f ca="1"/>
        <v>Champix</v>
      </c>
      <c r="BC18" s="30">
        <f ca="1"/>
        <v>1</v>
      </c>
      <c r="BD18" s="13"/>
      <c r="BE18" s="13">
        <v>13080</v>
      </c>
      <c r="BG18" s="29">
        <f ca="1"/>
        <v>16</v>
      </c>
      <c r="BH18" s="30" t="str">
        <f ca="1"/>
        <v>Flo</v>
      </c>
      <c r="BI18" s="30" t="e" vm="15">
        <f ca="1"/>
        <v>#VALUE!</v>
      </c>
      <c r="BJ18" s="30" t="e">
        <f ca="1"/>
        <v>#VALUE!</v>
      </c>
      <c r="BK18" s="13"/>
      <c r="BL18" s="30">
        <f ca="1"/>
        <v>1</v>
      </c>
      <c r="BN18" s="27">
        <f ca="1"/>
        <v>16</v>
      </c>
      <c r="BO18" s="30" t="str">
        <f ca="1"/>
        <v>Flo</v>
      </c>
      <c r="BP18" s="30">
        <f ca="1"/>
        <v>1</v>
      </c>
      <c r="BQ18" s="13"/>
      <c r="BR18" s="13">
        <v>11062</v>
      </c>
      <c r="BS18" s="1"/>
      <c r="BT18" s="29">
        <f ca="1"/>
        <v>16</v>
      </c>
      <c r="BU18" s="30" t="str">
        <f ca="1"/>
        <v>Flo</v>
      </c>
      <c r="BV18" s="30" t="e" vm="15">
        <f ca="1"/>
        <v>#VALUE!</v>
      </c>
      <c r="BW18" s="30" t="e">
        <f ca="1"/>
        <v>#VALUE!</v>
      </c>
      <c r="BX18" s="13"/>
      <c r="BY18" s="30">
        <f ca="1"/>
        <v>1</v>
      </c>
      <c r="CA18" s="27">
        <f ca="1"/>
        <v>16</v>
      </c>
      <c r="CB18" s="30" t="str">
        <f ca="1"/>
        <v>Flo</v>
      </c>
      <c r="CC18" s="30">
        <f ca="1"/>
        <v>1</v>
      </c>
      <c r="CD18" s="13"/>
      <c r="CE18" s="13">
        <v>11426</v>
      </c>
      <c r="CG18" s="29">
        <f ca="1"/>
        <v>16</v>
      </c>
      <c r="CH18" s="30" t="str">
        <f ca="1"/>
        <v>Champix</v>
      </c>
      <c r="CI18" s="30" t="e" vm="15">
        <f ca="1"/>
        <v>#VALUE!</v>
      </c>
      <c r="CJ18" s="30" t="e">
        <f ca="1"/>
        <v>#VALUE!</v>
      </c>
      <c r="CK18" s="13"/>
      <c r="CL18" s="30">
        <f ca="1"/>
        <v>1</v>
      </c>
      <c r="CN18" s="27">
        <f ca="1"/>
        <v>16</v>
      </c>
      <c r="CO18" s="30" t="str">
        <f ca="1"/>
        <v>Champix</v>
      </c>
      <c r="CP18" s="30">
        <f ca="1"/>
        <v>1</v>
      </c>
      <c r="CQ18" s="13"/>
      <c r="CR18" s="13">
        <v>10031</v>
      </c>
      <c r="CT18" s="29">
        <f ca="1"/>
        <v>16</v>
      </c>
      <c r="CU18" s="30" t="str">
        <f ca="1"/>
        <v>Sumz</v>
      </c>
      <c r="CV18" s="30" t="e" vm="18">
        <f ca="1"/>
        <v>#VALUE!</v>
      </c>
      <c r="CW18" s="30" t="e">
        <f ca="1"/>
        <v>#VALUE!</v>
      </c>
      <c r="CX18" s="13"/>
      <c r="CY18" s="30">
        <f ca="1"/>
        <v>1</v>
      </c>
      <c r="DA18" s="27">
        <f ca="1"/>
        <v>16</v>
      </c>
      <c r="DB18" s="30" t="str">
        <f ca="1"/>
        <v>Sumz</v>
      </c>
      <c r="DC18" s="30">
        <f ca="1"/>
        <v>1</v>
      </c>
      <c r="DD18" s="13">
        <v>2</v>
      </c>
      <c r="DE18" s="13">
        <v>5928</v>
      </c>
      <c r="DG18" s="29">
        <f ca="1"/>
        <v>16</v>
      </c>
      <c r="DH18" s="30" t="str">
        <f ca="1"/>
        <v>Kasmo</v>
      </c>
      <c r="DI18" s="30" t="e" vm="16">
        <f ca="1"/>
        <v>#VALUE!</v>
      </c>
      <c r="DJ18" s="30" t="e">
        <f ca="1"/>
        <v>#VALUE!</v>
      </c>
      <c r="DK18" s="13">
        <v>1</v>
      </c>
      <c r="DL18" s="30">
        <f ca="1"/>
        <v>2</v>
      </c>
      <c r="DN18" s="27">
        <f ca="1"/>
        <v>16</v>
      </c>
      <c r="DO18" s="30" t="str">
        <f ca="1"/>
        <v>Kasmo</v>
      </c>
      <c r="DP18" s="30">
        <f ca="1"/>
        <v>2</v>
      </c>
      <c r="DQ18" s="13"/>
      <c r="DR18" s="13">
        <v>13585</v>
      </c>
      <c r="DT18" s="29">
        <f ca="1"/>
        <v>16</v>
      </c>
      <c r="DU18" s="30" t="str">
        <f ca="1"/>
        <v>Sumz</v>
      </c>
      <c r="DV18" s="30" t="e" vm="18">
        <f ca="1"/>
        <v>#VALUE!</v>
      </c>
      <c r="DW18" s="30" t="e">
        <f ca="1"/>
        <v>#VALUE!</v>
      </c>
      <c r="DX18" s="13">
        <v>1</v>
      </c>
      <c r="DY18" s="30">
        <f ca="1"/>
        <v>1</v>
      </c>
      <c r="EA18" s="27">
        <f ca="1"/>
        <v>16</v>
      </c>
      <c r="EB18" s="30" t="str">
        <f ca="1"/>
        <v>Sumz</v>
      </c>
      <c r="EC18" s="30">
        <f ca="1"/>
        <v>1</v>
      </c>
      <c r="ED18" s="13"/>
      <c r="EE18" s="13">
        <v>10465</v>
      </c>
      <c r="EG18" s="29">
        <f ca="1"/>
        <v>16</v>
      </c>
      <c r="EH18" s="30" t="str">
        <f ca="1"/>
        <v>Champix</v>
      </c>
      <c r="EI18" s="30" t="e" vm="15">
        <f ca="1"/>
        <v>#VALUE!</v>
      </c>
      <c r="EJ18" s="30" t="e">
        <f ca="1"/>
        <v>#VALUE!</v>
      </c>
      <c r="EK18" s="13">
        <v>1</v>
      </c>
      <c r="EL18" s="30">
        <f ca="1"/>
        <v>0</v>
      </c>
      <c r="EN18" s="27">
        <f ca="1"/>
        <v>16</v>
      </c>
      <c r="EO18" s="30" t="str">
        <f ca="1"/>
        <v>Champix</v>
      </c>
      <c r="EP18" s="30">
        <f ca="1"/>
        <v>0</v>
      </c>
      <c r="EQ18" s="13"/>
      <c r="ER18" s="13"/>
      <c r="ET18" s="29">
        <f ca="1"/>
        <v>16</v>
      </c>
      <c r="EU18" s="30" t="str">
        <f ca="1"/>
        <v>Champix</v>
      </c>
      <c r="EV18" s="30" t="e" vm="15">
        <f ca="1"/>
        <v>#VALUE!</v>
      </c>
      <c r="EW18" s="30" t="e">
        <f ca="1"/>
        <v>#VALUE!</v>
      </c>
      <c r="EX18" s="13"/>
      <c r="EY18" s="30">
        <f ca="1"/>
        <v>0</v>
      </c>
      <c r="FA18" s="27">
        <f ca="1"/>
        <v>16</v>
      </c>
      <c r="FB18" s="30" t="str">
        <f ca="1"/>
        <v>Champix</v>
      </c>
      <c r="FC18" s="30">
        <f ca="1"/>
        <v>0</v>
      </c>
      <c r="FD18" s="13"/>
      <c r="FE18" s="13"/>
      <c r="FG18" s="29">
        <f ca="1"/>
        <v>16</v>
      </c>
      <c r="FH18" s="30" t="str">
        <f ca="1"/>
        <v>Champix</v>
      </c>
      <c r="FI18" s="30" t="e" vm="15">
        <f ca="1"/>
        <v>#VALUE!</v>
      </c>
      <c r="FJ18" s="30" t="e">
        <f ca="1"/>
        <v>#VALUE!</v>
      </c>
      <c r="FK18" s="13"/>
      <c r="FL18" s="30">
        <f ca="1"/>
        <v>0</v>
      </c>
      <c r="FN18" s="27">
        <f ca="1"/>
        <v>16</v>
      </c>
      <c r="FO18" s="30" t="str">
        <f ca="1"/>
        <v>Champix</v>
      </c>
      <c r="FP18" s="30">
        <f ca="1"/>
        <v>0</v>
      </c>
      <c r="FQ18" s="13"/>
      <c r="FR18" s="13"/>
      <c r="FT18" s="29">
        <f ca="1"/>
        <v>16</v>
      </c>
      <c r="FU18" s="30" t="str">
        <f ca="1"/>
        <v>Champix</v>
      </c>
      <c r="FV18" s="30" t="e" vm="15">
        <f ca="1"/>
        <v>#VALUE!</v>
      </c>
      <c r="FW18" s="30" t="e">
        <f ca="1"/>
        <v>#VALUE!</v>
      </c>
      <c r="FX18" s="13"/>
      <c r="FY18" s="30">
        <f ca="1"/>
        <v>0</v>
      </c>
      <c r="GA18" s="27">
        <f ca="1"/>
        <v>16</v>
      </c>
      <c r="GB18" s="30" t="str">
        <f ca="1"/>
        <v>Champix</v>
      </c>
      <c r="GC18" s="30">
        <f ca="1"/>
        <v>0</v>
      </c>
      <c r="GD18" s="13"/>
      <c r="GE18" s="13"/>
      <c r="GG18" s="29">
        <f ca="1"/>
        <v>16</v>
      </c>
      <c r="GH18" s="30" t="str">
        <f ca="1"/>
        <v>Champix</v>
      </c>
      <c r="GI18" s="30" t="e" vm="15">
        <f ca="1"/>
        <v>#VALUE!</v>
      </c>
      <c r="GJ18" s="30" t="e">
        <f ca="1"/>
        <v>#VALUE!</v>
      </c>
      <c r="GK18" s="13"/>
      <c r="GL18" s="30">
        <f ca="1"/>
        <v>0</v>
      </c>
      <c r="GN18" s="27">
        <f ca="1"/>
        <v>16</v>
      </c>
      <c r="GO18" s="30" t="str">
        <f ca="1"/>
        <v>Champix</v>
      </c>
      <c r="GP18" s="30">
        <f ca="1"/>
        <v>0</v>
      </c>
      <c r="GQ18" s="13"/>
      <c r="GR18" s="13"/>
      <c r="GT18" s="29">
        <f ca="1"/>
        <v>16</v>
      </c>
      <c r="GU18" s="30" t="str">
        <f ca="1"/>
        <v>Champix</v>
      </c>
      <c r="GV18" s="30" t="e" vm="15">
        <f ca="1"/>
        <v>#VALUE!</v>
      </c>
      <c r="GW18" s="30" t="e">
        <f ca="1"/>
        <v>#VALUE!</v>
      </c>
      <c r="GX18" s="13"/>
      <c r="GY18" s="30">
        <f ca="1"/>
        <v>0</v>
      </c>
      <c r="HA18" s="27">
        <f ca="1"/>
        <v>16</v>
      </c>
      <c r="HB18" s="30" t="str">
        <f ca="1"/>
        <v>Champix</v>
      </c>
      <c r="HC18" s="30">
        <f ca="1"/>
        <v>0</v>
      </c>
      <c r="HD18" s="13"/>
      <c r="HE18" s="13"/>
      <c r="HF18" s="1"/>
      <c r="HG18" s="29">
        <f ca="1"/>
        <v>16</v>
      </c>
      <c r="HH18" s="30" t="str">
        <f ca="1"/>
        <v>Champix</v>
      </c>
      <c r="HI18" s="30" t="e" vm="15">
        <f ca="1"/>
        <v>#VALUE!</v>
      </c>
      <c r="HJ18" s="30" t="e">
        <f ca="1"/>
        <v>#VALUE!</v>
      </c>
      <c r="HK18" s="13"/>
      <c r="HL18" s="30">
        <f ca="1"/>
        <v>0</v>
      </c>
      <c r="HN18" s="27">
        <f ca="1"/>
        <v>16</v>
      </c>
      <c r="HO18" s="30" t="str">
        <f ca="1"/>
        <v>Champix</v>
      </c>
      <c r="HP18" s="30">
        <f ca="1"/>
        <v>0</v>
      </c>
      <c r="HQ18" s="13"/>
      <c r="HR18" s="13"/>
      <c r="HT18" s="29">
        <f ca="1"/>
        <v>16</v>
      </c>
      <c r="HU18" s="30" t="str">
        <f ca="1"/>
        <v>Champix</v>
      </c>
      <c r="HV18" s="30" t="e" vm="15">
        <f ca="1"/>
        <v>#VALUE!</v>
      </c>
      <c r="HW18" s="30" t="e">
        <f ca="1"/>
        <v>#VALUE!</v>
      </c>
      <c r="HX18" s="13"/>
      <c r="HY18" s="30">
        <f ca="1"/>
        <v>0</v>
      </c>
      <c r="IA18" s="27">
        <f ca="1"/>
        <v>16</v>
      </c>
      <c r="IB18" s="30" t="str">
        <f ca="1"/>
        <v>Champix</v>
      </c>
      <c r="IC18" s="30">
        <f ca="1"/>
        <v>0</v>
      </c>
      <c r="ID18" s="13"/>
      <c r="IE18" s="13"/>
      <c r="IG18" s="29">
        <f ca="1"/>
        <v>16</v>
      </c>
      <c r="IH18" s="30" t="str">
        <f ca="1"/>
        <v>Champix</v>
      </c>
      <c r="II18" s="30" t="e" vm="15">
        <f ca="1"/>
        <v>#VALUE!</v>
      </c>
      <c r="IJ18" s="30" t="e">
        <f ca="1"/>
        <v>#VALUE!</v>
      </c>
      <c r="IK18" s="13"/>
      <c r="IL18" s="30">
        <f ca="1"/>
        <v>0</v>
      </c>
      <c r="IN18" s="27">
        <f ca="1"/>
        <v>16</v>
      </c>
      <c r="IO18" s="30" t="str">
        <f ca="1"/>
        <v>Champix</v>
      </c>
      <c r="IP18" s="30">
        <f ca="1"/>
        <v>0</v>
      </c>
      <c r="IQ18" s="13"/>
      <c r="IR18" s="13"/>
      <c r="IT18" s="29">
        <f ca="1"/>
        <v>16</v>
      </c>
      <c r="IU18" s="30" t="str">
        <f ca="1"/>
        <v>Champix</v>
      </c>
      <c r="IV18" s="30" t="e" vm="15">
        <f ca="1"/>
        <v>#VALUE!</v>
      </c>
      <c r="IW18" s="30" t="e">
        <f ca="1"/>
        <v>#VALUE!</v>
      </c>
      <c r="IX18" s="13"/>
      <c r="IY18" s="30">
        <f ca="1"/>
        <v>0</v>
      </c>
      <c r="JA18" s="27">
        <f ca="1"/>
        <v>16</v>
      </c>
      <c r="JB18" s="30" t="str">
        <f ca="1"/>
        <v>Champix</v>
      </c>
      <c r="JC18" s="30">
        <f ca="1"/>
        <v>0</v>
      </c>
      <c r="JD18" s="13"/>
      <c r="JE18" s="13"/>
      <c r="JG18" s="29">
        <f ca="1"/>
        <v>16</v>
      </c>
      <c r="JH18" s="30" t="str">
        <f ca="1"/>
        <v>Champix</v>
      </c>
      <c r="JI18" s="30" t="e" vm="15">
        <f ca="1"/>
        <v>#VALUE!</v>
      </c>
      <c r="JJ18" s="30" t="e">
        <f ca="1"/>
        <v>#VALUE!</v>
      </c>
      <c r="JK18" s="13"/>
      <c r="JL18" s="30">
        <f ca="1"/>
        <v>0</v>
      </c>
      <c r="JN18" s="27">
        <f ca="1"/>
        <v>16</v>
      </c>
      <c r="JO18" s="30" t="str">
        <f ca="1"/>
        <v>Champix</v>
      </c>
      <c r="JP18" s="30">
        <f ca="1"/>
        <v>0</v>
      </c>
      <c r="JQ18" s="13"/>
      <c r="JR18" s="13"/>
      <c r="JT18" s="29">
        <f ca="1"/>
        <v>16</v>
      </c>
      <c r="JU18" s="30" t="str">
        <f ca="1"/>
        <v>Champix</v>
      </c>
      <c r="JV18" s="30" t="e" vm="15">
        <f ca="1"/>
        <v>#VALUE!</v>
      </c>
      <c r="JW18" s="30" t="e">
        <f ca="1"/>
        <v>#VALUE!</v>
      </c>
      <c r="JX18" s="13"/>
      <c r="JY18" s="30">
        <f ca="1"/>
        <v>0</v>
      </c>
      <c r="KA18" s="27">
        <f ca="1"/>
        <v>16</v>
      </c>
      <c r="KB18" s="30" t="str">
        <f ca="1"/>
        <v>Champix</v>
      </c>
      <c r="KC18" s="30">
        <f ca="1"/>
        <v>0</v>
      </c>
      <c r="KD18" s="13"/>
      <c r="KE18" s="13"/>
      <c r="KG18" s="29">
        <f ca="1"/>
        <v>16</v>
      </c>
      <c r="KH18" s="30" t="str">
        <f ca="1"/>
        <v>Champix</v>
      </c>
      <c r="KI18" s="30" t="e" vm="15">
        <f ca="1"/>
        <v>#VALUE!</v>
      </c>
      <c r="KJ18" s="30" t="e">
        <f ca="1"/>
        <v>#VALUE!</v>
      </c>
      <c r="KK18" s="13"/>
      <c r="KL18" s="30">
        <f ca="1"/>
        <v>0</v>
      </c>
      <c r="KN18" s="27">
        <f ca="1"/>
        <v>16</v>
      </c>
      <c r="KO18" s="30" t="str">
        <f ca="1"/>
        <v>Champix</v>
      </c>
      <c r="KP18" s="30">
        <f ca="1"/>
        <v>0</v>
      </c>
      <c r="KQ18" s="13"/>
      <c r="KR18" s="13"/>
      <c r="KT18" s="29">
        <f ca="1"/>
        <v>16</v>
      </c>
      <c r="KU18" s="30" t="str">
        <f ca="1"/>
        <v>Champix</v>
      </c>
      <c r="KV18" s="30" t="e" vm="15">
        <f ca="1"/>
        <v>#VALUE!</v>
      </c>
      <c r="KW18" s="30" t="e">
        <f ca="1"/>
        <v>#VALUE!</v>
      </c>
      <c r="KX18" s="13"/>
      <c r="KY18" s="30">
        <f ca="1"/>
        <v>0</v>
      </c>
      <c r="LA18" s="27">
        <f ca="1"/>
        <v>16</v>
      </c>
      <c r="LB18" s="30" t="str">
        <f ca="1"/>
        <v>Champix</v>
      </c>
      <c r="LC18" s="30">
        <f ca="1"/>
        <v>0</v>
      </c>
      <c r="LD18" s="13"/>
      <c r="LE18" s="13"/>
      <c r="LG18" s="29">
        <f ca="1"/>
        <v>16</v>
      </c>
      <c r="LH18" s="30" t="str">
        <f ca="1"/>
        <v>Champix</v>
      </c>
      <c r="LI18" s="30" t="e" vm="15">
        <f ca="1"/>
        <v>#VALUE!</v>
      </c>
      <c r="LJ18" s="30" t="e">
        <f ca="1"/>
        <v>#VALUE!</v>
      </c>
      <c r="LK18" s="13"/>
      <c r="LL18" s="30">
        <f ca="1"/>
        <v>0</v>
      </c>
      <c r="LN18" s="27">
        <f ca="1"/>
        <v>16</v>
      </c>
      <c r="LO18" s="30" t="str">
        <f ca="1"/>
        <v>Champix</v>
      </c>
      <c r="LP18" s="30">
        <f ca="1"/>
        <v>0</v>
      </c>
      <c r="LQ18" s="13"/>
      <c r="LR18" s="13"/>
      <c r="LT18" s="29">
        <f ca="1"/>
        <v>16</v>
      </c>
      <c r="LU18" s="30" t="str">
        <f ca="1"/>
        <v>Champix</v>
      </c>
      <c r="LV18" s="30" t="e" vm="15">
        <f ca="1"/>
        <v>#VALUE!</v>
      </c>
      <c r="LW18" s="30" t="e">
        <f ca="1"/>
        <v>#VALUE!</v>
      </c>
      <c r="LX18" s="13"/>
      <c r="LY18" s="30">
        <f ca="1"/>
        <v>0</v>
      </c>
      <c r="MA18" s="27">
        <f ca="1"/>
        <v>16</v>
      </c>
      <c r="MB18" s="30" t="str">
        <f ca="1"/>
        <v>Champix</v>
      </c>
      <c r="MC18" s="30">
        <f ca="1"/>
        <v>0</v>
      </c>
      <c r="MD18" s="13"/>
      <c r="ME18" s="13"/>
      <c r="MG18" s="29">
        <f ca="1"/>
        <v>16</v>
      </c>
      <c r="MH18" s="30" t="str">
        <f ca="1"/>
        <v>Champix</v>
      </c>
      <c r="MI18" s="30" t="e" vm="15">
        <f ca="1"/>
        <v>#VALUE!</v>
      </c>
      <c r="MJ18" s="30" t="e">
        <f ca="1"/>
        <v>#VALUE!</v>
      </c>
      <c r="MK18" s="13"/>
      <c r="ML18" s="30">
        <f ca="1"/>
        <v>0</v>
      </c>
      <c r="MN18" s="27">
        <f ca="1"/>
        <v>16</v>
      </c>
      <c r="MO18" s="30" t="str">
        <f ca="1"/>
        <v>Champix</v>
      </c>
      <c r="MP18" s="30">
        <f ca="1"/>
        <v>0</v>
      </c>
      <c r="MQ18" s="13"/>
      <c r="MR18" s="13"/>
      <c r="MS18" s="1"/>
      <c r="MT18" s="29">
        <f ca="1"/>
        <v>16</v>
      </c>
      <c r="MU18" s="30" t="str">
        <f ca="1"/>
        <v>Champix</v>
      </c>
      <c r="MV18" s="30" t="e" vm="15">
        <f ca="1"/>
        <v>#VALUE!</v>
      </c>
      <c r="MW18" s="30" t="e">
        <f ca="1"/>
        <v>#VALUE!</v>
      </c>
      <c r="MX18" s="13"/>
      <c r="MY18" s="30">
        <f ca="1"/>
        <v>0</v>
      </c>
      <c r="NA18" s="27">
        <f ca="1"/>
        <v>16</v>
      </c>
      <c r="NB18" s="30" t="str">
        <f ca="1"/>
        <v>Champix</v>
      </c>
      <c r="NC18" s="30">
        <f ca="1"/>
        <v>0</v>
      </c>
      <c r="ND18" s="13"/>
      <c r="NE18" s="13"/>
      <c r="NG18" s="29">
        <f ca="1"/>
        <v>16</v>
      </c>
      <c r="NH18" s="30" t="str">
        <f ca="1"/>
        <v>Champix</v>
      </c>
      <c r="NI18" s="30" t="e" vm="15">
        <f ca="1"/>
        <v>#VALUE!</v>
      </c>
      <c r="NJ18" s="30" t="e">
        <f ca="1"/>
        <v>#VALUE!</v>
      </c>
      <c r="NK18" s="13"/>
      <c r="NL18" s="30">
        <f ca="1"/>
        <v>0</v>
      </c>
      <c r="NN18" s="27">
        <f ca="1"/>
        <v>16</v>
      </c>
      <c r="NO18" s="30" t="str">
        <f ca="1"/>
        <v>Champix</v>
      </c>
      <c r="NP18" s="30">
        <f ca="1"/>
        <v>0</v>
      </c>
      <c r="NQ18" s="13"/>
      <c r="NR18" s="13"/>
      <c r="NT18" s="29">
        <f ca="1"/>
        <v>16</v>
      </c>
      <c r="NU18" s="30" t="str">
        <f ca="1"/>
        <v>Champix</v>
      </c>
      <c r="NV18" s="30" t="e" vm="15">
        <f ca="1"/>
        <v>#VALUE!</v>
      </c>
      <c r="NW18" s="30" t="e">
        <f ca="1"/>
        <v>#VALUE!</v>
      </c>
      <c r="NX18" s="13"/>
      <c r="NY18" s="30">
        <f ca="1"/>
        <v>0</v>
      </c>
      <c r="OA18" s="27">
        <f ca="1"/>
        <v>16</v>
      </c>
      <c r="OB18" s="30" t="str">
        <f ca="1"/>
        <v>Champix</v>
      </c>
      <c r="OC18" s="30">
        <f ca="1"/>
        <v>0</v>
      </c>
      <c r="OD18" s="13"/>
      <c r="OE18" s="13"/>
      <c r="OG18" s="29">
        <f ca="1"/>
        <v>16</v>
      </c>
      <c r="OH18" s="30" t="str">
        <f ca="1"/>
        <v>Champix</v>
      </c>
      <c r="OI18" s="30" t="e" vm="15">
        <f ca="1"/>
        <v>#VALUE!</v>
      </c>
      <c r="OJ18" s="30" t="e">
        <f ca="1"/>
        <v>#VALUE!</v>
      </c>
      <c r="OK18" s="13"/>
      <c r="OL18" s="30">
        <f ca="1"/>
        <v>0</v>
      </c>
      <c r="ON18" s="27">
        <f ca="1"/>
        <v>16</v>
      </c>
      <c r="OO18" s="30" t="str">
        <f ca="1"/>
        <v>Champix</v>
      </c>
      <c r="OP18" s="30">
        <f ca="1"/>
        <v>0</v>
      </c>
      <c r="OQ18" s="13"/>
      <c r="OR18" s="13"/>
      <c r="OT18" s="29">
        <f ca="1"/>
        <v>16</v>
      </c>
      <c r="OU18" s="30" t="str">
        <f ca="1"/>
        <v>Champix</v>
      </c>
      <c r="OV18" s="30" t="e" vm="15">
        <f ca="1"/>
        <v>#VALUE!</v>
      </c>
      <c r="OW18" s="30" t="e">
        <f ca="1"/>
        <v>#VALUE!</v>
      </c>
      <c r="OX18" s="13"/>
      <c r="OY18" s="30">
        <f ca="1"/>
        <v>0</v>
      </c>
      <c r="PA18" s="27">
        <f ca="1"/>
        <v>16</v>
      </c>
      <c r="PB18" s="30" t="str">
        <f ca="1"/>
        <v>Champix</v>
      </c>
      <c r="PC18" s="30">
        <f ca="1"/>
        <v>0</v>
      </c>
      <c r="PD18" s="13"/>
      <c r="PE18" s="13"/>
      <c r="PG18" s="29">
        <f ca="1"/>
        <v>16</v>
      </c>
      <c r="PH18" s="30" t="str">
        <f ca="1"/>
        <v>Champix</v>
      </c>
      <c r="PI18" s="30" t="e" vm="15">
        <f ca="1"/>
        <v>#VALUE!</v>
      </c>
      <c r="PJ18" s="30" t="e">
        <f ca="1"/>
        <v>#VALUE!</v>
      </c>
      <c r="PK18" s="13"/>
      <c r="PL18" s="30">
        <f ca="1"/>
        <v>0</v>
      </c>
      <c r="PN18" s="27">
        <f ca="1"/>
        <v>16</v>
      </c>
      <c r="PO18" s="30" t="str">
        <f ca="1"/>
        <v>Champix</v>
      </c>
      <c r="PP18" s="30">
        <f ca="1"/>
        <v>0</v>
      </c>
      <c r="PQ18" s="13"/>
      <c r="PR18" s="13"/>
      <c r="PT18" s="29">
        <f ca="1"/>
        <v>16</v>
      </c>
      <c r="PU18" s="30" t="str">
        <f ca="1"/>
        <v>Champix</v>
      </c>
      <c r="PV18" s="30" t="e" vm="15">
        <f ca="1"/>
        <v>#VALUE!</v>
      </c>
      <c r="PW18" s="30" t="e">
        <f ca="1"/>
        <v>#VALUE!</v>
      </c>
      <c r="PX18" s="13"/>
      <c r="PY18" s="30">
        <f ca="1"/>
        <v>0</v>
      </c>
      <c r="QA18" s="27">
        <f ca="1"/>
        <v>16</v>
      </c>
      <c r="QB18" s="30" t="str">
        <f ca="1"/>
        <v>Champix</v>
      </c>
      <c r="QC18" s="30">
        <f ca="1"/>
        <v>0</v>
      </c>
      <c r="QD18" s="13"/>
      <c r="QE18" s="13"/>
      <c r="QG18" s="29">
        <f ca="1"/>
        <v>16</v>
      </c>
      <c r="QH18" s="30" t="str">
        <f ca="1"/>
        <v>Champix</v>
      </c>
      <c r="QI18" s="30" t="e" vm="15">
        <f ca="1"/>
        <v>#VALUE!</v>
      </c>
      <c r="QJ18" s="30" t="e">
        <f ca="1"/>
        <v>#VALUE!</v>
      </c>
      <c r="QK18" s="13"/>
      <c r="QL18" s="30">
        <f ca="1"/>
        <v>0</v>
      </c>
      <c r="QN18" s="27">
        <f ca="1"/>
        <v>16</v>
      </c>
      <c r="QO18" s="30" t="str">
        <f ca="1"/>
        <v>Champix</v>
      </c>
      <c r="QP18" s="30">
        <f ca="1"/>
        <v>0</v>
      </c>
      <c r="QQ18" s="13"/>
      <c r="QR18" s="13"/>
      <c r="QT18" s="29">
        <f ca="1"/>
        <v>16</v>
      </c>
      <c r="QU18" s="30" t="str">
        <f ca="1"/>
        <v>Champix</v>
      </c>
      <c r="QV18" s="30" t="e" vm="15">
        <f ca="1"/>
        <v>#VALUE!</v>
      </c>
      <c r="QW18" s="30" t="e">
        <f ca="1"/>
        <v>#VALUE!</v>
      </c>
      <c r="QX18" s="13"/>
      <c r="QY18" s="30">
        <f ca="1"/>
        <v>0</v>
      </c>
      <c r="RA18" s="27">
        <f ca="1"/>
        <v>16</v>
      </c>
      <c r="RB18" s="30" t="str">
        <f ca="1"/>
        <v>Champix</v>
      </c>
      <c r="RC18" s="30">
        <f ca="1"/>
        <v>0</v>
      </c>
      <c r="RD18" s="13"/>
      <c r="RE18" s="13"/>
      <c r="RG18" s="29">
        <f ca="1"/>
        <v>16</v>
      </c>
      <c r="RH18" s="30" t="str">
        <f ca="1"/>
        <v>Champix</v>
      </c>
      <c r="RI18" s="30" t="e" vm="15">
        <f ca="1"/>
        <v>#VALUE!</v>
      </c>
      <c r="RJ18" s="30" t="e">
        <f ca="1"/>
        <v>#VALUE!</v>
      </c>
      <c r="RK18" s="13"/>
      <c r="RL18" s="30">
        <f ca="1"/>
        <v>0</v>
      </c>
      <c r="RN18" s="27">
        <f ca="1"/>
        <v>16</v>
      </c>
      <c r="RO18" s="30" t="str">
        <f ca="1"/>
        <v>Champix</v>
      </c>
      <c r="RP18" s="30">
        <f ca="1"/>
        <v>0</v>
      </c>
      <c r="RQ18" s="13"/>
      <c r="RR18" s="13"/>
      <c r="RT18" s="29">
        <f ca="1"/>
        <v>16</v>
      </c>
      <c r="RU18" s="30" t="str">
        <f ca="1"/>
        <v>Champix</v>
      </c>
      <c r="RV18" s="30" t="e" vm="15">
        <f ca="1"/>
        <v>#VALUE!</v>
      </c>
      <c r="RW18" s="30" t="e">
        <f ca="1"/>
        <v>#VALUE!</v>
      </c>
      <c r="RX18" s="13"/>
      <c r="RY18" s="30">
        <f ca="1"/>
        <v>0</v>
      </c>
      <c r="SA18" s="27">
        <f ca="1"/>
        <v>16</v>
      </c>
      <c r="SB18" s="30" t="str">
        <f ca="1"/>
        <v>Champix</v>
      </c>
      <c r="SC18" s="30">
        <f ca="1"/>
        <v>0</v>
      </c>
      <c r="SD18" s="13"/>
      <c r="SE18" s="13"/>
      <c r="SG18" s="29">
        <f ca="1"/>
        <v>16</v>
      </c>
      <c r="SH18" s="30" t="str">
        <f ca="1"/>
        <v>Champix</v>
      </c>
      <c r="SI18" s="30" t="e" vm="15">
        <f ca="1"/>
        <v>#VALUE!</v>
      </c>
      <c r="SJ18" s="30" t="e">
        <f ca="1"/>
        <v>#VALUE!</v>
      </c>
      <c r="SK18" s="13"/>
      <c r="SL18" s="30">
        <f ca="1"/>
        <v>0</v>
      </c>
      <c r="SN18" s="27">
        <f ca="1"/>
        <v>16</v>
      </c>
      <c r="SO18" s="30" t="str">
        <f ca="1"/>
        <v>Champix</v>
      </c>
      <c r="SP18" s="30">
        <f ca="1"/>
        <v>0</v>
      </c>
      <c r="SQ18" s="13"/>
      <c r="SR18" s="13"/>
      <c r="ST18" s="29">
        <f ca="1"/>
        <v>16</v>
      </c>
      <c r="SU18" s="30" t="str">
        <f ca="1"/>
        <v>Champix</v>
      </c>
      <c r="SV18" s="30" t="e" vm="15">
        <f ca="1"/>
        <v>#VALUE!</v>
      </c>
      <c r="SW18" s="30" t="e">
        <f ca="1"/>
        <v>#VALUE!</v>
      </c>
      <c r="SX18" s="13"/>
      <c r="SY18" s="30">
        <f ca="1"/>
        <v>0</v>
      </c>
      <c r="TA18" s="29">
        <f ca="1"/>
        <v>16</v>
      </c>
      <c r="TB18" s="30" t="str">
        <f ca="1"/>
        <v>Champix</v>
      </c>
      <c r="TC18" s="30" t="e" vm="15">
        <f ca="1"/>
        <v>#VALUE!</v>
      </c>
      <c r="TD18" s="30">
        <f ca="1"/>
        <v>280</v>
      </c>
    </row>
    <row r="19" spans="1:524" ht="20.100000000000001" customHeight="1">
      <c r="A19" s="27">
        <f ca="1"/>
        <v>17</v>
      </c>
      <c r="B19" s="30" t="str">
        <f ca="1"/>
        <v>Julien</v>
      </c>
      <c r="C19" s="30">
        <v>1</v>
      </c>
      <c r="D19" s="13"/>
      <c r="E19" s="57">
        <v>11904</v>
      </c>
      <c r="G19" s="29">
        <f ca="1"/>
        <v>17</v>
      </c>
      <c r="H19" s="30" t="str">
        <f ca="1"/>
        <v>Thibault</v>
      </c>
      <c r="I19" s="30" t="e" vm="15">
        <f ca="1"/>
        <v>#VALUE!</v>
      </c>
      <c r="J19" s="55" t="e">
        <f ca="1"/>
        <v>#VALUE!</v>
      </c>
      <c r="K19" s="13"/>
      <c r="L19" s="30">
        <f ca="1"/>
        <v>1</v>
      </c>
      <c r="N19" s="27">
        <f ca="1"/>
        <v>17</v>
      </c>
      <c r="O19" s="30" t="str">
        <f ca="1"/>
        <v>Thibault</v>
      </c>
      <c r="P19" s="30">
        <f ca="1"/>
        <v>1</v>
      </c>
      <c r="Q19" s="13"/>
      <c r="R19" s="13">
        <v>12224</v>
      </c>
      <c r="T19" s="29">
        <f ca="1"/>
        <v>17</v>
      </c>
      <c r="U19" s="30" t="str">
        <f ca="1"/>
        <v>Julien</v>
      </c>
      <c r="V19" s="30" t="e" vm="15">
        <f ca="1"/>
        <v>#VALUE!</v>
      </c>
      <c r="W19" s="30" t="e">
        <f ca="1"/>
        <v>#VALUE!</v>
      </c>
      <c r="X19" s="13"/>
      <c r="Y19" s="30">
        <f ca="1"/>
        <v>1</v>
      </c>
      <c r="AA19" s="27">
        <f ca="1"/>
        <v>17</v>
      </c>
      <c r="AB19" s="30" t="str">
        <f ca="1"/>
        <v>Julien</v>
      </c>
      <c r="AC19" s="30">
        <f ca="1"/>
        <v>1</v>
      </c>
      <c r="AD19" s="13"/>
      <c r="AE19" s="13">
        <v>13502</v>
      </c>
      <c r="AG19" s="29">
        <f ca="1"/>
        <v>17</v>
      </c>
      <c r="AH19" s="30" t="str">
        <f ca="1"/>
        <v>Zarkov</v>
      </c>
      <c r="AI19" s="30" t="e" vm="13">
        <f ca="1"/>
        <v>#VALUE!</v>
      </c>
      <c r="AJ19" s="30" t="e">
        <f ca="1"/>
        <v>#VALUE!</v>
      </c>
      <c r="AK19" s="13"/>
      <c r="AL19" s="30">
        <f ca="1"/>
        <v>1</v>
      </c>
      <c r="AN19" s="27">
        <f ca="1"/>
        <v>17</v>
      </c>
      <c r="AO19" s="30" t="str">
        <f ca="1"/>
        <v>Zarkov</v>
      </c>
      <c r="AP19" s="30">
        <f ca="1"/>
        <v>1</v>
      </c>
      <c r="AQ19" s="13"/>
      <c r="AR19" s="13">
        <v>10252</v>
      </c>
      <c r="AT19" s="29">
        <f ca="1"/>
        <v>17</v>
      </c>
      <c r="AU19" s="30" t="str">
        <f ca="1"/>
        <v>Zarkov</v>
      </c>
      <c r="AV19" s="30" t="e" vm="13">
        <f ca="1"/>
        <v>#VALUE!</v>
      </c>
      <c r="AW19" s="30" t="e">
        <f ca="1"/>
        <v>#VALUE!</v>
      </c>
      <c r="AX19" s="13"/>
      <c r="AY19" s="30">
        <f ca="1"/>
        <v>1</v>
      </c>
      <c r="BA19" s="27">
        <f ca="1"/>
        <v>17</v>
      </c>
      <c r="BB19" s="30" t="str">
        <f ca="1"/>
        <v>Zarkov</v>
      </c>
      <c r="BC19" s="30">
        <f ca="1"/>
        <v>1</v>
      </c>
      <c r="BD19" s="13"/>
      <c r="BE19" s="13">
        <v>13390</v>
      </c>
      <c r="BG19" s="29">
        <f ca="1"/>
        <v>17</v>
      </c>
      <c r="BH19" s="30" t="str">
        <f ca="1"/>
        <v>Zarkov</v>
      </c>
      <c r="BI19" s="30" t="e" vm="13">
        <f ca="1"/>
        <v>#VALUE!</v>
      </c>
      <c r="BJ19" s="30" t="e">
        <f ca="1"/>
        <v>#VALUE!</v>
      </c>
      <c r="BK19" s="13"/>
      <c r="BL19" s="30">
        <f ca="1"/>
        <v>1</v>
      </c>
      <c r="BN19" s="27">
        <f ca="1"/>
        <v>17</v>
      </c>
      <c r="BO19" s="30" t="str">
        <f ca="1"/>
        <v>Zarkov</v>
      </c>
      <c r="BP19" s="30">
        <f ca="1"/>
        <v>1</v>
      </c>
      <c r="BQ19" s="13"/>
      <c r="BR19" s="13">
        <v>11319</v>
      </c>
      <c r="BS19" s="1"/>
      <c r="BT19" s="29">
        <f ca="1"/>
        <v>17</v>
      </c>
      <c r="BU19" s="30" t="str">
        <f ca="1"/>
        <v>Julien</v>
      </c>
      <c r="BV19" s="30" t="e" vm="15">
        <f ca="1"/>
        <v>#VALUE!</v>
      </c>
      <c r="BW19" s="30" t="e">
        <f ca="1"/>
        <v>#VALUE!</v>
      </c>
      <c r="BX19" s="13"/>
      <c r="BY19" s="30">
        <f ca="1"/>
        <v>1</v>
      </c>
      <c r="CA19" s="27">
        <f ca="1"/>
        <v>17</v>
      </c>
      <c r="CB19" s="30" t="str">
        <f ca="1"/>
        <v>Julien</v>
      </c>
      <c r="CC19" s="30">
        <f ca="1"/>
        <v>1</v>
      </c>
      <c r="CD19" s="13"/>
      <c r="CE19" s="13">
        <v>11878</v>
      </c>
      <c r="CG19" s="29">
        <f ca="1"/>
        <v>17</v>
      </c>
      <c r="CH19" s="30" t="str">
        <f ca="1"/>
        <v>Zarkov</v>
      </c>
      <c r="CI19" s="30" t="e" vm="13">
        <f ca="1"/>
        <v>#VALUE!</v>
      </c>
      <c r="CJ19" s="30" t="e">
        <f ca="1"/>
        <v>#VALUE!</v>
      </c>
      <c r="CK19" s="13"/>
      <c r="CL19" s="30">
        <f ca="1"/>
        <v>1</v>
      </c>
      <c r="CN19" s="27">
        <f ca="1"/>
        <v>17</v>
      </c>
      <c r="CO19" s="30" t="str">
        <f ca="1"/>
        <v>Zarkov</v>
      </c>
      <c r="CP19" s="30">
        <f ca="1"/>
        <v>1</v>
      </c>
      <c r="CQ19" s="13"/>
      <c r="CR19" s="13">
        <v>10618</v>
      </c>
      <c r="CT19" s="29">
        <f ca="1"/>
        <v>17</v>
      </c>
      <c r="CU19" s="30" t="str">
        <f ca="1"/>
        <v>Flo</v>
      </c>
      <c r="CV19" s="30" t="e" vm="15">
        <f ca="1"/>
        <v>#VALUE!</v>
      </c>
      <c r="CW19" s="30" t="e">
        <f ca="1"/>
        <v>#VALUE!</v>
      </c>
      <c r="CX19" s="13">
        <v>1</v>
      </c>
      <c r="CY19" s="30">
        <f ca="1"/>
        <v>0</v>
      </c>
      <c r="DA19" s="27">
        <f ca="1"/>
        <v>17</v>
      </c>
      <c r="DB19" s="30" t="str">
        <f ca="1"/>
        <v>Flo</v>
      </c>
      <c r="DC19" s="30">
        <f ca="1"/>
        <v>0</v>
      </c>
      <c r="DD19" s="13"/>
      <c r="DE19" s="13"/>
      <c r="DG19" s="29">
        <f ca="1"/>
        <v>17</v>
      </c>
      <c r="DH19" s="30" t="str">
        <f ca="1"/>
        <v>Flo</v>
      </c>
      <c r="DI19" s="30" t="e" vm="15">
        <f ca="1"/>
        <v>#VALUE!</v>
      </c>
      <c r="DJ19" s="30" t="e">
        <f ca="1"/>
        <v>#VALUE!</v>
      </c>
      <c r="DK19" s="13"/>
      <c r="DL19" s="30">
        <f ca="1"/>
        <v>0</v>
      </c>
      <c r="DN19" s="27">
        <f ca="1"/>
        <v>17</v>
      </c>
      <c r="DO19" s="30" t="str">
        <f ca="1"/>
        <v>Flo</v>
      </c>
      <c r="DP19" s="30">
        <f ca="1"/>
        <v>0</v>
      </c>
      <c r="DQ19" s="13"/>
      <c r="DR19" s="13"/>
      <c r="DT19" s="29">
        <f ca="1"/>
        <v>17</v>
      </c>
      <c r="DU19" s="30" t="str">
        <f ca="1"/>
        <v>Flo</v>
      </c>
      <c r="DV19" s="30" t="e" vm="15">
        <f ca="1"/>
        <v>#VALUE!</v>
      </c>
      <c r="DW19" s="30" t="e">
        <f ca="1"/>
        <v>#VALUE!</v>
      </c>
      <c r="DX19" s="13"/>
      <c r="DY19" s="30">
        <f ca="1"/>
        <v>0</v>
      </c>
      <c r="EA19" s="27">
        <f ca="1"/>
        <v>17</v>
      </c>
      <c r="EB19" s="30" t="str">
        <f ca="1"/>
        <v>Flo</v>
      </c>
      <c r="EC19" s="30">
        <f ca="1"/>
        <v>0</v>
      </c>
      <c r="ED19" s="13"/>
      <c r="EE19" s="13"/>
      <c r="EG19" s="29">
        <f ca="1"/>
        <v>17</v>
      </c>
      <c r="EH19" s="30" t="str">
        <f ca="1"/>
        <v>Flo</v>
      </c>
      <c r="EI19" s="30" t="e" vm="15">
        <f ca="1"/>
        <v>#VALUE!</v>
      </c>
      <c r="EJ19" s="30" t="e">
        <f ca="1"/>
        <v>#VALUE!</v>
      </c>
      <c r="EK19" s="13"/>
      <c r="EL19" s="30">
        <f ca="1"/>
        <v>0</v>
      </c>
      <c r="EN19" s="27">
        <f ca="1"/>
        <v>17</v>
      </c>
      <c r="EO19" s="30" t="str">
        <f ca="1"/>
        <v>Flo</v>
      </c>
      <c r="EP19" s="30">
        <f ca="1"/>
        <v>0</v>
      </c>
      <c r="EQ19" s="13"/>
      <c r="ER19" s="13"/>
      <c r="ET19" s="29">
        <f ca="1"/>
        <v>17</v>
      </c>
      <c r="EU19" s="30" t="str">
        <f ca="1"/>
        <v>Flo</v>
      </c>
      <c r="EV19" s="30" t="e" vm="15">
        <f ca="1"/>
        <v>#VALUE!</v>
      </c>
      <c r="EW19" s="30" t="e">
        <f ca="1"/>
        <v>#VALUE!</v>
      </c>
      <c r="EX19" s="13"/>
      <c r="EY19" s="30">
        <f ca="1"/>
        <v>0</v>
      </c>
      <c r="FA19" s="27">
        <f ca="1"/>
        <v>17</v>
      </c>
      <c r="FB19" s="30" t="str">
        <f ca="1"/>
        <v>Flo</v>
      </c>
      <c r="FC19" s="30">
        <f ca="1"/>
        <v>0</v>
      </c>
      <c r="FD19" s="13"/>
      <c r="FE19" s="13"/>
      <c r="FG19" s="29">
        <f ca="1"/>
        <v>17</v>
      </c>
      <c r="FH19" s="30" t="str">
        <f ca="1"/>
        <v>Flo</v>
      </c>
      <c r="FI19" s="30" t="e" vm="15">
        <f ca="1"/>
        <v>#VALUE!</v>
      </c>
      <c r="FJ19" s="30" t="e">
        <f ca="1"/>
        <v>#VALUE!</v>
      </c>
      <c r="FK19" s="13"/>
      <c r="FL19" s="30">
        <f ca="1"/>
        <v>0</v>
      </c>
      <c r="FN19" s="27">
        <f ca="1"/>
        <v>17</v>
      </c>
      <c r="FO19" s="30" t="str">
        <f ca="1"/>
        <v>Flo</v>
      </c>
      <c r="FP19" s="30">
        <f ca="1"/>
        <v>0</v>
      </c>
      <c r="FQ19" s="13"/>
      <c r="FR19" s="13"/>
      <c r="FT19" s="29">
        <f ca="1"/>
        <v>17</v>
      </c>
      <c r="FU19" s="30" t="str">
        <f ca="1"/>
        <v>Flo</v>
      </c>
      <c r="FV19" s="30" t="e" vm="15">
        <f ca="1"/>
        <v>#VALUE!</v>
      </c>
      <c r="FW19" s="30" t="e">
        <f ca="1"/>
        <v>#VALUE!</v>
      </c>
      <c r="FX19" s="13"/>
      <c r="FY19" s="30">
        <f ca="1"/>
        <v>0</v>
      </c>
      <c r="GA19" s="27">
        <f ca="1"/>
        <v>17</v>
      </c>
      <c r="GB19" s="30" t="str">
        <f ca="1"/>
        <v>Flo</v>
      </c>
      <c r="GC19" s="30">
        <f ca="1"/>
        <v>0</v>
      </c>
      <c r="GD19" s="13"/>
      <c r="GE19" s="13"/>
      <c r="GG19" s="29">
        <f ca="1"/>
        <v>17</v>
      </c>
      <c r="GH19" s="30" t="str">
        <f ca="1"/>
        <v>Flo</v>
      </c>
      <c r="GI19" s="30" t="e" vm="15">
        <f ca="1"/>
        <v>#VALUE!</v>
      </c>
      <c r="GJ19" s="30" t="e">
        <f ca="1"/>
        <v>#VALUE!</v>
      </c>
      <c r="GK19" s="13"/>
      <c r="GL19" s="30">
        <f ca="1"/>
        <v>0</v>
      </c>
      <c r="GN19" s="27">
        <f ca="1"/>
        <v>17</v>
      </c>
      <c r="GO19" s="30" t="str">
        <f ca="1"/>
        <v>Flo</v>
      </c>
      <c r="GP19" s="30">
        <f ca="1"/>
        <v>0</v>
      </c>
      <c r="GQ19" s="13"/>
      <c r="GR19" s="13"/>
      <c r="GT19" s="29">
        <f ca="1"/>
        <v>17</v>
      </c>
      <c r="GU19" s="30" t="str">
        <f ca="1"/>
        <v>Flo</v>
      </c>
      <c r="GV19" s="30" t="e" vm="15">
        <f ca="1"/>
        <v>#VALUE!</v>
      </c>
      <c r="GW19" s="30" t="e">
        <f ca="1"/>
        <v>#VALUE!</v>
      </c>
      <c r="GX19" s="13"/>
      <c r="GY19" s="30">
        <f ca="1"/>
        <v>0</v>
      </c>
      <c r="HA19" s="27">
        <f ca="1"/>
        <v>17</v>
      </c>
      <c r="HB19" s="30" t="str">
        <f ca="1"/>
        <v>Flo</v>
      </c>
      <c r="HC19" s="30">
        <f ca="1"/>
        <v>0</v>
      </c>
      <c r="HD19" s="13"/>
      <c r="HE19" s="13"/>
      <c r="HF19" s="1"/>
      <c r="HG19" s="29">
        <f ca="1"/>
        <v>17</v>
      </c>
      <c r="HH19" s="30" t="str">
        <f ca="1"/>
        <v>Flo</v>
      </c>
      <c r="HI19" s="30" t="e" vm="15">
        <f ca="1"/>
        <v>#VALUE!</v>
      </c>
      <c r="HJ19" s="30" t="e">
        <f ca="1"/>
        <v>#VALUE!</v>
      </c>
      <c r="HK19" s="13"/>
      <c r="HL19" s="30">
        <f ca="1"/>
        <v>0</v>
      </c>
      <c r="HN19" s="27">
        <f ca="1"/>
        <v>17</v>
      </c>
      <c r="HO19" s="30" t="str">
        <f ca="1"/>
        <v>Flo</v>
      </c>
      <c r="HP19" s="30">
        <f ca="1"/>
        <v>0</v>
      </c>
      <c r="HQ19" s="13"/>
      <c r="HR19" s="13"/>
      <c r="HT19" s="29">
        <f ca="1"/>
        <v>17</v>
      </c>
      <c r="HU19" s="30" t="str">
        <f ca="1"/>
        <v>Flo</v>
      </c>
      <c r="HV19" s="30" t="e" vm="15">
        <f ca="1"/>
        <v>#VALUE!</v>
      </c>
      <c r="HW19" s="30" t="e">
        <f ca="1"/>
        <v>#VALUE!</v>
      </c>
      <c r="HX19" s="13"/>
      <c r="HY19" s="30">
        <f ca="1"/>
        <v>0</v>
      </c>
      <c r="IA19" s="27">
        <f ca="1"/>
        <v>17</v>
      </c>
      <c r="IB19" s="30" t="str">
        <f ca="1"/>
        <v>Flo</v>
      </c>
      <c r="IC19" s="30">
        <f ca="1"/>
        <v>0</v>
      </c>
      <c r="ID19" s="13"/>
      <c r="IE19" s="13"/>
      <c r="IG19" s="29">
        <f ca="1"/>
        <v>17</v>
      </c>
      <c r="IH19" s="30" t="str">
        <f ca="1"/>
        <v>Flo</v>
      </c>
      <c r="II19" s="30" t="e" vm="15">
        <f ca="1"/>
        <v>#VALUE!</v>
      </c>
      <c r="IJ19" s="30" t="e">
        <f ca="1"/>
        <v>#VALUE!</v>
      </c>
      <c r="IK19" s="13"/>
      <c r="IL19" s="30">
        <f ca="1"/>
        <v>0</v>
      </c>
      <c r="IN19" s="27">
        <f ca="1"/>
        <v>17</v>
      </c>
      <c r="IO19" s="30" t="str">
        <f ca="1"/>
        <v>Flo</v>
      </c>
      <c r="IP19" s="30">
        <f ca="1"/>
        <v>0</v>
      </c>
      <c r="IQ19" s="13"/>
      <c r="IR19" s="13"/>
      <c r="IT19" s="29">
        <f ca="1"/>
        <v>17</v>
      </c>
      <c r="IU19" s="30" t="str">
        <f ca="1"/>
        <v>Flo</v>
      </c>
      <c r="IV19" s="30" t="e" vm="15">
        <f ca="1"/>
        <v>#VALUE!</v>
      </c>
      <c r="IW19" s="30" t="e">
        <f ca="1"/>
        <v>#VALUE!</v>
      </c>
      <c r="IX19" s="13"/>
      <c r="IY19" s="30">
        <f ca="1"/>
        <v>0</v>
      </c>
      <c r="JA19" s="27">
        <f ca="1"/>
        <v>17</v>
      </c>
      <c r="JB19" s="30" t="str">
        <f ca="1"/>
        <v>Flo</v>
      </c>
      <c r="JC19" s="30">
        <f ca="1"/>
        <v>0</v>
      </c>
      <c r="JD19" s="13"/>
      <c r="JE19" s="13"/>
      <c r="JG19" s="29">
        <f ca="1"/>
        <v>17</v>
      </c>
      <c r="JH19" s="30" t="str">
        <f ca="1"/>
        <v>Flo</v>
      </c>
      <c r="JI19" s="30" t="e" vm="15">
        <f ca="1"/>
        <v>#VALUE!</v>
      </c>
      <c r="JJ19" s="30" t="e">
        <f ca="1"/>
        <v>#VALUE!</v>
      </c>
      <c r="JK19" s="13"/>
      <c r="JL19" s="30">
        <f ca="1"/>
        <v>0</v>
      </c>
      <c r="JN19" s="27">
        <f ca="1"/>
        <v>17</v>
      </c>
      <c r="JO19" s="30" t="str">
        <f ca="1"/>
        <v>Flo</v>
      </c>
      <c r="JP19" s="30">
        <f ca="1"/>
        <v>0</v>
      </c>
      <c r="JQ19" s="13"/>
      <c r="JR19" s="13"/>
      <c r="JT19" s="29">
        <f ca="1"/>
        <v>17</v>
      </c>
      <c r="JU19" s="30" t="str">
        <f ca="1"/>
        <v>Flo</v>
      </c>
      <c r="JV19" s="30" t="e" vm="15">
        <f ca="1"/>
        <v>#VALUE!</v>
      </c>
      <c r="JW19" s="30" t="e">
        <f ca="1"/>
        <v>#VALUE!</v>
      </c>
      <c r="JX19" s="13"/>
      <c r="JY19" s="30">
        <f ca="1"/>
        <v>0</v>
      </c>
      <c r="KA19" s="27">
        <f ca="1"/>
        <v>17</v>
      </c>
      <c r="KB19" s="30" t="str">
        <f ca="1"/>
        <v>Flo</v>
      </c>
      <c r="KC19" s="30">
        <f ca="1"/>
        <v>0</v>
      </c>
      <c r="KD19" s="13"/>
      <c r="KE19" s="13"/>
      <c r="KG19" s="29">
        <f ca="1"/>
        <v>17</v>
      </c>
      <c r="KH19" s="30" t="str">
        <f ca="1"/>
        <v>Flo</v>
      </c>
      <c r="KI19" s="30" t="e" vm="15">
        <f ca="1"/>
        <v>#VALUE!</v>
      </c>
      <c r="KJ19" s="30" t="e">
        <f ca="1"/>
        <v>#VALUE!</v>
      </c>
      <c r="KK19" s="13"/>
      <c r="KL19" s="30">
        <f ca="1"/>
        <v>0</v>
      </c>
      <c r="KN19" s="27">
        <f ca="1"/>
        <v>17</v>
      </c>
      <c r="KO19" s="30" t="str">
        <f ca="1"/>
        <v>Flo</v>
      </c>
      <c r="KP19" s="30">
        <f ca="1"/>
        <v>0</v>
      </c>
      <c r="KQ19" s="13"/>
      <c r="KR19" s="13"/>
      <c r="KT19" s="29">
        <f ca="1"/>
        <v>17</v>
      </c>
      <c r="KU19" s="30" t="str">
        <f ca="1"/>
        <v>Flo</v>
      </c>
      <c r="KV19" s="30" t="e" vm="15">
        <f ca="1"/>
        <v>#VALUE!</v>
      </c>
      <c r="KW19" s="30" t="e">
        <f ca="1"/>
        <v>#VALUE!</v>
      </c>
      <c r="KX19" s="13"/>
      <c r="KY19" s="30">
        <f ca="1"/>
        <v>0</v>
      </c>
      <c r="LA19" s="27">
        <f ca="1"/>
        <v>17</v>
      </c>
      <c r="LB19" s="30" t="str">
        <f ca="1"/>
        <v>Flo</v>
      </c>
      <c r="LC19" s="30">
        <f ca="1"/>
        <v>0</v>
      </c>
      <c r="LD19" s="13"/>
      <c r="LE19" s="13"/>
      <c r="LG19" s="29">
        <f ca="1"/>
        <v>17</v>
      </c>
      <c r="LH19" s="30" t="str">
        <f ca="1"/>
        <v>Flo</v>
      </c>
      <c r="LI19" s="30" t="e" vm="15">
        <f ca="1"/>
        <v>#VALUE!</v>
      </c>
      <c r="LJ19" s="30" t="e">
        <f ca="1"/>
        <v>#VALUE!</v>
      </c>
      <c r="LK19" s="13"/>
      <c r="LL19" s="30">
        <f ca="1"/>
        <v>0</v>
      </c>
      <c r="LN19" s="27">
        <f ca="1"/>
        <v>17</v>
      </c>
      <c r="LO19" s="30" t="str">
        <f ca="1"/>
        <v>Flo</v>
      </c>
      <c r="LP19" s="30">
        <f ca="1"/>
        <v>0</v>
      </c>
      <c r="LQ19" s="13"/>
      <c r="LR19" s="13"/>
      <c r="LT19" s="29">
        <f ca="1"/>
        <v>17</v>
      </c>
      <c r="LU19" s="30" t="str">
        <f ca="1"/>
        <v>Flo</v>
      </c>
      <c r="LV19" s="30" t="e" vm="15">
        <f ca="1"/>
        <v>#VALUE!</v>
      </c>
      <c r="LW19" s="30" t="e">
        <f ca="1"/>
        <v>#VALUE!</v>
      </c>
      <c r="LX19" s="13"/>
      <c r="LY19" s="30">
        <f ca="1"/>
        <v>0</v>
      </c>
      <c r="MA19" s="27">
        <f ca="1"/>
        <v>17</v>
      </c>
      <c r="MB19" s="30" t="str">
        <f ca="1"/>
        <v>Flo</v>
      </c>
      <c r="MC19" s="30">
        <f ca="1"/>
        <v>0</v>
      </c>
      <c r="MD19" s="13"/>
      <c r="ME19" s="13"/>
      <c r="MG19" s="29">
        <f ca="1"/>
        <v>17</v>
      </c>
      <c r="MH19" s="30" t="str">
        <f ca="1"/>
        <v>Flo</v>
      </c>
      <c r="MI19" s="30" t="e" vm="15">
        <f ca="1"/>
        <v>#VALUE!</v>
      </c>
      <c r="MJ19" s="30" t="e">
        <f ca="1"/>
        <v>#VALUE!</v>
      </c>
      <c r="MK19" s="13"/>
      <c r="ML19" s="30">
        <f ca="1"/>
        <v>0</v>
      </c>
      <c r="MN19" s="27">
        <f ca="1"/>
        <v>17</v>
      </c>
      <c r="MO19" s="30" t="str">
        <f ca="1"/>
        <v>Flo</v>
      </c>
      <c r="MP19" s="30">
        <f ca="1"/>
        <v>0</v>
      </c>
      <c r="MQ19" s="13"/>
      <c r="MR19" s="13"/>
      <c r="MS19" s="1"/>
      <c r="MT19" s="29">
        <f ca="1"/>
        <v>17</v>
      </c>
      <c r="MU19" s="30" t="str">
        <f ca="1"/>
        <v>Flo</v>
      </c>
      <c r="MV19" s="30" t="e" vm="15">
        <f ca="1"/>
        <v>#VALUE!</v>
      </c>
      <c r="MW19" s="30" t="e">
        <f ca="1"/>
        <v>#VALUE!</v>
      </c>
      <c r="MX19" s="13"/>
      <c r="MY19" s="30">
        <f ca="1"/>
        <v>0</v>
      </c>
      <c r="NA19" s="27">
        <f ca="1"/>
        <v>17</v>
      </c>
      <c r="NB19" s="30" t="str">
        <f ca="1"/>
        <v>Flo</v>
      </c>
      <c r="NC19" s="30">
        <f ca="1"/>
        <v>0</v>
      </c>
      <c r="ND19" s="13"/>
      <c r="NE19" s="13"/>
      <c r="NG19" s="29">
        <f ca="1"/>
        <v>17</v>
      </c>
      <c r="NH19" s="30" t="str">
        <f ca="1"/>
        <v>Flo</v>
      </c>
      <c r="NI19" s="30" t="e" vm="15">
        <f ca="1"/>
        <v>#VALUE!</v>
      </c>
      <c r="NJ19" s="30" t="e">
        <f ca="1"/>
        <v>#VALUE!</v>
      </c>
      <c r="NK19" s="13"/>
      <c r="NL19" s="30">
        <f ca="1"/>
        <v>0</v>
      </c>
      <c r="NN19" s="27">
        <f ca="1"/>
        <v>17</v>
      </c>
      <c r="NO19" s="30" t="str">
        <f ca="1"/>
        <v>Flo</v>
      </c>
      <c r="NP19" s="30">
        <f ca="1"/>
        <v>0</v>
      </c>
      <c r="NQ19" s="13"/>
      <c r="NR19" s="13"/>
      <c r="NT19" s="29">
        <f ca="1"/>
        <v>17</v>
      </c>
      <c r="NU19" s="30" t="str">
        <f ca="1"/>
        <v>Flo</v>
      </c>
      <c r="NV19" s="30" t="e" vm="15">
        <f ca="1"/>
        <v>#VALUE!</v>
      </c>
      <c r="NW19" s="30" t="e">
        <f ca="1"/>
        <v>#VALUE!</v>
      </c>
      <c r="NX19" s="13"/>
      <c r="NY19" s="30">
        <f ca="1"/>
        <v>0</v>
      </c>
      <c r="OA19" s="27">
        <f ca="1"/>
        <v>17</v>
      </c>
      <c r="OB19" s="30" t="str">
        <f ca="1"/>
        <v>Flo</v>
      </c>
      <c r="OC19" s="30">
        <f ca="1"/>
        <v>0</v>
      </c>
      <c r="OD19" s="13"/>
      <c r="OE19" s="13"/>
      <c r="OG19" s="29">
        <f ca="1"/>
        <v>17</v>
      </c>
      <c r="OH19" s="30" t="str">
        <f ca="1"/>
        <v>Flo</v>
      </c>
      <c r="OI19" s="30" t="e" vm="15">
        <f ca="1"/>
        <v>#VALUE!</v>
      </c>
      <c r="OJ19" s="30" t="e">
        <f ca="1"/>
        <v>#VALUE!</v>
      </c>
      <c r="OK19" s="13"/>
      <c r="OL19" s="30">
        <f ca="1"/>
        <v>0</v>
      </c>
      <c r="ON19" s="27">
        <f ca="1"/>
        <v>17</v>
      </c>
      <c r="OO19" s="30" t="str">
        <f ca="1"/>
        <v>Flo</v>
      </c>
      <c r="OP19" s="30">
        <f ca="1"/>
        <v>0</v>
      </c>
      <c r="OQ19" s="13"/>
      <c r="OR19" s="13"/>
      <c r="OT19" s="29">
        <f ca="1"/>
        <v>17</v>
      </c>
      <c r="OU19" s="30" t="str">
        <f ca="1"/>
        <v>Flo</v>
      </c>
      <c r="OV19" s="30" t="e" vm="15">
        <f ca="1"/>
        <v>#VALUE!</v>
      </c>
      <c r="OW19" s="30" t="e">
        <f ca="1"/>
        <v>#VALUE!</v>
      </c>
      <c r="OX19" s="13"/>
      <c r="OY19" s="30">
        <f ca="1"/>
        <v>0</v>
      </c>
      <c r="PA19" s="27">
        <f ca="1"/>
        <v>17</v>
      </c>
      <c r="PB19" s="30" t="str">
        <f ca="1"/>
        <v>Flo</v>
      </c>
      <c r="PC19" s="30">
        <f ca="1"/>
        <v>0</v>
      </c>
      <c r="PD19" s="13"/>
      <c r="PE19" s="13"/>
      <c r="PG19" s="29">
        <f ca="1"/>
        <v>17</v>
      </c>
      <c r="PH19" s="30" t="str">
        <f ca="1"/>
        <v>Flo</v>
      </c>
      <c r="PI19" s="30" t="e" vm="15">
        <f ca="1"/>
        <v>#VALUE!</v>
      </c>
      <c r="PJ19" s="30" t="e">
        <f ca="1"/>
        <v>#VALUE!</v>
      </c>
      <c r="PK19" s="13"/>
      <c r="PL19" s="30">
        <f ca="1"/>
        <v>0</v>
      </c>
      <c r="PN19" s="27">
        <f ca="1"/>
        <v>17</v>
      </c>
      <c r="PO19" s="30" t="str">
        <f ca="1"/>
        <v>Flo</v>
      </c>
      <c r="PP19" s="30">
        <f ca="1"/>
        <v>0</v>
      </c>
      <c r="PQ19" s="13"/>
      <c r="PR19" s="13"/>
      <c r="PT19" s="29">
        <f ca="1"/>
        <v>17</v>
      </c>
      <c r="PU19" s="30" t="str">
        <f ca="1"/>
        <v>Flo</v>
      </c>
      <c r="PV19" s="30" t="e" vm="15">
        <f ca="1"/>
        <v>#VALUE!</v>
      </c>
      <c r="PW19" s="30" t="e">
        <f ca="1"/>
        <v>#VALUE!</v>
      </c>
      <c r="PX19" s="13"/>
      <c r="PY19" s="30">
        <f ca="1"/>
        <v>0</v>
      </c>
      <c r="QA19" s="27">
        <f ca="1"/>
        <v>17</v>
      </c>
      <c r="QB19" s="30" t="str">
        <f ca="1"/>
        <v>Flo</v>
      </c>
      <c r="QC19" s="30">
        <f ca="1"/>
        <v>0</v>
      </c>
      <c r="QD19" s="13"/>
      <c r="QE19" s="13"/>
      <c r="QG19" s="29">
        <f ca="1"/>
        <v>17</v>
      </c>
      <c r="QH19" s="30" t="str">
        <f ca="1"/>
        <v>Flo</v>
      </c>
      <c r="QI19" s="30" t="e" vm="15">
        <f ca="1"/>
        <v>#VALUE!</v>
      </c>
      <c r="QJ19" s="30" t="e">
        <f ca="1"/>
        <v>#VALUE!</v>
      </c>
      <c r="QK19" s="13"/>
      <c r="QL19" s="30">
        <f ca="1"/>
        <v>0</v>
      </c>
      <c r="QN19" s="27">
        <f ca="1"/>
        <v>17</v>
      </c>
      <c r="QO19" s="30" t="str">
        <f ca="1"/>
        <v>Flo</v>
      </c>
      <c r="QP19" s="30">
        <f ca="1"/>
        <v>0</v>
      </c>
      <c r="QQ19" s="13"/>
      <c r="QR19" s="13"/>
      <c r="QT19" s="29">
        <f ca="1"/>
        <v>17</v>
      </c>
      <c r="QU19" s="30" t="str">
        <f ca="1"/>
        <v>Flo</v>
      </c>
      <c r="QV19" s="30" t="e" vm="15">
        <f ca="1"/>
        <v>#VALUE!</v>
      </c>
      <c r="QW19" s="30" t="e">
        <f ca="1"/>
        <v>#VALUE!</v>
      </c>
      <c r="QX19" s="13"/>
      <c r="QY19" s="30">
        <f ca="1"/>
        <v>0</v>
      </c>
      <c r="RA19" s="27">
        <f ca="1"/>
        <v>17</v>
      </c>
      <c r="RB19" s="30" t="str">
        <f ca="1"/>
        <v>Flo</v>
      </c>
      <c r="RC19" s="30">
        <f ca="1"/>
        <v>0</v>
      </c>
      <c r="RD19" s="13"/>
      <c r="RE19" s="13"/>
      <c r="RG19" s="29">
        <f ca="1"/>
        <v>17</v>
      </c>
      <c r="RH19" s="30" t="str">
        <f ca="1"/>
        <v>Flo</v>
      </c>
      <c r="RI19" s="30" t="e" vm="15">
        <f ca="1"/>
        <v>#VALUE!</v>
      </c>
      <c r="RJ19" s="30" t="e">
        <f ca="1"/>
        <v>#VALUE!</v>
      </c>
      <c r="RK19" s="13"/>
      <c r="RL19" s="30">
        <f ca="1"/>
        <v>0</v>
      </c>
      <c r="RN19" s="27">
        <f ca="1"/>
        <v>17</v>
      </c>
      <c r="RO19" s="30" t="str">
        <f ca="1"/>
        <v>Flo</v>
      </c>
      <c r="RP19" s="30">
        <f ca="1"/>
        <v>0</v>
      </c>
      <c r="RQ19" s="13"/>
      <c r="RR19" s="13"/>
      <c r="RT19" s="29">
        <f ca="1"/>
        <v>17</v>
      </c>
      <c r="RU19" s="30" t="str">
        <f ca="1"/>
        <v>Flo</v>
      </c>
      <c r="RV19" s="30" t="e" vm="15">
        <f ca="1"/>
        <v>#VALUE!</v>
      </c>
      <c r="RW19" s="30" t="e">
        <f ca="1"/>
        <v>#VALUE!</v>
      </c>
      <c r="RX19" s="13"/>
      <c r="RY19" s="30">
        <f ca="1"/>
        <v>0</v>
      </c>
      <c r="SA19" s="27">
        <f ca="1"/>
        <v>17</v>
      </c>
      <c r="SB19" s="30" t="str">
        <f ca="1"/>
        <v>Flo</v>
      </c>
      <c r="SC19" s="30">
        <f ca="1"/>
        <v>0</v>
      </c>
      <c r="SD19" s="13"/>
      <c r="SE19" s="13"/>
      <c r="SG19" s="29">
        <f ca="1"/>
        <v>17</v>
      </c>
      <c r="SH19" s="30" t="str">
        <f ca="1"/>
        <v>Flo</v>
      </c>
      <c r="SI19" s="30" t="e" vm="15">
        <f ca="1"/>
        <v>#VALUE!</v>
      </c>
      <c r="SJ19" s="30" t="e">
        <f ca="1"/>
        <v>#VALUE!</v>
      </c>
      <c r="SK19" s="13"/>
      <c r="SL19" s="30">
        <f ca="1"/>
        <v>0</v>
      </c>
      <c r="SN19" s="27">
        <f ca="1"/>
        <v>17</v>
      </c>
      <c r="SO19" s="30" t="str">
        <f ca="1"/>
        <v>Flo</v>
      </c>
      <c r="SP19" s="30">
        <f ca="1"/>
        <v>0</v>
      </c>
      <c r="SQ19" s="13"/>
      <c r="SR19" s="13"/>
      <c r="ST19" s="29">
        <f ca="1"/>
        <v>17</v>
      </c>
      <c r="SU19" s="30" t="str">
        <f ca="1"/>
        <v>Flo</v>
      </c>
      <c r="SV19" s="30" t="e" vm="15">
        <f ca="1"/>
        <v>#VALUE!</v>
      </c>
      <c r="SW19" s="30" t="e">
        <f ca="1"/>
        <v>#VALUE!</v>
      </c>
      <c r="SX19" s="13"/>
      <c r="SY19" s="30">
        <f ca="1"/>
        <v>0</v>
      </c>
      <c r="TA19" s="29">
        <f ca="1"/>
        <v>17</v>
      </c>
      <c r="TB19" s="30" t="str">
        <f ca="1"/>
        <v>Flo</v>
      </c>
      <c r="TC19" s="30" t="e" vm="15">
        <f ca="1"/>
        <v>#VALUE!</v>
      </c>
      <c r="TD19" s="30">
        <f ca="1"/>
        <v>160</v>
      </c>
    </row>
    <row r="20" spans="1:524" ht="20.100000000000001" customHeight="1">
      <c r="A20" s="27">
        <f ca="1"/>
        <v>18</v>
      </c>
      <c r="B20" s="30" t="str">
        <f ca="1"/>
        <v>Thibault</v>
      </c>
      <c r="C20" s="30">
        <v>1</v>
      </c>
      <c r="D20" s="13"/>
      <c r="E20" s="57">
        <v>11723</v>
      </c>
      <c r="G20" s="29">
        <f ca="1"/>
        <v>18</v>
      </c>
      <c r="H20" s="30" t="str">
        <f ca="1"/>
        <v>Rejemy</v>
      </c>
      <c r="I20" s="30" t="e" vm="15">
        <f ca="1"/>
        <v>#VALUE!</v>
      </c>
      <c r="J20" s="55" t="e">
        <f ca="1"/>
        <v>#VALUE!</v>
      </c>
      <c r="K20" s="13"/>
      <c r="L20" s="30">
        <f ca="1"/>
        <v>1</v>
      </c>
      <c r="N20" s="27">
        <f ca="1"/>
        <v>18</v>
      </c>
      <c r="O20" s="30" t="str">
        <f ca="1"/>
        <v>Rejemy</v>
      </c>
      <c r="P20" s="30">
        <f ca="1"/>
        <v>1</v>
      </c>
      <c r="Q20" s="13"/>
      <c r="R20" s="13">
        <v>12525</v>
      </c>
      <c r="T20" s="29">
        <f ca="1"/>
        <v>18</v>
      </c>
      <c r="U20" s="30" t="str">
        <f ca="1"/>
        <v>Mark</v>
      </c>
      <c r="V20" s="30" t="e" vm="12">
        <f ca="1"/>
        <v>#VALUE!</v>
      </c>
      <c r="W20" s="30" t="e">
        <f ca="1"/>
        <v>#VALUE!</v>
      </c>
      <c r="X20" s="13"/>
      <c r="Y20" s="30">
        <f ca="1"/>
        <v>1</v>
      </c>
      <c r="AA20" s="27">
        <f ca="1"/>
        <v>18</v>
      </c>
      <c r="AB20" s="30" t="str">
        <f ca="1"/>
        <v>Mark</v>
      </c>
      <c r="AC20" s="30">
        <f ca="1"/>
        <v>1</v>
      </c>
      <c r="AD20" s="13"/>
      <c r="AE20" s="13">
        <v>13637</v>
      </c>
      <c r="AG20" s="29">
        <f ca="1"/>
        <v>18</v>
      </c>
      <c r="AH20" s="30" t="str">
        <f ca="1"/>
        <v>Thibault</v>
      </c>
      <c r="AI20" s="30" t="e" vm="15">
        <f ca="1"/>
        <v>#VALUE!</v>
      </c>
      <c r="AJ20" s="30" t="e">
        <f ca="1"/>
        <v>#VALUE!</v>
      </c>
      <c r="AK20" s="13"/>
      <c r="AL20" s="30">
        <f ca="1"/>
        <v>1</v>
      </c>
      <c r="AN20" s="27">
        <f ca="1"/>
        <v>18</v>
      </c>
      <c r="AO20" s="30" t="str">
        <f ca="1"/>
        <v>Thibault</v>
      </c>
      <c r="AP20" s="30">
        <f ca="1"/>
        <v>1</v>
      </c>
      <c r="AQ20" s="13"/>
      <c r="AR20" s="13">
        <v>10264</v>
      </c>
      <c r="AT20" s="29">
        <f ca="1"/>
        <v>18</v>
      </c>
      <c r="AU20" s="30" t="str">
        <f ca="1"/>
        <v>Thibault</v>
      </c>
      <c r="AV20" s="30" t="e" vm="15">
        <f ca="1"/>
        <v>#VALUE!</v>
      </c>
      <c r="AW20" s="30" t="e">
        <f ca="1"/>
        <v>#VALUE!</v>
      </c>
      <c r="AX20" s="13"/>
      <c r="AY20" s="30">
        <f ca="1"/>
        <v>1</v>
      </c>
      <c r="BA20" s="27">
        <f ca="1"/>
        <v>18</v>
      </c>
      <c r="BB20" s="30" t="str">
        <f ca="1"/>
        <v>Thibault</v>
      </c>
      <c r="BC20" s="30">
        <f ca="1"/>
        <v>1</v>
      </c>
      <c r="BD20" s="13"/>
      <c r="BE20" s="13">
        <v>13259</v>
      </c>
      <c r="BG20" s="29">
        <f ca="1"/>
        <v>18</v>
      </c>
      <c r="BH20" s="30" t="str">
        <f ca="1"/>
        <v>Kasmo</v>
      </c>
      <c r="BI20" s="30" t="e" vm="16">
        <f ca="1"/>
        <v>#VALUE!</v>
      </c>
      <c r="BJ20" s="30" t="e">
        <f ca="1"/>
        <v>#VALUE!</v>
      </c>
      <c r="BK20" s="13"/>
      <c r="BL20" s="30">
        <f ca="1"/>
        <v>1</v>
      </c>
      <c r="BN20" s="27">
        <f ca="1"/>
        <v>18</v>
      </c>
      <c r="BO20" s="30" t="str">
        <f ca="1"/>
        <v>Kasmo</v>
      </c>
      <c r="BP20" s="30">
        <f ca="1"/>
        <v>1</v>
      </c>
      <c r="BQ20" s="13"/>
      <c r="BR20" s="13">
        <v>10913</v>
      </c>
      <c r="BS20" s="1"/>
      <c r="BT20" s="29">
        <f ca="1"/>
        <v>18</v>
      </c>
      <c r="BU20" s="30" t="str">
        <f ca="1"/>
        <v>Zarkov</v>
      </c>
      <c r="BV20" s="30" t="e" vm="13">
        <f ca="1"/>
        <v>#VALUE!</v>
      </c>
      <c r="BW20" s="30" t="e">
        <f ca="1"/>
        <v>#VALUE!</v>
      </c>
      <c r="BX20" s="13"/>
      <c r="BY20" s="30">
        <f ca="1"/>
        <v>1</v>
      </c>
      <c r="CA20" s="27">
        <f ca="1"/>
        <v>18</v>
      </c>
      <c r="CB20" s="30" t="str">
        <f ca="1"/>
        <v>Zarkov</v>
      </c>
      <c r="CC20" s="30">
        <f ca="1"/>
        <v>1</v>
      </c>
      <c r="CD20" s="13"/>
      <c r="CE20" s="13">
        <v>11629</v>
      </c>
      <c r="CG20" s="29">
        <f ca="1"/>
        <v>18</v>
      </c>
      <c r="CH20" s="30" t="str">
        <f ca="1"/>
        <v>Julien</v>
      </c>
      <c r="CI20" s="30" t="e" vm="15">
        <f ca="1"/>
        <v>#VALUE!</v>
      </c>
      <c r="CJ20" s="30" t="e">
        <f ca="1"/>
        <v>#VALUE!</v>
      </c>
      <c r="CK20" s="13">
        <v>1</v>
      </c>
      <c r="CL20" s="30">
        <f ca="1"/>
        <v>0</v>
      </c>
      <c r="CN20" s="27">
        <f ca="1"/>
        <v>18</v>
      </c>
      <c r="CO20" s="30" t="str">
        <f ca="1"/>
        <v>Julien</v>
      </c>
      <c r="CP20" s="30">
        <f ca="1"/>
        <v>0</v>
      </c>
      <c r="CQ20" s="13"/>
      <c r="CR20" s="13"/>
      <c r="CT20" s="29">
        <f ca="1"/>
        <v>18</v>
      </c>
      <c r="CU20" s="30" t="str">
        <f ca="1"/>
        <v>Julien</v>
      </c>
      <c r="CV20" s="30" t="e" vm="15">
        <f ca="1"/>
        <v>#VALUE!</v>
      </c>
      <c r="CW20" s="30" t="e">
        <f ca="1"/>
        <v>#VALUE!</v>
      </c>
      <c r="CX20" s="13"/>
      <c r="CY20" s="30">
        <f ca="1"/>
        <v>0</v>
      </c>
      <c r="DA20" s="27">
        <f ca="1"/>
        <v>18</v>
      </c>
      <c r="DB20" s="30" t="str">
        <f ca="1"/>
        <v>Julien</v>
      </c>
      <c r="DC20" s="30">
        <f ca="1"/>
        <v>0</v>
      </c>
      <c r="DD20" s="13"/>
      <c r="DE20" s="13"/>
      <c r="DG20" s="29">
        <f ca="1"/>
        <v>18</v>
      </c>
      <c r="DH20" s="30" t="str">
        <f ca="1"/>
        <v>Julien</v>
      </c>
      <c r="DI20" s="30" t="e" vm="15">
        <f ca="1"/>
        <v>#VALUE!</v>
      </c>
      <c r="DJ20" s="30" t="e">
        <f ca="1"/>
        <v>#VALUE!</v>
      </c>
      <c r="DK20" s="13"/>
      <c r="DL20" s="30">
        <f ca="1"/>
        <v>0</v>
      </c>
      <c r="DN20" s="27">
        <f ca="1"/>
        <v>18</v>
      </c>
      <c r="DO20" s="30" t="str">
        <f ca="1"/>
        <v>Julien</v>
      </c>
      <c r="DP20" s="30">
        <f ca="1"/>
        <v>0</v>
      </c>
      <c r="DQ20" s="13"/>
      <c r="DR20" s="13"/>
      <c r="DT20" s="29">
        <f ca="1"/>
        <v>18</v>
      </c>
      <c r="DU20" s="30" t="str">
        <f ca="1"/>
        <v>Julien</v>
      </c>
      <c r="DV20" s="30" t="e" vm="15">
        <f ca="1"/>
        <v>#VALUE!</v>
      </c>
      <c r="DW20" s="30" t="e">
        <f ca="1"/>
        <v>#VALUE!</v>
      </c>
      <c r="DX20" s="13"/>
      <c r="DY20" s="30">
        <f ca="1"/>
        <v>0</v>
      </c>
      <c r="EA20" s="27">
        <f ca="1"/>
        <v>18</v>
      </c>
      <c r="EB20" s="30" t="str">
        <f ca="1"/>
        <v>Julien</v>
      </c>
      <c r="EC20" s="30">
        <f ca="1"/>
        <v>0</v>
      </c>
      <c r="ED20" s="13"/>
      <c r="EE20" s="13"/>
      <c r="EG20" s="29">
        <f ca="1"/>
        <v>18</v>
      </c>
      <c r="EH20" s="30" t="str">
        <f ca="1"/>
        <v>Julien</v>
      </c>
      <c r="EI20" s="30" t="e" vm="15">
        <f ca="1"/>
        <v>#VALUE!</v>
      </c>
      <c r="EJ20" s="30" t="e">
        <f ca="1"/>
        <v>#VALUE!</v>
      </c>
      <c r="EK20" s="13"/>
      <c r="EL20" s="30">
        <f ca="1"/>
        <v>0</v>
      </c>
      <c r="EN20" s="27">
        <f ca="1"/>
        <v>18</v>
      </c>
      <c r="EO20" s="30" t="str">
        <f ca="1"/>
        <v>Julien</v>
      </c>
      <c r="EP20" s="30">
        <f ca="1"/>
        <v>0</v>
      </c>
      <c r="EQ20" s="13"/>
      <c r="ER20" s="13"/>
      <c r="ET20" s="29">
        <f ca="1"/>
        <v>18</v>
      </c>
      <c r="EU20" s="30" t="str">
        <f ca="1"/>
        <v>Julien</v>
      </c>
      <c r="EV20" s="30" t="e" vm="15">
        <f ca="1"/>
        <v>#VALUE!</v>
      </c>
      <c r="EW20" s="30" t="e">
        <f ca="1"/>
        <v>#VALUE!</v>
      </c>
      <c r="EX20" s="13"/>
      <c r="EY20" s="30">
        <f ca="1"/>
        <v>0</v>
      </c>
      <c r="FA20" s="27">
        <f ca="1"/>
        <v>18</v>
      </c>
      <c r="FB20" s="30" t="str">
        <f ca="1"/>
        <v>Julien</v>
      </c>
      <c r="FC20" s="30">
        <f ca="1"/>
        <v>0</v>
      </c>
      <c r="FD20" s="13"/>
      <c r="FE20" s="13"/>
      <c r="FG20" s="29">
        <f ca="1"/>
        <v>18</v>
      </c>
      <c r="FH20" s="30" t="str">
        <f ca="1"/>
        <v>Julien</v>
      </c>
      <c r="FI20" s="30" t="e" vm="15">
        <f ca="1"/>
        <v>#VALUE!</v>
      </c>
      <c r="FJ20" s="30" t="e">
        <f ca="1"/>
        <v>#VALUE!</v>
      </c>
      <c r="FK20" s="13"/>
      <c r="FL20" s="30">
        <f ca="1"/>
        <v>0</v>
      </c>
      <c r="FN20" s="27">
        <f ca="1"/>
        <v>18</v>
      </c>
      <c r="FO20" s="30" t="str">
        <f ca="1"/>
        <v>Julien</v>
      </c>
      <c r="FP20" s="30">
        <f ca="1"/>
        <v>0</v>
      </c>
      <c r="FQ20" s="13"/>
      <c r="FR20" s="13"/>
      <c r="FT20" s="29">
        <f ca="1"/>
        <v>18</v>
      </c>
      <c r="FU20" s="30" t="str">
        <f ca="1"/>
        <v>Julien</v>
      </c>
      <c r="FV20" s="30" t="e" vm="15">
        <f ca="1"/>
        <v>#VALUE!</v>
      </c>
      <c r="FW20" s="30" t="e">
        <f ca="1"/>
        <v>#VALUE!</v>
      </c>
      <c r="FX20" s="13"/>
      <c r="FY20" s="30">
        <f ca="1"/>
        <v>0</v>
      </c>
      <c r="GA20" s="27">
        <f ca="1"/>
        <v>18</v>
      </c>
      <c r="GB20" s="30" t="str">
        <f ca="1"/>
        <v>Julien</v>
      </c>
      <c r="GC20" s="30">
        <f ca="1"/>
        <v>0</v>
      </c>
      <c r="GD20" s="13"/>
      <c r="GE20" s="13"/>
      <c r="GG20" s="29">
        <f ca="1"/>
        <v>18</v>
      </c>
      <c r="GH20" s="30" t="str">
        <f ca="1"/>
        <v>Julien</v>
      </c>
      <c r="GI20" s="30" t="e" vm="15">
        <f ca="1"/>
        <v>#VALUE!</v>
      </c>
      <c r="GJ20" s="30" t="e">
        <f ca="1"/>
        <v>#VALUE!</v>
      </c>
      <c r="GK20" s="13"/>
      <c r="GL20" s="30">
        <f ca="1"/>
        <v>0</v>
      </c>
      <c r="GN20" s="27">
        <f ca="1"/>
        <v>18</v>
      </c>
      <c r="GO20" s="30" t="str">
        <f ca="1"/>
        <v>Julien</v>
      </c>
      <c r="GP20" s="30">
        <f ca="1"/>
        <v>0</v>
      </c>
      <c r="GQ20" s="13"/>
      <c r="GR20" s="13"/>
      <c r="GT20" s="29">
        <f ca="1"/>
        <v>18</v>
      </c>
      <c r="GU20" s="30" t="str">
        <f ca="1"/>
        <v>Julien</v>
      </c>
      <c r="GV20" s="30" t="e" vm="15">
        <f ca="1"/>
        <v>#VALUE!</v>
      </c>
      <c r="GW20" s="30" t="e">
        <f ca="1"/>
        <v>#VALUE!</v>
      </c>
      <c r="GX20" s="13"/>
      <c r="GY20" s="30">
        <f ca="1"/>
        <v>0</v>
      </c>
      <c r="HA20" s="27">
        <f ca="1"/>
        <v>18</v>
      </c>
      <c r="HB20" s="30" t="str">
        <f ca="1"/>
        <v>Julien</v>
      </c>
      <c r="HC20" s="30">
        <f ca="1"/>
        <v>0</v>
      </c>
      <c r="HD20" s="13"/>
      <c r="HE20" s="13"/>
      <c r="HF20" s="1"/>
      <c r="HG20" s="29">
        <f ca="1"/>
        <v>18</v>
      </c>
      <c r="HH20" s="30" t="str">
        <f ca="1"/>
        <v>Julien</v>
      </c>
      <c r="HI20" s="30" t="e" vm="15">
        <f ca="1"/>
        <v>#VALUE!</v>
      </c>
      <c r="HJ20" s="30" t="e">
        <f ca="1"/>
        <v>#VALUE!</v>
      </c>
      <c r="HK20" s="13"/>
      <c r="HL20" s="30">
        <f ca="1"/>
        <v>0</v>
      </c>
      <c r="HN20" s="27">
        <f ca="1"/>
        <v>18</v>
      </c>
      <c r="HO20" s="30" t="str">
        <f ca="1"/>
        <v>Julien</v>
      </c>
      <c r="HP20" s="30">
        <f ca="1"/>
        <v>0</v>
      </c>
      <c r="HQ20" s="13"/>
      <c r="HR20" s="13"/>
      <c r="HT20" s="29">
        <f ca="1"/>
        <v>18</v>
      </c>
      <c r="HU20" s="30" t="str">
        <f ca="1"/>
        <v>Julien</v>
      </c>
      <c r="HV20" s="30" t="e" vm="15">
        <f ca="1"/>
        <v>#VALUE!</v>
      </c>
      <c r="HW20" s="30" t="e">
        <f ca="1"/>
        <v>#VALUE!</v>
      </c>
      <c r="HX20" s="13"/>
      <c r="HY20" s="30">
        <f ca="1"/>
        <v>0</v>
      </c>
      <c r="IA20" s="27">
        <f ca="1"/>
        <v>18</v>
      </c>
      <c r="IB20" s="30" t="str">
        <f ca="1"/>
        <v>Julien</v>
      </c>
      <c r="IC20" s="30">
        <f ca="1"/>
        <v>0</v>
      </c>
      <c r="ID20" s="13"/>
      <c r="IE20" s="13"/>
      <c r="IG20" s="29">
        <f ca="1"/>
        <v>18</v>
      </c>
      <c r="IH20" s="30" t="str">
        <f ca="1"/>
        <v>Julien</v>
      </c>
      <c r="II20" s="30" t="e" vm="15">
        <f ca="1"/>
        <v>#VALUE!</v>
      </c>
      <c r="IJ20" s="30" t="e">
        <f ca="1"/>
        <v>#VALUE!</v>
      </c>
      <c r="IK20" s="13"/>
      <c r="IL20" s="30">
        <f ca="1"/>
        <v>0</v>
      </c>
      <c r="IN20" s="27">
        <f ca="1"/>
        <v>18</v>
      </c>
      <c r="IO20" s="30" t="str">
        <f ca="1"/>
        <v>Julien</v>
      </c>
      <c r="IP20" s="30">
        <f ca="1"/>
        <v>0</v>
      </c>
      <c r="IQ20" s="13"/>
      <c r="IR20" s="13"/>
      <c r="IT20" s="29">
        <f ca="1"/>
        <v>18</v>
      </c>
      <c r="IU20" s="30" t="str">
        <f ca="1"/>
        <v>Julien</v>
      </c>
      <c r="IV20" s="30" t="e" vm="15">
        <f ca="1"/>
        <v>#VALUE!</v>
      </c>
      <c r="IW20" s="30" t="e">
        <f ca="1"/>
        <v>#VALUE!</v>
      </c>
      <c r="IX20" s="13"/>
      <c r="IY20" s="30">
        <f ca="1"/>
        <v>0</v>
      </c>
      <c r="JA20" s="27">
        <f ca="1"/>
        <v>18</v>
      </c>
      <c r="JB20" s="30" t="str">
        <f ca="1"/>
        <v>Julien</v>
      </c>
      <c r="JC20" s="30">
        <f ca="1"/>
        <v>0</v>
      </c>
      <c r="JD20" s="13"/>
      <c r="JE20" s="13"/>
      <c r="JG20" s="29">
        <f ca="1"/>
        <v>18</v>
      </c>
      <c r="JH20" s="30" t="str">
        <f ca="1"/>
        <v>Julien</v>
      </c>
      <c r="JI20" s="30" t="e" vm="15">
        <f ca="1"/>
        <v>#VALUE!</v>
      </c>
      <c r="JJ20" s="30" t="e">
        <f ca="1"/>
        <v>#VALUE!</v>
      </c>
      <c r="JK20" s="13"/>
      <c r="JL20" s="30">
        <f ca="1"/>
        <v>0</v>
      </c>
      <c r="JN20" s="27">
        <f ca="1"/>
        <v>18</v>
      </c>
      <c r="JO20" s="30" t="str">
        <f ca="1"/>
        <v>Julien</v>
      </c>
      <c r="JP20" s="30">
        <f ca="1"/>
        <v>0</v>
      </c>
      <c r="JQ20" s="13"/>
      <c r="JR20" s="13"/>
      <c r="JT20" s="29">
        <f ca="1"/>
        <v>18</v>
      </c>
      <c r="JU20" s="30" t="str">
        <f ca="1"/>
        <v>Julien</v>
      </c>
      <c r="JV20" s="30" t="e" vm="15">
        <f ca="1"/>
        <v>#VALUE!</v>
      </c>
      <c r="JW20" s="30" t="e">
        <f ca="1"/>
        <v>#VALUE!</v>
      </c>
      <c r="JX20" s="13"/>
      <c r="JY20" s="30">
        <f ca="1"/>
        <v>0</v>
      </c>
      <c r="KA20" s="27">
        <f ca="1"/>
        <v>18</v>
      </c>
      <c r="KB20" s="30" t="str">
        <f ca="1"/>
        <v>Julien</v>
      </c>
      <c r="KC20" s="30">
        <f ca="1"/>
        <v>0</v>
      </c>
      <c r="KD20" s="13"/>
      <c r="KE20" s="13"/>
      <c r="KG20" s="29">
        <f ca="1"/>
        <v>18</v>
      </c>
      <c r="KH20" s="30" t="str">
        <f ca="1"/>
        <v>Julien</v>
      </c>
      <c r="KI20" s="30" t="e" vm="15">
        <f ca="1"/>
        <v>#VALUE!</v>
      </c>
      <c r="KJ20" s="30" t="e">
        <f ca="1"/>
        <v>#VALUE!</v>
      </c>
      <c r="KK20" s="13"/>
      <c r="KL20" s="30">
        <f ca="1"/>
        <v>0</v>
      </c>
      <c r="KN20" s="27">
        <f ca="1"/>
        <v>18</v>
      </c>
      <c r="KO20" s="30" t="str">
        <f ca="1"/>
        <v>Julien</v>
      </c>
      <c r="KP20" s="30">
        <f ca="1"/>
        <v>0</v>
      </c>
      <c r="KQ20" s="13"/>
      <c r="KR20" s="13"/>
      <c r="KT20" s="29">
        <f ca="1"/>
        <v>18</v>
      </c>
      <c r="KU20" s="30" t="str">
        <f ca="1"/>
        <v>Julien</v>
      </c>
      <c r="KV20" s="30" t="e" vm="15">
        <f ca="1"/>
        <v>#VALUE!</v>
      </c>
      <c r="KW20" s="30" t="e">
        <f ca="1"/>
        <v>#VALUE!</v>
      </c>
      <c r="KX20" s="13"/>
      <c r="KY20" s="30">
        <f ca="1"/>
        <v>0</v>
      </c>
      <c r="LA20" s="27">
        <f ca="1"/>
        <v>18</v>
      </c>
      <c r="LB20" s="30" t="str">
        <f ca="1"/>
        <v>Julien</v>
      </c>
      <c r="LC20" s="30">
        <f ca="1"/>
        <v>0</v>
      </c>
      <c r="LD20" s="13"/>
      <c r="LE20" s="13"/>
      <c r="LG20" s="29">
        <f ca="1"/>
        <v>18</v>
      </c>
      <c r="LH20" s="30" t="str">
        <f ca="1"/>
        <v>Julien</v>
      </c>
      <c r="LI20" s="30" t="e" vm="15">
        <f ca="1"/>
        <v>#VALUE!</v>
      </c>
      <c r="LJ20" s="30" t="e">
        <f ca="1"/>
        <v>#VALUE!</v>
      </c>
      <c r="LK20" s="13"/>
      <c r="LL20" s="30">
        <f ca="1"/>
        <v>0</v>
      </c>
      <c r="LN20" s="27">
        <f ca="1"/>
        <v>18</v>
      </c>
      <c r="LO20" s="30" t="str">
        <f ca="1"/>
        <v>Julien</v>
      </c>
      <c r="LP20" s="30">
        <f ca="1"/>
        <v>0</v>
      </c>
      <c r="LQ20" s="13"/>
      <c r="LR20" s="13"/>
      <c r="LT20" s="29">
        <f ca="1"/>
        <v>18</v>
      </c>
      <c r="LU20" s="30" t="str">
        <f ca="1"/>
        <v>Julien</v>
      </c>
      <c r="LV20" s="30" t="e" vm="15">
        <f ca="1"/>
        <v>#VALUE!</v>
      </c>
      <c r="LW20" s="30" t="e">
        <f ca="1"/>
        <v>#VALUE!</v>
      </c>
      <c r="LX20" s="13"/>
      <c r="LY20" s="30">
        <f ca="1"/>
        <v>0</v>
      </c>
      <c r="MA20" s="27">
        <f ca="1"/>
        <v>18</v>
      </c>
      <c r="MB20" s="30" t="str">
        <f ca="1"/>
        <v>Julien</v>
      </c>
      <c r="MC20" s="30">
        <f ca="1"/>
        <v>0</v>
      </c>
      <c r="MD20" s="13"/>
      <c r="ME20" s="13"/>
      <c r="MG20" s="29">
        <f ca="1"/>
        <v>18</v>
      </c>
      <c r="MH20" s="30" t="str">
        <f ca="1"/>
        <v>Julien</v>
      </c>
      <c r="MI20" s="30" t="e" vm="15">
        <f ca="1"/>
        <v>#VALUE!</v>
      </c>
      <c r="MJ20" s="30" t="e">
        <f ca="1"/>
        <v>#VALUE!</v>
      </c>
      <c r="MK20" s="13"/>
      <c r="ML20" s="30">
        <f ca="1"/>
        <v>0</v>
      </c>
      <c r="MN20" s="27">
        <f ca="1"/>
        <v>18</v>
      </c>
      <c r="MO20" s="30" t="str">
        <f ca="1"/>
        <v>Julien</v>
      </c>
      <c r="MP20" s="30">
        <f ca="1"/>
        <v>0</v>
      </c>
      <c r="MQ20" s="13"/>
      <c r="MR20" s="13"/>
      <c r="MS20" s="1"/>
      <c r="MT20" s="29">
        <f ca="1"/>
        <v>18</v>
      </c>
      <c r="MU20" s="30" t="str">
        <f ca="1"/>
        <v>Julien</v>
      </c>
      <c r="MV20" s="30" t="e" vm="15">
        <f ca="1"/>
        <v>#VALUE!</v>
      </c>
      <c r="MW20" s="30" t="e">
        <f ca="1"/>
        <v>#VALUE!</v>
      </c>
      <c r="MX20" s="13"/>
      <c r="MY20" s="30">
        <f ca="1"/>
        <v>0</v>
      </c>
      <c r="NA20" s="27">
        <f ca="1"/>
        <v>18</v>
      </c>
      <c r="NB20" s="30" t="str">
        <f ca="1"/>
        <v>Julien</v>
      </c>
      <c r="NC20" s="30">
        <f ca="1"/>
        <v>0</v>
      </c>
      <c r="ND20" s="13"/>
      <c r="NE20" s="13"/>
      <c r="NG20" s="29">
        <f ca="1"/>
        <v>18</v>
      </c>
      <c r="NH20" s="30" t="str">
        <f ca="1"/>
        <v>Julien</v>
      </c>
      <c r="NI20" s="30" t="e" vm="15">
        <f ca="1"/>
        <v>#VALUE!</v>
      </c>
      <c r="NJ20" s="30" t="e">
        <f ca="1"/>
        <v>#VALUE!</v>
      </c>
      <c r="NK20" s="13"/>
      <c r="NL20" s="30">
        <f ca="1"/>
        <v>0</v>
      </c>
      <c r="NN20" s="27">
        <f ca="1"/>
        <v>18</v>
      </c>
      <c r="NO20" s="30" t="str">
        <f ca="1"/>
        <v>Julien</v>
      </c>
      <c r="NP20" s="30">
        <f ca="1"/>
        <v>0</v>
      </c>
      <c r="NQ20" s="13"/>
      <c r="NR20" s="13"/>
      <c r="NT20" s="29">
        <f ca="1"/>
        <v>18</v>
      </c>
      <c r="NU20" s="30" t="str">
        <f ca="1"/>
        <v>Julien</v>
      </c>
      <c r="NV20" s="30" t="e" vm="15">
        <f ca="1"/>
        <v>#VALUE!</v>
      </c>
      <c r="NW20" s="30" t="e">
        <f ca="1"/>
        <v>#VALUE!</v>
      </c>
      <c r="NX20" s="13"/>
      <c r="NY20" s="30">
        <f ca="1"/>
        <v>0</v>
      </c>
      <c r="OA20" s="27">
        <f ca="1"/>
        <v>18</v>
      </c>
      <c r="OB20" s="30" t="str">
        <f ca="1"/>
        <v>Julien</v>
      </c>
      <c r="OC20" s="30">
        <f ca="1"/>
        <v>0</v>
      </c>
      <c r="OD20" s="13"/>
      <c r="OE20" s="13"/>
      <c r="OG20" s="29">
        <f ca="1"/>
        <v>18</v>
      </c>
      <c r="OH20" s="30" t="str">
        <f ca="1"/>
        <v>Julien</v>
      </c>
      <c r="OI20" s="30" t="e" vm="15">
        <f ca="1"/>
        <v>#VALUE!</v>
      </c>
      <c r="OJ20" s="30" t="e">
        <f ca="1"/>
        <v>#VALUE!</v>
      </c>
      <c r="OK20" s="13"/>
      <c r="OL20" s="30">
        <f ca="1"/>
        <v>0</v>
      </c>
      <c r="ON20" s="27">
        <f ca="1"/>
        <v>18</v>
      </c>
      <c r="OO20" s="30" t="str">
        <f ca="1"/>
        <v>Julien</v>
      </c>
      <c r="OP20" s="30">
        <f ca="1"/>
        <v>0</v>
      </c>
      <c r="OQ20" s="13"/>
      <c r="OR20" s="13"/>
      <c r="OT20" s="29">
        <f ca="1"/>
        <v>18</v>
      </c>
      <c r="OU20" s="30" t="str">
        <f ca="1"/>
        <v>Julien</v>
      </c>
      <c r="OV20" s="30" t="e" vm="15">
        <f ca="1"/>
        <v>#VALUE!</v>
      </c>
      <c r="OW20" s="30" t="e">
        <f ca="1"/>
        <v>#VALUE!</v>
      </c>
      <c r="OX20" s="13"/>
      <c r="OY20" s="30">
        <f ca="1"/>
        <v>0</v>
      </c>
      <c r="PA20" s="27">
        <f ca="1"/>
        <v>18</v>
      </c>
      <c r="PB20" s="30" t="str">
        <f ca="1"/>
        <v>Julien</v>
      </c>
      <c r="PC20" s="30">
        <f ca="1"/>
        <v>0</v>
      </c>
      <c r="PD20" s="13"/>
      <c r="PE20" s="13"/>
      <c r="PG20" s="29">
        <f ca="1"/>
        <v>18</v>
      </c>
      <c r="PH20" s="30" t="str">
        <f ca="1"/>
        <v>Julien</v>
      </c>
      <c r="PI20" s="30" t="e" vm="15">
        <f ca="1"/>
        <v>#VALUE!</v>
      </c>
      <c r="PJ20" s="30" t="e">
        <f ca="1"/>
        <v>#VALUE!</v>
      </c>
      <c r="PK20" s="13"/>
      <c r="PL20" s="30">
        <f ca="1"/>
        <v>0</v>
      </c>
      <c r="PN20" s="27">
        <f ca="1"/>
        <v>18</v>
      </c>
      <c r="PO20" s="30" t="str">
        <f ca="1"/>
        <v>Julien</v>
      </c>
      <c r="PP20" s="30">
        <f ca="1"/>
        <v>0</v>
      </c>
      <c r="PQ20" s="13"/>
      <c r="PR20" s="13"/>
      <c r="PT20" s="29">
        <f ca="1"/>
        <v>18</v>
      </c>
      <c r="PU20" s="30" t="str">
        <f ca="1"/>
        <v>Julien</v>
      </c>
      <c r="PV20" s="30" t="e" vm="15">
        <f ca="1"/>
        <v>#VALUE!</v>
      </c>
      <c r="PW20" s="30" t="e">
        <f ca="1"/>
        <v>#VALUE!</v>
      </c>
      <c r="PX20" s="13"/>
      <c r="PY20" s="30">
        <f ca="1"/>
        <v>0</v>
      </c>
      <c r="QA20" s="27">
        <f ca="1"/>
        <v>18</v>
      </c>
      <c r="QB20" s="30" t="str">
        <f ca="1"/>
        <v>Julien</v>
      </c>
      <c r="QC20" s="30">
        <f ca="1"/>
        <v>0</v>
      </c>
      <c r="QD20" s="13"/>
      <c r="QE20" s="13"/>
      <c r="QG20" s="29">
        <f ca="1"/>
        <v>18</v>
      </c>
      <c r="QH20" s="30" t="str">
        <f ca="1"/>
        <v>Julien</v>
      </c>
      <c r="QI20" s="30" t="e" vm="15">
        <f ca="1"/>
        <v>#VALUE!</v>
      </c>
      <c r="QJ20" s="30" t="e">
        <f ca="1"/>
        <v>#VALUE!</v>
      </c>
      <c r="QK20" s="13"/>
      <c r="QL20" s="30">
        <f ca="1"/>
        <v>0</v>
      </c>
      <c r="QN20" s="27">
        <f ca="1"/>
        <v>18</v>
      </c>
      <c r="QO20" s="30" t="str">
        <f ca="1"/>
        <v>Julien</v>
      </c>
      <c r="QP20" s="30">
        <f ca="1"/>
        <v>0</v>
      </c>
      <c r="QQ20" s="13"/>
      <c r="QR20" s="13"/>
      <c r="QT20" s="29">
        <f ca="1"/>
        <v>18</v>
      </c>
      <c r="QU20" s="30" t="str">
        <f ca="1"/>
        <v>Julien</v>
      </c>
      <c r="QV20" s="30" t="e" vm="15">
        <f ca="1"/>
        <v>#VALUE!</v>
      </c>
      <c r="QW20" s="30" t="e">
        <f ca="1"/>
        <v>#VALUE!</v>
      </c>
      <c r="QX20" s="13"/>
      <c r="QY20" s="30">
        <f ca="1"/>
        <v>0</v>
      </c>
      <c r="RA20" s="27">
        <f ca="1"/>
        <v>18</v>
      </c>
      <c r="RB20" s="30" t="str">
        <f ca="1"/>
        <v>Julien</v>
      </c>
      <c r="RC20" s="30">
        <f ca="1"/>
        <v>0</v>
      </c>
      <c r="RD20" s="13"/>
      <c r="RE20" s="13"/>
      <c r="RG20" s="29">
        <f ca="1"/>
        <v>18</v>
      </c>
      <c r="RH20" s="30" t="str">
        <f ca="1"/>
        <v>Julien</v>
      </c>
      <c r="RI20" s="30" t="e" vm="15">
        <f ca="1"/>
        <v>#VALUE!</v>
      </c>
      <c r="RJ20" s="30" t="e">
        <f ca="1"/>
        <v>#VALUE!</v>
      </c>
      <c r="RK20" s="13"/>
      <c r="RL20" s="30">
        <f ca="1"/>
        <v>0</v>
      </c>
      <c r="RN20" s="27">
        <f ca="1"/>
        <v>18</v>
      </c>
      <c r="RO20" s="30" t="str">
        <f ca="1"/>
        <v>Julien</v>
      </c>
      <c r="RP20" s="30">
        <f ca="1"/>
        <v>0</v>
      </c>
      <c r="RQ20" s="13"/>
      <c r="RR20" s="13"/>
      <c r="RT20" s="29">
        <f ca="1"/>
        <v>18</v>
      </c>
      <c r="RU20" s="30" t="str">
        <f ca="1"/>
        <v>Julien</v>
      </c>
      <c r="RV20" s="30" t="e" vm="15">
        <f ca="1"/>
        <v>#VALUE!</v>
      </c>
      <c r="RW20" s="30" t="e">
        <f ca="1"/>
        <v>#VALUE!</v>
      </c>
      <c r="RX20" s="13"/>
      <c r="RY20" s="30">
        <f ca="1"/>
        <v>0</v>
      </c>
      <c r="SA20" s="27">
        <f ca="1"/>
        <v>18</v>
      </c>
      <c r="SB20" s="30" t="str">
        <f ca="1"/>
        <v>Julien</v>
      </c>
      <c r="SC20" s="30">
        <f ca="1"/>
        <v>0</v>
      </c>
      <c r="SD20" s="13"/>
      <c r="SE20" s="13"/>
      <c r="SG20" s="29">
        <f ca="1"/>
        <v>18</v>
      </c>
      <c r="SH20" s="30" t="str">
        <f ca="1"/>
        <v>Julien</v>
      </c>
      <c r="SI20" s="30" t="e" vm="15">
        <f ca="1"/>
        <v>#VALUE!</v>
      </c>
      <c r="SJ20" s="30" t="e">
        <f ca="1"/>
        <v>#VALUE!</v>
      </c>
      <c r="SK20" s="13"/>
      <c r="SL20" s="30">
        <f ca="1"/>
        <v>0</v>
      </c>
      <c r="SN20" s="27">
        <f ca="1"/>
        <v>18</v>
      </c>
      <c r="SO20" s="30" t="str">
        <f ca="1"/>
        <v>Julien</v>
      </c>
      <c r="SP20" s="30">
        <f ca="1"/>
        <v>0</v>
      </c>
      <c r="SQ20" s="13"/>
      <c r="SR20" s="13"/>
      <c r="ST20" s="29">
        <f ca="1"/>
        <v>18</v>
      </c>
      <c r="SU20" s="30" t="str">
        <f ca="1"/>
        <v>Julien</v>
      </c>
      <c r="SV20" s="30" t="e" vm="15">
        <f ca="1"/>
        <v>#VALUE!</v>
      </c>
      <c r="SW20" s="30" t="e">
        <f ca="1"/>
        <v>#VALUE!</v>
      </c>
      <c r="SX20" s="13"/>
      <c r="SY20" s="30">
        <f ca="1"/>
        <v>0</v>
      </c>
      <c r="TA20" s="29">
        <f ca="1"/>
        <v>18</v>
      </c>
      <c r="TB20" s="30" t="str">
        <f ca="1"/>
        <v>Julien</v>
      </c>
      <c r="TC20" s="30" t="e" vm="15">
        <f ca="1"/>
        <v>#VALUE!</v>
      </c>
      <c r="TD20" s="30">
        <f ca="1"/>
        <v>150</v>
      </c>
    </row>
    <row r="21" spans="1:524" ht="20.100000000000001" customHeight="1">
      <c r="A21" s="27">
        <f ca="1"/>
        <v>19</v>
      </c>
      <c r="B21" s="30" t="str">
        <f ca="1"/>
        <v>Zarkov</v>
      </c>
      <c r="C21" s="30">
        <v>1</v>
      </c>
      <c r="D21" s="13"/>
      <c r="E21" s="57">
        <v>11991</v>
      </c>
      <c r="G21" s="29">
        <f ca="1"/>
        <v>19</v>
      </c>
      <c r="H21" s="30" t="str">
        <f ca="1"/>
        <v>Julien</v>
      </c>
      <c r="I21" s="30" t="e" vm="15">
        <f ca="1"/>
        <v>#VALUE!</v>
      </c>
      <c r="J21" s="55" t="e">
        <f ca="1"/>
        <v>#VALUE!</v>
      </c>
      <c r="K21" s="13"/>
      <c r="L21" s="30">
        <f ca="1"/>
        <v>1</v>
      </c>
      <c r="N21" s="27">
        <f ca="1"/>
        <v>19</v>
      </c>
      <c r="O21" s="30" t="str">
        <f ca="1"/>
        <v>Julien</v>
      </c>
      <c r="P21" s="30">
        <f ca="1"/>
        <v>1</v>
      </c>
      <c r="Q21" s="13"/>
      <c r="R21" s="13">
        <v>12095</v>
      </c>
      <c r="T21" s="29">
        <f ca="1"/>
        <v>19</v>
      </c>
      <c r="U21" s="30" t="str">
        <f ca="1"/>
        <v>Thibault</v>
      </c>
      <c r="V21" s="30" t="e" vm="15">
        <f ca="1"/>
        <v>#VALUE!</v>
      </c>
      <c r="W21" s="30" t="e">
        <f ca="1"/>
        <v>#VALUE!</v>
      </c>
      <c r="X21" s="13"/>
      <c r="Y21" s="30">
        <f ca="1"/>
        <v>1</v>
      </c>
      <c r="AA21" s="27">
        <f ca="1"/>
        <v>19</v>
      </c>
      <c r="AB21" s="30" t="str">
        <f ca="1"/>
        <v>Thibault</v>
      </c>
      <c r="AC21" s="30">
        <f ca="1"/>
        <v>1</v>
      </c>
      <c r="AD21" s="13"/>
      <c r="AE21" s="13">
        <v>13412</v>
      </c>
      <c r="AG21" s="29">
        <f ca="1"/>
        <v>19</v>
      </c>
      <c r="AH21" s="30" t="str">
        <f ca="1"/>
        <v>Sjors</v>
      </c>
      <c r="AI21" s="30" t="e" vm="12">
        <f ca="1"/>
        <v>#VALUE!</v>
      </c>
      <c r="AJ21" s="30" t="e">
        <f ca="1"/>
        <v>#VALUE!</v>
      </c>
      <c r="AK21" s="13"/>
      <c r="AL21" s="30">
        <f ca="1"/>
        <v>1</v>
      </c>
      <c r="AN21" s="27">
        <f ca="1"/>
        <v>19</v>
      </c>
      <c r="AO21" s="30" t="str">
        <f ca="1"/>
        <v>Sjors</v>
      </c>
      <c r="AP21" s="30">
        <f ca="1"/>
        <v>1</v>
      </c>
      <c r="AQ21" s="13"/>
      <c r="AR21" s="13">
        <v>10568</v>
      </c>
      <c r="AT21" s="29">
        <f ca="1"/>
        <v>19</v>
      </c>
      <c r="AU21" s="30" t="str">
        <f ca="1"/>
        <v>Sjors</v>
      </c>
      <c r="AV21" s="30" t="e" vm="12">
        <f ca="1"/>
        <v>#VALUE!</v>
      </c>
      <c r="AW21" s="30" t="e">
        <f ca="1"/>
        <v>#VALUE!</v>
      </c>
      <c r="AX21" s="13"/>
      <c r="AY21" s="30">
        <f ca="1"/>
        <v>1</v>
      </c>
      <c r="BA21" s="27">
        <f ca="1"/>
        <v>19</v>
      </c>
      <c r="BB21" s="30" t="str">
        <f ca="1"/>
        <v>Sjors</v>
      </c>
      <c r="BC21" s="30">
        <f ca="1"/>
        <v>1</v>
      </c>
      <c r="BD21" s="13"/>
      <c r="BE21" s="13">
        <v>14491</v>
      </c>
      <c r="BG21" s="29">
        <f ca="1"/>
        <v>19</v>
      </c>
      <c r="BH21" s="30" t="str">
        <f ca="1"/>
        <v>Sumz</v>
      </c>
      <c r="BI21" s="30" t="e" vm="18">
        <f ca="1"/>
        <v>#VALUE!</v>
      </c>
      <c r="BJ21" s="30" t="e">
        <f ca="1"/>
        <v>#VALUE!</v>
      </c>
      <c r="BK21" s="13"/>
      <c r="BL21" s="30">
        <f ca="1"/>
        <v>1</v>
      </c>
      <c r="BN21" s="27">
        <f ca="1"/>
        <v>19</v>
      </c>
      <c r="BO21" s="30" t="str">
        <f ca="1"/>
        <v>Sumz</v>
      </c>
      <c r="BP21" s="30">
        <f ca="1"/>
        <v>1</v>
      </c>
      <c r="BQ21" s="13"/>
      <c r="BR21" s="13">
        <v>10760</v>
      </c>
      <c r="BS21" s="1"/>
      <c r="BT21" s="29">
        <f ca="1"/>
        <v>19</v>
      </c>
      <c r="BU21" s="30" t="str">
        <f ca="1"/>
        <v>Thibault</v>
      </c>
      <c r="BV21" s="30" t="e" vm="15">
        <f ca="1"/>
        <v>#VALUE!</v>
      </c>
      <c r="BW21" s="30" t="e">
        <f ca="1"/>
        <v>#VALUE!</v>
      </c>
      <c r="BX21" s="13">
        <v>1</v>
      </c>
      <c r="BY21" s="30">
        <f ca="1"/>
        <v>0</v>
      </c>
      <c r="CA21" s="27">
        <f ca="1"/>
        <v>19</v>
      </c>
      <c r="CB21" s="30" t="str">
        <f ca="1"/>
        <v>Thibault</v>
      </c>
      <c r="CC21" s="30">
        <f ca="1"/>
        <v>0</v>
      </c>
      <c r="CD21" s="13"/>
      <c r="CE21" s="13"/>
      <c r="CG21" s="29">
        <f ca="1"/>
        <v>19</v>
      </c>
      <c r="CH21" s="30" t="str">
        <f ca="1"/>
        <v>Thibault</v>
      </c>
      <c r="CI21" s="30" t="e" vm="15">
        <f ca="1"/>
        <v>#VALUE!</v>
      </c>
      <c r="CJ21" s="30" t="e">
        <f ca="1"/>
        <v>#VALUE!</v>
      </c>
      <c r="CK21" s="13"/>
      <c r="CL21" s="30">
        <f ca="1"/>
        <v>0</v>
      </c>
      <c r="CN21" s="27">
        <f ca="1"/>
        <v>19</v>
      </c>
      <c r="CO21" s="30" t="str">
        <f ca="1"/>
        <v>Thibault</v>
      </c>
      <c r="CP21" s="30">
        <f ca="1"/>
        <v>0</v>
      </c>
      <c r="CQ21" s="13"/>
      <c r="CR21" s="13"/>
      <c r="CT21" s="29">
        <f ca="1"/>
        <v>19</v>
      </c>
      <c r="CU21" s="30" t="str">
        <f ca="1"/>
        <v>Thibault</v>
      </c>
      <c r="CV21" s="30" t="e" vm="15">
        <f ca="1"/>
        <v>#VALUE!</v>
      </c>
      <c r="CW21" s="30" t="e">
        <f ca="1"/>
        <v>#VALUE!</v>
      </c>
      <c r="CX21" s="13"/>
      <c r="CY21" s="30">
        <f ca="1"/>
        <v>0</v>
      </c>
      <c r="DA21" s="27">
        <f ca="1"/>
        <v>19</v>
      </c>
      <c r="DB21" s="30" t="str">
        <f ca="1"/>
        <v>Thibault</v>
      </c>
      <c r="DC21" s="30">
        <f ca="1"/>
        <v>0</v>
      </c>
      <c r="DD21" s="13"/>
      <c r="DE21" s="13"/>
      <c r="DG21" s="29">
        <f ca="1"/>
        <v>19</v>
      </c>
      <c r="DH21" s="30" t="str">
        <f ca="1"/>
        <v>Thibault</v>
      </c>
      <c r="DI21" s="30" t="e" vm="15">
        <f ca="1"/>
        <v>#VALUE!</v>
      </c>
      <c r="DJ21" s="30" t="e">
        <f ca="1"/>
        <v>#VALUE!</v>
      </c>
      <c r="DK21" s="13"/>
      <c r="DL21" s="30">
        <f ca="1"/>
        <v>0</v>
      </c>
      <c r="DN21" s="27">
        <f ca="1"/>
        <v>19</v>
      </c>
      <c r="DO21" s="30" t="str">
        <f ca="1"/>
        <v>Thibault</v>
      </c>
      <c r="DP21" s="30">
        <f ca="1"/>
        <v>0</v>
      </c>
      <c r="DQ21" s="13"/>
      <c r="DR21" s="13"/>
      <c r="DT21" s="29">
        <f ca="1"/>
        <v>19</v>
      </c>
      <c r="DU21" s="30" t="str">
        <f ca="1"/>
        <v>Thibault</v>
      </c>
      <c r="DV21" s="30" t="e" vm="15">
        <f ca="1"/>
        <v>#VALUE!</v>
      </c>
      <c r="DW21" s="30" t="e">
        <f ca="1"/>
        <v>#VALUE!</v>
      </c>
      <c r="DX21" s="13"/>
      <c r="DY21" s="30">
        <f ca="1"/>
        <v>0</v>
      </c>
      <c r="EA21" s="27">
        <f ca="1"/>
        <v>19</v>
      </c>
      <c r="EB21" s="30" t="str">
        <f ca="1"/>
        <v>Thibault</v>
      </c>
      <c r="EC21" s="30">
        <f ca="1"/>
        <v>0</v>
      </c>
      <c r="ED21" s="13"/>
      <c r="EE21" s="13"/>
      <c r="EG21" s="29">
        <f ca="1"/>
        <v>19</v>
      </c>
      <c r="EH21" s="30" t="str">
        <f ca="1"/>
        <v>Thibault</v>
      </c>
      <c r="EI21" s="30" t="e" vm="15">
        <f ca="1"/>
        <v>#VALUE!</v>
      </c>
      <c r="EJ21" s="30" t="e">
        <f ca="1"/>
        <v>#VALUE!</v>
      </c>
      <c r="EK21" s="13"/>
      <c r="EL21" s="30">
        <f ca="1"/>
        <v>0</v>
      </c>
      <c r="EN21" s="27">
        <f ca="1"/>
        <v>19</v>
      </c>
      <c r="EO21" s="30" t="str">
        <f ca="1"/>
        <v>Thibault</v>
      </c>
      <c r="EP21" s="30">
        <f ca="1"/>
        <v>0</v>
      </c>
      <c r="EQ21" s="13"/>
      <c r="ER21" s="13"/>
      <c r="ET21" s="29">
        <f ca="1"/>
        <v>19</v>
      </c>
      <c r="EU21" s="30" t="str">
        <f ca="1"/>
        <v>Thibault</v>
      </c>
      <c r="EV21" s="30" t="e" vm="15">
        <f ca="1"/>
        <v>#VALUE!</v>
      </c>
      <c r="EW21" s="30" t="e">
        <f ca="1"/>
        <v>#VALUE!</v>
      </c>
      <c r="EX21" s="13"/>
      <c r="EY21" s="30">
        <f ca="1"/>
        <v>0</v>
      </c>
      <c r="FA21" s="27">
        <f ca="1"/>
        <v>19</v>
      </c>
      <c r="FB21" s="30" t="str">
        <f ca="1"/>
        <v>Thibault</v>
      </c>
      <c r="FC21" s="30">
        <f ca="1"/>
        <v>0</v>
      </c>
      <c r="FD21" s="13"/>
      <c r="FE21" s="13"/>
      <c r="FG21" s="29">
        <f ca="1"/>
        <v>19</v>
      </c>
      <c r="FH21" s="30" t="str">
        <f ca="1"/>
        <v>Thibault</v>
      </c>
      <c r="FI21" s="30" t="e" vm="15">
        <f ca="1"/>
        <v>#VALUE!</v>
      </c>
      <c r="FJ21" s="30" t="e">
        <f ca="1"/>
        <v>#VALUE!</v>
      </c>
      <c r="FK21" s="13"/>
      <c r="FL21" s="30">
        <f ca="1"/>
        <v>0</v>
      </c>
      <c r="FN21" s="27">
        <f ca="1"/>
        <v>19</v>
      </c>
      <c r="FO21" s="30" t="str">
        <f ca="1"/>
        <v>Thibault</v>
      </c>
      <c r="FP21" s="30">
        <f ca="1"/>
        <v>0</v>
      </c>
      <c r="FQ21" s="13"/>
      <c r="FR21" s="13"/>
      <c r="FT21" s="29">
        <f ca="1"/>
        <v>19</v>
      </c>
      <c r="FU21" s="30" t="str">
        <f ca="1"/>
        <v>Thibault</v>
      </c>
      <c r="FV21" s="30" t="e" vm="15">
        <f ca="1"/>
        <v>#VALUE!</v>
      </c>
      <c r="FW21" s="30" t="e">
        <f ca="1"/>
        <v>#VALUE!</v>
      </c>
      <c r="FX21" s="13"/>
      <c r="FY21" s="30">
        <f ca="1"/>
        <v>0</v>
      </c>
      <c r="GA21" s="27">
        <f ca="1"/>
        <v>19</v>
      </c>
      <c r="GB21" s="30" t="str">
        <f ca="1"/>
        <v>Thibault</v>
      </c>
      <c r="GC21" s="30">
        <f ca="1"/>
        <v>0</v>
      </c>
      <c r="GD21" s="13"/>
      <c r="GE21" s="13"/>
      <c r="GG21" s="29">
        <f ca="1"/>
        <v>19</v>
      </c>
      <c r="GH21" s="30" t="str">
        <f ca="1"/>
        <v>Thibault</v>
      </c>
      <c r="GI21" s="30" t="e" vm="15">
        <f ca="1"/>
        <v>#VALUE!</v>
      </c>
      <c r="GJ21" s="30" t="e">
        <f ca="1"/>
        <v>#VALUE!</v>
      </c>
      <c r="GK21" s="13"/>
      <c r="GL21" s="30">
        <f ca="1"/>
        <v>0</v>
      </c>
      <c r="GN21" s="27">
        <f ca="1"/>
        <v>19</v>
      </c>
      <c r="GO21" s="30" t="str">
        <f ca="1"/>
        <v>Thibault</v>
      </c>
      <c r="GP21" s="30">
        <f ca="1"/>
        <v>0</v>
      </c>
      <c r="GQ21" s="13"/>
      <c r="GR21" s="13"/>
      <c r="GT21" s="29">
        <f ca="1"/>
        <v>19</v>
      </c>
      <c r="GU21" s="30" t="str">
        <f ca="1"/>
        <v>Thibault</v>
      </c>
      <c r="GV21" s="30" t="e" vm="15">
        <f ca="1"/>
        <v>#VALUE!</v>
      </c>
      <c r="GW21" s="30" t="e">
        <f ca="1"/>
        <v>#VALUE!</v>
      </c>
      <c r="GX21" s="13"/>
      <c r="GY21" s="30">
        <f ca="1"/>
        <v>0</v>
      </c>
      <c r="HA21" s="27">
        <f ca="1"/>
        <v>19</v>
      </c>
      <c r="HB21" s="30" t="str">
        <f ca="1"/>
        <v>Thibault</v>
      </c>
      <c r="HC21" s="30">
        <f ca="1"/>
        <v>0</v>
      </c>
      <c r="HD21" s="13"/>
      <c r="HE21" s="13"/>
      <c r="HF21" s="1"/>
      <c r="HG21" s="29">
        <f ca="1"/>
        <v>19</v>
      </c>
      <c r="HH21" s="30" t="str">
        <f ca="1"/>
        <v>Thibault</v>
      </c>
      <c r="HI21" s="30" t="e" vm="15">
        <f ca="1"/>
        <v>#VALUE!</v>
      </c>
      <c r="HJ21" s="30" t="e">
        <f ca="1"/>
        <v>#VALUE!</v>
      </c>
      <c r="HK21" s="13"/>
      <c r="HL21" s="30">
        <f ca="1"/>
        <v>0</v>
      </c>
      <c r="HN21" s="27">
        <f ca="1"/>
        <v>19</v>
      </c>
      <c r="HO21" s="30" t="str">
        <f ca="1"/>
        <v>Thibault</v>
      </c>
      <c r="HP21" s="30">
        <f ca="1"/>
        <v>0</v>
      </c>
      <c r="HQ21" s="13"/>
      <c r="HR21" s="13"/>
      <c r="HT21" s="29">
        <f ca="1"/>
        <v>19</v>
      </c>
      <c r="HU21" s="30" t="str">
        <f ca="1"/>
        <v>Thibault</v>
      </c>
      <c r="HV21" s="30" t="e" vm="15">
        <f ca="1"/>
        <v>#VALUE!</v>
      </c>
      <c r="HW21" s="30" t="e">
        <f ca="1"/>
        <v>#VALUE!</v>
      </c>
      <c r="HX21" s="13"/>
      <c r="HY21" s="30">
        <f ca="1"/>
        <v>0</v>
      </c>
      <c r="IA21" s="27">
        <f ca="1"/>
        <v>19</v>
      </c>
      <c r="IB21" s="30" t="str">
        <f ca="1"/>
        <v>Thibault</v>
      </c>
      <c r="IC21" s="30">
        <f ca="1"/>
        <v>0</v>
      </c>
      <c r="ID21" s="13"/>
      <c r="IE21" s="13"/>
      <c r="IG21" s="29">
        <f ca="1"/>
        <v>19</v>
      </c>
      <c r="IH21" s="30" t="str">
        <f ca="1"/>
        <v>Thibault</v>
      </c>
      <c r="II21" s="30" t="e" vm="15">
        <f ca="1"/>
        <v>#VALUE!</v>
      </c>
      <c r="IJ21" s="30" t="e">
        <f ca="1"/>
        <v>#VALUE!</v>
      </c>
      <c r="IK21" s="13"/>
      <c r="IL21" s="30">
        <f ca="1"/>
        <v>0</v>
      </c>
      <c r="IN21" s="27">
        <f ca="1"/>
        <v>19</v>
      </c>
      <c r="IO21" s="30" t="str">
        <f ca="1"/>
        <v>Thibault</v>
      </c>
      <c r="IP21" s="30">
        <f ca="1"/>
        <v>0</v>
      </c>
      <c r="IQ21" s="13"/>
      <c r="IR21" s="13"/>
      <c r="IT21" s="29">
        <f ca="1"/>
        <v>19</v>
      </c>
      <c r="IU21" s="30" t="str">
        <f ca="1"/>
        <v>Thibault</v>
      </c>
      <c r="IV21" s="30" t="e" vm="15">
        <f ca="1"/>
        <v>#VALUE!</v>
      </c>
      <c r="IW21" s="30" t="e">
        <f ca="1"/>
        <v>#VALUE!</v>
      </c>
      <c r="IX21" s="13"/>
      <c r="IY21" s="30">
        <f ca="1"/>
        <v>0</v>
      </c>
      <c r="JA21" s="27">
        <f ca="1"/>
        <v>19</v>
      </c>
      <c r="JB21" s="30" t="str">
        <f ca="1"/>
        <v>Thibault</v>
      </c>
      <c r="JC21" s="30">
        <f ca="1"/>
        <v>0</v>
      </c>
      <c r="JD21" s="13"/>
      <c r="JE21" s="13"/>
      <c r="JG21" s="29">
        <f ca="1"/>
        <v>19</v>
      </c>
      <c r="JH21" s="30" t="str">
        <f ca="1"/>
        <v>Thibault</v>
      </c>
      <c r="JI21" s="30" t="e" vm="15">
        <f ca="1"/>
        <v>#VALUE!</v>
      </c>
      <c r="JJ21" s="30" t="e">
        <f ca="1"/>
        <v>#VALUE!</v>
      </c>
      <c r="JK21" s="13"/>
      <c r="JL21" s="30">
        <f ca="1"/>
        <v>0</v>
      </c>
      <c r="JN21" s="27">
        <f ca="1"/>
        <v>19</v>
      </c>
      <c r="JO21" s="30" t="str">
        <f ca="1"/>
        <v>Thibault</v>
      </c>
      <c r="JP21" s="30">
        <f ca="1"/>
        <v>0</v>
      </c>
      <c r="JQ21" s="13"/>
      <c r="JR21" s="13"/>
      <c r="JT21" s="29">
        <f ca="1"/>
        <v>19</v>
      </c>
      <c r="JU21" s="30" t="str">
        <f ca="1"/>
        <v>Thibault</v>
      </c>
      <c r="JV21" s="30" t="e" vm="15">
        <f ca="1"/>
        <v>#VALUE!</v>
      </c>
      <c r="JW21" s="30" t="e">
        <f ca="1"/>
        <v>#VALUE!</v>
      </c>
      <c r="JX21" s="13"/>
      <c r="JY21" s="30">
        <f ca="1"/>
        <v>0</v>
      </c>
      <c r="KA21" s="27">
        <f ca="1"/>
        <v>19</v>
      </c>
      <c r="KB21" s="30" t="str">
        <f ca="1"/>
        <v>Thibault</v>
      </c>
      <c r="KC21" s="30">
        <f ca="1"/>
        <v>0</v>
      </c>
      <c r="KD21" s="13"/>
      <c r="KE21" s="13"/>
      <c r="KG21" s="29">
        <f ca="1"/>
        <v>19</v>
      </c>
      <c r="KH21" s="30" t="str">
        <f ca="1"/>
        <v>Thibault</v>
      </c>
      <c r="KI21" s="30" t="e" vm="15">
        <f ca="1"/>
        <v>#VALUE!</v>
      </c>
      <c r="KJ21" s="30" t="e">
        <f ca="1"/>
        <v>#VALUE!</v>
      </c>
      <c r="KK21" s="13"/>
      <c r="KL21" s="30">
        <f ca="1"/>
        <v>0</v>
      </c>
      <c r="KN21" s="27">
        <f ca="1"/>
        <v>19</v>
      </c>
      <c r="KO21" s="30" t="str">
        <f ca="1"/>
        <v>Thibault</v>
      </c>
      <c r="KP21" s="30">
        <f ca="1"/>
        <v>0</v>
      </c>
      <c r="KQ21" s="13"/>
      <c r="KR21" s="13"/>
      <c r="KT21" s="29">
        <f ca="1"/>
        <v>19</v>
      </c>
      <c r="KU21" s="30" t="str">
        <f ca="1"/>
        <v>Thibault</v>
      </c>
      <c r="KV21" s="30" t="e" vm="15">
        <f ca="1"/>
        <v>#VALUE!</v>
      </c>
      <c r="KW21" s="30" t="e">
        <f ca="1"/>
        <v>#VALUE!</v>
      </c>
      <c r="KX21" s="13"/>
      <c r="KY21" s="30">
        <f ca="1"/>
        <v>0</v>
      </c>
      <c r="LA21" s="27">
        <f ca="1"/>
        <v>19</v>
      </c>
      <c r="LB21" s="30" t="str">
        <f ca="1"/>
        <v>Thibault</v>
      </c>
      <c r="LC21" s="30">
        <f ca="1"/>
        <v>0</v>
      </c>
      <c r="LD21" s="13"/>
      <c r="LE21" s="13"/>
      <c r="LG21" s="29">
        <f ca="1"/>
        <v>19</v>
      </c>
      <c r="LH21" s="30" t="str">
        <f ca="1"/>
        <v>Thibault</v>
      </c>
      <c r="LI21" s="30" t="e" vm="15">
        <f ca="1"/>
        <v>#VALUE!</v>
      </c>
      <c r="LJ21" s="30" t="e">
        <f ca="1"/>
        <v>#VALUE!</v>
      </c>
      <c r="LK21" s="13"/>
      <c r="LL21" s="30">
        <f ca="1"/>
        <v>0</v>
      </c>
      <c r="LN21" s="27">
        <f ca="1"/>
        <v>19</v>
      </c>
      <c r="LO21" s="30" t="str">
        <f ca="1"/>
        <v>Thibault</v>
      </c>
      <c r="LP21" s="30">
        <f ca="1"/>
        <v>0</v>
      </c>
      <c r="LQ21" s="13"/>
      <c r="LR21" s="13"/>
      <c r="LT21" s="29">
        <f ca="1"/>
        <v>19</v>
      </c>
      <c r="LU21" s="30" t="str">
        <f ca="1"/>
        <v>Thibault</v>
      </c>
      <c r="LV21" s="30" t="e" vm="15">
        <f ca="1"/>
        <v>#VALUE!</v>
      </c>
      <c r="LW21" s="30" t="e">
        <f ca="1"/>
        <v>#VALUE!</v>
      </c>
      <c r="LX21" s="13"/>
      <c r="LY21" s="30">
        <f ca="1"/>
        <v>0</v>
      </c>
      <c r="MA21" s="27">
        <f ca="1"/>
        <v>19</v>
      </c>
      <c r="MB21" s="30" t="str">
        <f ca="1"/>
        <v>Thibault</v>
      </c>
      <c r="MC21" s="30">
        <f ca="1"/>
        <v>0</v>
      </c>
      <c r="MD21" s="13"/>
      <c r="ME21" s="13"/>
      <c r="MG21" s="29">
        <f ca="1"/>
        <v>19</v>
      </c>
      <c r="MH21" s="30" t="str">
        <f ca="1"/>
        <v>Thibault</v>
      </c>
      <c r="MI21" s="30" t="e" vm="15">
        <f ca="1"/>
        <v>#VALUE!</v>
      </c>
      <c r="MJ21" s="30" t="e">
        <f ca="1"/>
        <v>#VALUE!</v>
      </c>
      <c r="MK21" s="13"/>
      <c r="ML21" s="30">
        <f ca="1"/>
        <v>0</v>
      </c>
      <c r="MN21" s="27">
        <f ca="1"/>
        <v>19</v>
      </c>
      <c r="MO21" s="30" t="str">
        <f ca="1"/>
        <v>Thibault</v>
      </c>
      <c r="MP21" s="30">
        <f ca="1"/>
        <v>0</v>
      </c>
      <c r="MQ21" s="13"/>
      <c r="MR21" s="13"/>
      <c r="MS21" s="1"/>
      <c r="MT21" s="29">
        <f ca="1"/>
        <v>19</v>
      </c>
      <c r="MU21" s="30" t="str">
        <f ca="1"/>
        <v>Thibault</v>
      </c>
      <c r="MV21" s="30" t="e" vm="15">
        <f ca="1"/>
        <v>#VALUE!</v>
      </c>
      <c r="MW21" s="30" t="e">
        <f ca="1"/>
        <v>#VALUE!</v>
      </c>
      <c r="MX21" s="13"/>
      <c r="MY21" s="30">
        <f ca="1"/>
        <v>0</v>
      </c>
      <c r="NA21" s="27">
        <f ca="1"/>
        <v>19</v>
      </c>
      <c r="NB21" s="30" t="str">
        <f ca="1"/>
        <v>Thibault</v>
      </c>
      <c r="NC21" s="30">
        <f ca="1"/>
        <v>0</v>
      </c>
      <c r="ND21" s="13"/>
      <c r="NE21" s="13"/>
      <c r="NG21" s="29">
        <f ca="1"/>
        <v>19</v>
      </c>
      <c r="NH21" s="30" t="str">
        <f ca="1"/>
        <v>Thibault</v>
      </c>
      <c r="NI21" s="30" t="e" vm="15">
        <f ca="1"/>
        <v>#VALUE!</v>
      </c>
      <c r="NJ21" s="30" t="e">
        <f ca="1"/>
        <v>#VALUE!</v>
      </c>
      <c r="NK21" s="13"/>
      <c r="NL21" s="30">
        <f ca="1"/>
        <v>0</v>
      </c>
      <c r="NN21" s="27">
        <f ca="1"/>
        <v>19</v>
      </c>
      <c r="NO21" s="30" t="str">
        <f ca="1"/>
        <v>Thibault</v>
      </c>
      <c r="NP21" s="30">
        <f ca="1"/>
        <v>0</v>
      </c>
      <c r="NQ21" s="13"/>
      <c r="NR21" s="13"/>
      <c r="NT21" s="29">
        <f ca="1"/>
        <v>19</v>
      </c>
      <c r="NU21" s="30" t="str">
        <f ca="1"/>
        <v>Thibault</v>
      </c>
      <c r="NV21" s="30" t="e" vm="15">
        <f ca="1"/>
        <v>#VALUE!</v>
      </c>
      <c r="NW21" s="30" t="e">
        <f ca="1"/>
        <v>#VALUE!</v>
      </c>
      <c r="NX21" s="13"/>
      <c r="NY21" s="30">
        <f ca="1"/>
        <v>0</v>
      </c>
      <c r="OA21" s="27">
        <f ca="1"/>
        <v>19</v>
      </c>
      <c r="OB21" s="30" t="str">
        <f ca="1"/>
        <v>Thibault</v>
      </c>
      <c r="OC21" s="30">
        <f ca="1"/>
        <v>0</v>
      </c>
      <c r="OD21" s="13"/>
      <c r="OE21" s="13"/>
      <c r="OG21" s="29">
        <f ca="1"/>
        <v>19</v>
      </c>
      <c r="OH21" s="30" t="str">
        <f ca="1"/>
        <v>Thibault</v>
      </c>
      <c r="OI21" s="30" t="e" vm="15">
        <f ca="1"/>
        <v>#VALUE!</v>
      </c>
      <c r="OJ21" s="30" t="e">
        <f ca="1"/>
        <v>#VALUE!</v>
      </c>
      <c r="OK21" s="13"/>
      <c r="OL21" s="30">
        <f ca="1"/>
        <v>0</v>
      </c>
      <c r="ON21" s="27">
        <f ca="1"/>
        <v>19</v>
      </c>
      <c r="OO21" s="30" t="str">
        <f ca="1"/>
        <v>Thibault</v>
      </c>
      <c r="OP21" s="30">
        <f ca="1"/>
        <v>0</v>
      </c>
      <c r="OQ21" s="13"/>
      <c r="OR21" s="13"/>
      <c r="OT21" s="29">
        <f ca="1"/>
        <v>19</v>
      </c>
      <c r="OU21" s="30" t="str">
        <f ca="1"/>
        <v>Thibault</v>
      </c>
      <c r="OV21" s="30" t="e" vm="15">
        <f ca="1"/>
        <v>#VALUE!</v>
      </c>
      <c r="OW21" s="30" t="e">
        <f ca="1"/>
        <v>#VALUE!</v>
      </c>
      <c r="OX21" s="13"/>
      <c r="OY21" s="30">
        <f ca="1"/>
        <v>0</v>
      </c>
      <c r="PA21" s="27">
        <f ca="1"/>
        <v>19</v>
      </c>
      <c r="PB21" s="30" t="str">
        <f ca="1"/>
        <v>Thibault</v>
      </c>
      <c r="PC21" s="30">
        <f ca="1"/>
        <v>0</v>
      </c>
      <c r="PD21" s="13"/>
      <c r="PE21" s="13"/>
      <c r="PG21" s="29">
        <f ca="1"/>
        <v>19</v>
      </c>
      <c r="PH21" s="30" t="str">
        <f ca="1"/>
        <v>Thibault</v>
      </c>
      <c r="PI21" s="30" t="e" vm="15">
        <f ca="1"/>
        <v>#VALUE!</v>
      </c>
      <c r="PJ21" s="30" t="e">
        <f ca="1"/>
        <v>#VALUE!</v>
      </c>
      <c r="PK21" s="13"/>
      <c r="PL21" s="30">
        <f ca="1"/>
        <v>0</v>
      </c>
      <c r="PN21" s="27">
        <f ca="1"/>
        <v>19</v>
      </c>
      <c r="PO21" s="30" t="str">
        <f ca="1"/>
        <v>Thibault</v>
      </c>
      <c r="PP21" s="30">
        <f ca="1"/>
        <v>0</v>
      </c>
      <c r="PQ21" s="13"/>
      <c r="PR21" s="13"/>
      <c r="PT21" s="29">
        <f ca="1"/>
        <v>19</v>
      </c>
      <c r="PU21" s="30" t="str">
        <f ca="1"/>
        <v>Thibault</v>
      </c>
      <c r="PV21" s="30" t="e" vm="15">
        <f ca="1"/>
        <v>#VALUE!</v>
      </c>
      <c r="PW21" s="30" t="e">
        <f ca="1"/>
        <v>#VALUE!</v>
      </c>
      <c r="PX21" s="13"/>
      <c r="PY21" s="30">
        <f ca="1"/>
        <v>0</v>
      </c>
      <c r="QA21" s="27">
        <f ca="1"/>
        <v>19</v>
      </c>
      <c r="QB21" s="30" t="str">
        <f ca="1"/>
        <v>Thibault</v>
      </c>
      <c r="QC21" s="30">
        <f ca="1"/>
        <v>0</v>
      </c>
      <c r="QD21" s="13"/>
      <c r="QE21" s="13"/>
      <c r="QG21" s="29">
        <f ca="1"/>
        <v>19</v>
      </c>
      <c r="QH21" s="30" t="str">
        <f ca="1"/>
        <v>Thibault</v>
      </c>
      <c r="QI21" s="30" t="e" vm="15">
        <f ca="1"/>
        <v>#VALUE!</v>
      </c>
      <c r="QJ21" s="30" t="e">
        <f ca="1"/>
        <v>#VALUE!</v>
      </c>
      <c r="QK21" s="13"/>
      <c r="QL21" s="30">
        <f ca="1"/>
        <v>0</v>
      </c>
      <c r="QN21" s="27">
        <f ca="1"/>
        <v>19</v>
      </c>
      <c r="QO21" s="30" t="str">
        <f ca="1"/>
        <v>Thibault</v>
      </c>
      <c r="QP21" s="30">
        <f ca="1"/>
        <v>0</v>
      </c>
      <c r="QQ21" s="13"/>
      <c r="QR21" s="13"/>
      <c r="QT21" s="29">
        <f ca="1"/>
        <v>19</v>
      </c>
      <c r="QU21" s="30" t="str">
        <f ca="1"/>
        <v>Thibault</v>
      </c>
      <c r="QV21" s="30" t="e" vm="15">
        <f ca="1"/>
        <v>#VALUE!</v>
      </c>
      <c r="QW21" s="30" t="e">
        <f ca="1"/>
        <v>#VALUE!</v>
      </c>
      <c r="QX21" s="13"/>
      <c r="QY21" s="30">
        <f ca="1"/>
        <v>0</v>
      </c>
      <c r="RA21" s="27">
        <f ca="1"/>
        <v>19</v>
      </c>
      <c r="RB21" s="30" t="str">
        <f ca="1"/>
        <v>Thibault</v>
      </c>
      <c r="RC21" s="30">
        <f ca="1"/>
        <v>0</v>
      </c>
      <c r="RD21" s="13"/>
      <c r="RE21" s="13"/>
      <c r="RG21" s="29">
        <f ca="1"/>
        <v>19</v>
      </c>
      <c r="RH21" s="30" t="str">
        <f ca="1"/>
        <v>Thibault</v>
      </c>
      <c r="RI21" s="30" t="e" vm="15">
        <f ca="1"/>
        <v>#VALUE!</v>
      </c>
      <c r="RJ21" s="30" t="e">
        <f ca="1"/>
        <v>#VALUE!</v>
      </c>
      <c r="RK21" s="13"/>
      <c r="RL21" s="30">
        <f ca="1"/>
        <v>0</v>
      </c>
      <c r="RN21" s="27">
        <f ca="1"/>
        <v>19</v>
      </c>
      <c r="RO21" s="30" t="str">
        <f ca="1"/>
        <v>Thibault</v>
      </c>
      <c r="RP21" s="30">
        <f ca="1"/>
        <v>0</v>
      </c>
      <c r="RQ21" s="13"/>
      <c r="RR21" s="13"/>
      <c r="RT21" s="29">
        <f ca="1"/>
        <v>19</v>
      </c>
      <c r="RU21" s="30" t="str">
        <f ca="1"/>
        <v>Thibault</v>
      </c>
      <c r="RV21" s="30" t="e" vm="15">
        <f ca="1"/>
        <v>#VALUE!</v>
      </c>
      <c r="RW21" s="30" t="e">
        <f ca="1"/>
        <v>#VALUE!</v>
      </c>
      <c r="RX21" s="13"/>
      <c r="RY21" s="30">
        <f ca="1"/>
        <v>0</v>
      </c>
      <c r="SA21" s="27">
        <f ca="1"/>
        <v>19</v>
      </c>
      <c r="SB21" s="30" t="str">
        <f ca="1"/>
        <v>Thibault</v>
      </c>
      <c r="SC21" s="30">
        <f ca="1"/>
        <v>0</v>
      </c>
      <c r="SD21" s="13"/>
      <c r="SE21" s="13"/>
      <c r="SG21" s="29">
        <f ca="1"/>
        <v>19</v>
      </c>
      <c r="SH21" s="30" t="str">
        <f ca="1"/>
        <v>Thibault</v>
      </c>
      <c r="SI21" s="30" t="e" vm="15">
        <f ca="1"/>
        <v>#VALUE!</v>
      </c>
      <c r="SJ21" s="30" t="e">
        <f ca="1"/>
        <v>#VALUE!</v>
      </c>
      <c r="SK21" s="13"/>
      <c r="SL21" s="30">
        <f ca="1"/>
        <v>0</v>
      </c>
      <c r="SN21" s="27">
        <f ca="1"/>
        <v>19</v>
      </c>
      <c r="SO21" s="30" t="str">
        <f ca="1"/>
        <v>Thibault</v>
      </c>
      <c r="SP21" s="30">
        <f ca="1"/>
        <v>0</v>
      </c>
      <c r="SQ21" s="13"/>
      <c r="SR21" s="13"/>
      <c r="ST21" s="29">
        <f ca="1"/>
        <v>19</v>
      </c>
      <c r="SU21" s="30" t="str">
        <f ca="1"/>
        <v>Thibault</v>
      </c>
      <c r="SV21" s="30" t="e" vm="15">
        <f ca="1"/>
        <v>#VALUE!</v>
      </c>
      <c r="SW21" s="30" t="e">
        <f ca="1"/>
        <v>#VALUE!</v>
      </c>
      <c r="SX21" s="13"/>
      <c r="SY21" s="30">
        <f ca="1"/>
        <v>0</v>
      </c>
      <c r="TA21" s="29">
        <f ca="1"/>
        <v>19</v>
      </c>
      <c r="TB21" s="30" t="str">
        <f ca="1"/>
        <v>Thibault</v>
      </c>
      <c r="TC21" s="30" t="e" vm="15">
        <f ca="1"/>
        <v>#VALUE!</v>
      </c>
      <c r="TD21" s="30">
        <f ca="1"/>
        <v>140</v>
      </c>
    </row>
    <row r="22" spans="1:524" ht="20.100000000000001" customHeight="1">
      <c r="A22" s="27">
        <f ca="1"/>
        <v>20</v>
      </c>
      <c r="B22" s="30" t="str">
        <f ca="1"/>
        <v>Drew</v>
      </c>
      <c r="C22" s="30">
        <v>1</v>
      </c>
      <c r="D22" s="13"/>
      <c r="E22" s="57">
        <v>11967</v>
      </c>
      <c r="G22" s="29">
        <f ca="1"/>
        <v>20</v>
      </c>
      <c r="H22" s="30" t="str">
        <f ca="1"/>
        <v>Drew</v>
      </c>
      <c r="I22" s="30" t="e" vm="14">
        <f ca="1"/>
        <v>#VALUE!</v>
      </c>
      <c r="J22" s="55" t="e">
        <f ca="1"/>
        <v>#VALUE!</v>
      </c>
      <c r="K22" s="13"/>
      <c r="L22" s="30">
        <f ca="1"/>
        <v>1</v>
      </c>
      <c r="N22" s="27">
        <f ca="1"/>
        <v>20</v>
      </c>
      <c r="O22" s="30" t="str">
        <f ca="1"/>
        <v>Drew</v>
      </c>
      <c r="P22" s="30">
        <f ca="1"/>
        <v>1</v>
      </c>
      <c r="Q22" s="13"/>
      <c r="R22" s="13">
        <v>12230</v>
      </c>
      <c r="T22" s="29">
        <f ca="1"/>
        <v>20</v>
      </c>
      <c r="U22" s="30" t="str">
        <f ca="1"/>
        <v>Drew</v>
      </c>
      <c r="V22" s="30" t="e" vm="14">
        <f ca="1"/>
        <v>#VALUE!</v>
      </c>
      <c r="W22" s="30" t="e">
        <f ca="1"/>
        <v>#VALUE!</v>
      </c>
      <c r="X22" s="13"/>
      <c r="Y22" s="30">
        <f ca="1"/>
        <v>1</v>
      </c>
      <c r="AA22" s="27">
        <f ca="1"/>
        <v>20</v>
      </c>
      <c r="AB22" s="30" t="str">
        <f ca="1"/>
        <v>Drew</v>
      </c>
      <c r="AC22" s="30">
        <f ca="1"/>
        <v>1</v>
      </c>
      <c r="AD22" s="13"/>
      <c r="AE22" s="13">
        <v>13703</v>
      </c>
      <c r="AG22" s="29">
        <f ca="1"/>
        <v>20</v>
      </c>
      <c r="AH22" s="30" t="str">
        <f ca="1"/>
        <v>Julien</v>
      </c>
      <c r="AI22" s="30" t="e" vm="15">
        <f ca="1"/>
        <v>#VALUE!</v>
      </c>
      <c r="AJ22" s="30" t="e">
        <f ca="1"/>
        <v>#VALUE!</v>
      </c>
      <c r="AK22" s="13"/>
      <c r="AL22" s="30">
        <f ca="1"/>
        <v>1</v>
      </c>
      <c r="AN22" s="27">
        <f ca="1"/>
        <v>20</v>
      </c>
      <c r="AO22" s="30" t="str">
        <f ca="1"/>
        <v>Julien</v>
      </c>
      <c r="AP22" s="30">
        <f ca="1"/>
        <v>1</v>
      </c>
      <c r="AQ22" s="13"/>
      <c r="AR22" s="13">
        <v>10827</v>
      </c>
      <c r="AT22" s="29">
        <f ca="1"/>
        <v>20</v>
      </c>
      <c r="AU22" s="30" t="str">
        <f ca="1"/>
        <v>Julien</v>
      </c>
      <c r="AV22" s="30" t="e" vm="15">
        <f ca="1"/>
        <v>#VALUE!</v>
      </c>
      <c r="AW22" s="30" t="e">
        <f ca="1"/>
        <v>#VALUE!</v>
      </c>
      <c r="AX22" s="13"/>
      <c r="AY22" s="30">
        <f ca="1"/>
        <v>1</v>
      </c>
      <c r="BA22" s="27">
        <f ca="1"/>
        <v>20</v>
      </c>
      <c r="BB22" s="30" t="str">
        <f ca="1"/>
        <v>Julien</v>
      </c>
      <c r="BC22" s="30">
        <f ca="1"/>
        <v>1</v>
      </c>
      <c r="BD22" s="13"/>
      <c r="BE22" s="13">
        <v>13233</v>
      </c>
      <c r="BG22" s="29">
        <f ca="1"/>
        <v>20</v>
      </c>
      <c r="BH22" s="30" t="str">
        <f ca="1"/>
        <v>Sjors</v>
      </c>
      <c r="BI22" s="30" t="e" vm="12">
        <f ca="1"/>
        <v>#VALUE!</v>
      </c>
      <c r="BJ22" s="30" t="e">
        <f ca="1"/>
        <v>#VALUE!</v>
      </c>
      <c r="BK22" s="13">
        <v>1</v>
      </c>
      <c r="BL22" s="30">
        <f ca="1"/>
        <v>0</v>
      </c>
      <c r="BN22" s="27">
        <f ca="1"/>
        <v>20</v>
      </c>
      <c r="BO22" s="30" t="str">
        <f ca="1"/>
        <v>Sjors</v>
      </c>
      <c r="BP22" s="30">
        <f ca="1"/>
        <v>0</v>
      </c>
      <c r="BQ22" s="13"/>
      <c r="BR22" s="13"/>
      <c r="BS22" s="1"/>
      <c r="BT22" s="29">
        <f ca="1"/>
        <v>20</v>
      </c>
      <c r="BU22" s="30" t="str">
        <f ca="1"/>
        <v>Sjors</v>
      </c>
      <c r="BV22" s="30" t="e" vm="12">
        <f ca="1"/>
        <v>#VALUE!</v>
      </c>
      <c r="BW22" s="30" t="e">
        <f ca="1"/>
        <v>#VALUE!</v>
      </c>
      <c r="BX22" s="13"/>
      <c r="BY22" s="30">
        <f ca="1"/>
        <v>0</v>
      </c>
      <c r="CA22" s="27">
        <f ca="1"/>
        <v>20</v>
      </c>
      <c r="CB22" s="30" t="str">
        <f ca="1"/>
        <v>Sjors</v>
      </c>
      <c r="CC22" s="30">
        <f ca="1"/>
        <v>0</v>
      </c>
      <c r="CD22" s="13"/>
      <c r="CE22" s="13"/>
      <c r="CG22" s="29">
        <f ca="1"/>
        <v>20</v>
      </c>
      <c r="CH22" s="30" t="str">
        <f ca="1"/>
        <v>Sjors</v>
      </c>
      <c r="CI22" s="30" t="e" vm="12">
        <f ca="1"/>
        <v>#VALUE!</v>
      </c>
      <c r="CJ22" s="30" t="e">
        <f ca="1"/>
        <v>#VALUE!</v>
      </c>
      <c r="CK22" s="13"/>
      <c r="CL22" s="30">
        <f ca="1"/>
        <v>0</v>
      </c>
      <c r="CN22" s="27">
        <f ca="1"/>
        <v>20</v>
      </c>
      <c r="CO22" s="30" t="str">
        <f ca="1"/>
        <v>Sjors</v>
      </c>
      <c r="CP22" s="30">
        <f ca="1"/>
        <v>0</v>
      </c>
      <c r="CQ22" s="13"/>
      <c r="CR22" s="13"/>
      <c r="CT22" s="29">
        <f ca="1"/>
        <v>20</v>
      </c>
      <c r="CU22" s="30" t="str">
        <f ca="1"/>
        <v>Sjors</v>
      </c>
      <c r="CV22" s="30" t="e" vm="12">
        <f ca="1"/>
        <v>#VALUE!</v>
      </c>
      <c r="CW22" s="30" t="e">
        <f ca="1"/>
        <v>#VALUE!</v>
      </c>
      <c r="CX22" s="13"/>
      <c r="CY22" s="30">
        <f ca="1"/>
        <v>0</v>
      </c>
      <c r="DA22" s="27">
        <f ca="1"/>
        <v>20</v>
      </c>
      <c r="DB22" s="30" t="str">
        <f ca="1"/>
        <v>Sjors</v>
      </c>
      <c r="DC22" s="30">
        <f ca="1"/>
        <v>0</v>
      </c>
      <c r="DD22" s="13"/>
      <c r="DE22" s="13"/>
      <c r="DG22" s="29">
        <f ca="1"/>
        <v>20</v>
      </c>
      <c r="DH22" s="30" t="str">
        <f ca="1"/>
        <v>Sjors</v>
      </c>
      <c r="DI22" s="30" t="e" vm="12">
        <f ca="1"/>
        <v>#VALUE!</v>
      </c>
      <c r="DJ22" s="30" t="e">
        <f ca="1"/>
        <v>#VALUE!</v>
      </c>
      <c r="DK22" s="13"/>
      <c r="DL22" s="30">
        <f ca="1"/>
        <v>0</v>
      </c>
      <c r="DN22" s="27">
        <f ca="1"/>
        <v>20</v>
      </c>
      <c r="DO22" s="30" t="str">
        <f ca="1"/>
        <v>Sjors</v>
      </c>
      <c r="DP22" s="30">
        <f ca="1"/>
        <v>0</v>
      </c>
      <c r="DQ22" s="13"/>
      <c r="DR22" s="13"/>
      <c r="DT22" s="29">
        <f ca="1"/>
        <v>20</v>
      </c>
      <c r="DU22" s="30" t="str">
        <f ca="1"/>
        <v>Sjors</v>
      </c>
      <c r="DV22" s="30" t="e" vm="12">
        <f ca="1"/>
        <v>#VALUE!</v>
      </c>
      <c r="DW22" s="30" t="e">
        <f ca="1"/>
        <v>#VALUE!</v>
      </c>
      <c r="DX22" s="13"/>
      <c r="DY22" s="30">
        <f ca="1"/>
        <v>0</v>
      </c>
      <c r="EA22" s="27">
        <f ca="1"/>
        <v>20</v>
      </c>
      <c r="EB22" s="30" t="str">
        <f ca="1"/>
        <v>Sjors</v>
      </c>
      <c r="EC22" s="30">
        <f ca="1"/>
        <v>0</v>
      </c>
      <c r="ED22" s="13"/>
      <c r="EE22" s="13"/>
      <c r="EG22" s="29">
        <f ca="1"/>
        <v>20</v>
      </c>
      <c r="EH22" s="30" t="str">
        <f ca="1"/>
        <v>Sjors</v>
      </c>
      <c r="EI22" s="30" t="e" vm="12">
        <f ca="1"/>
        <v>#VALUE!</v>
      </c>
      <c r="EJ22" s="30" t="e">
        <f ca="1"/>
        <v>#VALUE!</v>
      </c>
      <c r="EK22" s="13"/>
      <c r="EL22" s="30">
        <f ca="1"/>
        <v>0</v>
      </c>
      <c r="EN22" s="27">
        <f ca="1"/>
        <v>20</v>
      </c>
      <c r="EO22" s="30" t="str">
        <f ca="1"/>
        <v>Sjors</v>
      </c>
      <c r="EP22" s="30">
        <f ca="1"/>
        <v>0</v>
      </c>
      <c r="EQ22" s="13"/>
      <c r="ER22" s="13"/>
      <c r="ET22" s="29">
        <f ca="1"/>
        <v>20</v>
      </c>
      <c r="EU22" s="30" t="str">
        <f ca="1"/>
        <v>Sjors</v>
      </c>
      <c r="EV22" s="30" t="e" vm="12">
        <f ca="1"/>
        <v>#VALUE!</v>
      </c>
      <c r="EW22" s="30" t="e">
        <f ca="1"/>
        <v>#VALUE!</v>
      </c>
      <c r="EX22" s="13"/>
      <c r="EY22" s="30">
        <f ca="1"/>
        <v>0</v>
      </c>
      <c r="FA22" s="27">
        <f ca="1"/>
        <v>20</v>
      </c>
      <c r="FB22" s="30" t="str">
        <f ca="1"/>
        <v>Sjors</v>
      </c>
      <c r="FC22" s="30">
        <f ca="1"/>
        <v>0</v>
      </c>
      <c r="FD22" s="13"/>
      <c r="FE22" s="13"/>
      <c r="FG22" s="29">
        <f ca="1"/>
        <v>20</v>
      </c>
      <c r="FH22" s="30" t="str">
        <f ca="1"/>
        <v>Sjors</v>
      </c>
      <c r="FI22" s="30" t="e" vm="12">
        <f ca="1"/>
        <v>#VALUE!</v>
      </c>
      <c r="FJ22" s="30" t="e">
        <f ca="1"/>
        <v>#VALUE!</v>
      </c>
      <c r="FK22" s="13"/>
      <c r="FL22" s="30">
        <f ca="1"/>
        <v>0</v>
      </c>
      <c r="FN22" s="27">
        <f ca="1"/>
        <v>20</v>
      </c>
      <c r="FO22" s="30" t="str">
        <f ca="1"/>
        <v>Sjors</v>
      </c>
      <c r="FP22" s="30">
        <f ca="1"/>
        <v>0</v>
      </c>
      <c r="FQ22" s="13"/>
      <c r="FR22" s="13"/>
      <c r="FT22" s="29">
        <f ca="1"/>
        <v>20</v>
      </c>
      <c r="FU22" s="30" t="str">
        <f ca="1"/>
        <v>Sjors</v>
      </c>
      <c r="FV22" s="30" t="e" vm="12">
        <f ca="1"/>
        <v>#VALUE!</v>
      </c>
      <c r="FW22" s="30" t="e">
        <f ca="1"/>
        <v>#VALUE!</v>
      </c>
      <c r="FX22" s="13"/>
      <c r="FY22" s="30">
        <f ca="1"/>
        <v>0</v>
      </c>
      <c r="GA22" s="27">
        <f ca="1"/>
        <v>20</v>
      </c>
      <c r="GB22" s="30" t="str">
        <f ca="1"/>
        <v>Sjors</v>
      </c>
      <c r="GC22" s="30">
        <f ca="1"/>
        <v>0</v>
      </c>
      <c r="GD22" s="13"/>
      <c r="GE22" s="13"/>
      <c r="GG22" s="29">
        <f ca="1"/>
        <v>20</v>
      </c>
      <c r="GH22" s="30" t="str">
        <f ca="1"/>
        <v>Sjors</v>
      </c>
      <c r="GI22" s="30" t="e" vm="12">
        <f ca="1"/>
        <v>#VALUE!</v>
      </c>
      <c r="GJ22" s="30" t="e">
        <f ca="1"/>
        <v>#VALUE!</v>
      </c>
      <c r="GK22" s="13"/>
      <c r="GL22" s="30">
        <f ca="1"/>
        <v>0</v>
      </c>
      <c r="GN22" s="27">
        <f ca="1"/>
        <v>20</v>
      </c>
      <c r="GO22" s="30" t="str">
        <f ca="1"/>
        <v>Sjors</v>
      </c>
      <c r="GP22" s="30">
        <f ca="1"/>
        <v>0</v>
      </c>
      <c r="GQ22" s="13"/>
      <c r="GR22" s="13"/>
      <c r="GT22" s="29">
        <f ca="1"/>
        <v>20</v>
      </c>
      <c r="GU22" s="30" t="str">
        <f ca="1"/>
        <v>Sjors</v>
      </c>
      <c r="GV22" s="30" t="e" vm="12">
        <f ca="1"/>
        <v>#VALUE!</v>
      </c>
      <c r="GW22" s="30" t="e">
        <f ca="1"/>
        <v>#VALUE!</v>
      </c>
      <c r="GX22" s="13"/>
      <c r="GY22" s="30">
        <f ca="1"/>
        <v>0</v>
      </c>
      <c r="HA22" s="27">
        <f ca="1"/>
        <v>20</v>
      </c>
      <c r="HB22" s="30" t="str">
        <f ca="1"/>
        <v>Sjors</v>
      </c>
      <c r="HC22" s="30">
        <f ca="1"/>
        <v>0</v>
      </c>
      <c r="HD22" s="13"/>
      <c r="HE22" s="13"/>
      <c r="HF22" s="1"/>
      <c r="HG22" s="29">
        <f ca="1"/>
        <v>20</v>
      </c>
      <c r="HH22" s="30" t="str">
        <f ca="1"/>
        <v>Sjors</v>
      </c>
      <c r="HI22" s="30" t="e" vm="12">
        <f ca="1"/>
        <v>#VALUE!</v>
      </c>
      <c r="HJ22" s="30" t="e">
        <f ca="1"/>
        <v>#VALUE!</v>
      </c>
      <c r="HK22" s="13"/>
      <c r="HL22" s="30">
        <f ca="1"/>
        <v>0</v>
      </c>
      <c r="HN22" s="27">
        <f ca="1"/>
        <v>20</v>
      </c>
      <c r="HO22" s="30" t="str">
        <f ca="1"/>
        <v>Sjors</v>
      </c>
      <c r="HP22" s="30">
        <f ca="1"/>
        <v>0</v>
      </c>
      <c r="HQ22" s="13"/>
      <c r="HR22" s="13"/>
      <c r="HT22" s="29">
        <f ca="1"/>
        <v>20</v>
      </c>
      <c r="HU22" s="30" t="str">
        <f ca="1"/>
        <v>Sjors</v>
      </c>
      <c r="HV22" s="30" t="e" vm="12">
        <f ca="1"/>
        <v>#VALUE!</v>
      </c>
      <c r="HW22" s="30" t="e">
        <f ca="1"/>
        <v>#VALUE!</v>
      </c>
      <c r="HX22" s="13"/>
      <c r="HY22" s="30">
        <f ca="1"/>
        <v>0</v>
      </c>
      <c r="IA22" s="27">
        <f ca="1"/>
        <v>20</v>
      </c>
      <c r="IB22" s="30" t="str">
        <f ca="1"/>
        <v>Sjors</v>
      </c>
      <c r="IC22" s="30">
        <f ca="1"/>
        <v>0</v>
      </c>
      <c r="ID22" s="13"/>
      <c r="IE22" s="13"/>
      <c r="IG22" s="29">
        <f ca="1"/>
        <v>20</v>
      </c>
      <c r="IH22" s="30" t="str">
        <f ca="1"/>
        <v>Sjors</v>
      </c>
      <c r="II22" s="30" t="e" vm="12">
        <f ca="1"/>
        <v>#VALUE!</v>
      </c>
      <c r="IJ22" s="30" t="e">
        <f ca="1"/>
        <v>#VALUE!</v>
      </c>
      <c r="IK22" s="13"/>
      <c r="IL22" s="30">
        <f ca="1"/>
        <v>0</v>
      </c>
      <c r="IN22" s="27">
        <f ca="1"/>
        <v>20</v>
      </c>
      <c r="IO22" s="30" t="str">
        <f ca="1"/>
        <v>Sjors</v>
      </c>
      <c r="IP22" s="30">
        <f ca="1"/>
        <v>0</v>
      </c>
      <c r="IQ22" s="13"/>
      <c r="IR22" s="13"/>
      <c r="IT22" s="29">
        <f ca="1"/>
        <v>20</v>
      </c>
      <c r="IU22" s="30" t="str">
        <f ca="1"/>
        <v>Sjors</v>
      </c>
      <c r="IV22" s="30" t="e" vm="12">
        <f ca="1"/>
        <v>#VALUE!</v>
      </c>
      <c r="IW22" s="30" t="e">
        <f ca="1"/>
        <v>#VALUE!</v>
      </c>
      <c r="IX22" s="13"/>
      <c r="IY22" s="30">
        <f ca="1"/>
        <v>0</v>
      </c>
      <c r="JA22" s="27">
        <f ca="1"/>
        <v>20</v>
      </c>
      <c r="JB22" s="30" t="str">
        <f ca="1"/>
        <v>Sjors</v>
      </c>
      <c r="JC22" s="30">
        <f ca="1"/>
        <v>0</v>
      </c>
      <c r="JD22" s="13"/>
      <c r="JE22" s="13"/>
      <c r="JG22" s="29">
        <f ca="1"/>
        <v>20</v>
      </c>
      <c r="JH22" s="30" t="str">
        <f ca="1"/>
        <v>Sjors</v>
      </c>
      <c r="JI22" s="30" t="e" vm="12">
        <f ca="1"/>
        <v>#VALUE!</v>
      </c>
      <c r="JJ22" s="30" t="e">
        <f ca="1"/>
        <v>#VALUE!</v>
      </c>
      <c r="JK22" s="13"/>
      <c r="JL22" s="30">
        <f ca="1"/>
        <v>0</v>
      </c>
      <c r="JN22" s="27">
        <f ca="1"/>
        <v>20</v>
      </c>
      <c r="JO22" s="30" t="str">
        <f ca="1"/>
        <v>Sjors</v>
      </c>
      <c r="JP22" s="30">
        <f ca="1"/>
        <v>0</v>
      </c>
      <c r="JQ22" s="13"/>
      <c r="JR22" s="13"/>
      <c r="JT22" s="29">
        <f ca="1"/>
        <v>20</v>
      </c>
      <c r="JU22" s="30" t="str">
        <f ca="1"/>
        <v>Sjors</v>
      </c>
      <c r="JV22" s="30" t="e" vm="12">
        <f ca="1"/>
        <v>#VALUE!</v>
      </c>
      <c r="JW22" s="30" t="e">
        <f ca="1"/>
        <v>#VALUE!</v>
      </c>
      <c r="JX22" s="13"/>
      <c r="JY22" s="30">
        <f ca="1"/>
        <v>0</v>
      </c>
      <c r="KA22" s="27">
        <f ca="1"/>
        <v>20</v>
      </c>
      <c r="KB22" s="30" t="str">
        <f ca="1"/>
        <v>Sjors</v>
      </c>
      <c r="KC22" s="30">
        <f ca="1"/>
        <v>0</v>
      </c>
      <c r="KD22" s="13"/>
      <c r="KE22" s="13"/>
      <c r="KG22" s="29">
        <f ca="1"/>
        <v>20</v>
      </c>
      <c r="KH22" s="30" t="str">
        <f ca="1"/>
        <v>Sjors</v>
      </c>
      <c r="KI22" s="30" t="e" vm="12">
        <f ca="1"/>
        <v>#VALUE!</v>
      </c>
      <c r="KJ22" s="30" t="e">
        <f ca="1"/>
        <v>#VALUE!</v>
      </c>
      <c r="KK22" s="13"/>
      <c r="KL22" s="30">
        <f ca="1"/>
        <v>0</v>
      </c>
      <c r="KN22" s="27">
        <f ca="1"/>
        <v>20</v>
      </c>
      <c r="KO22" s="30" t="str">
        <f ca="1"/>
        <v>Sjors</v>
      </c>
      <c r="KP22" s="30">
        <f ca="1"/>
        <v>0</v>
      </c>
      <c r="KQ22" s="13"/>
      <c r="KR22" s="13"/>
      <c r="KT22" s="29">
        <f ca="1"/>
        <v>20</v>
      </c>
      <c r="KU22" s="30" t="str">
        <f ca="1"/>
        <v>Sjors</v>
      </c>
      <c r="KV22" s="30" t="e" vm="12">
        <f ca="1"/>
        <v>#VALUE!</v>
      </c>
      <c r="KW22" s="30" t="e">
        <f ca="1"/>
        <v>#VALUE!</v>
      </c>
      <c r="KX22" s="13"/>
      <c r="KY22" s="30">
        <f ca="1"/>
        <v>0</v>
      </c>
      <c r="LA22" s="27">
        <f ca="1"/>
        <v>20</v>
      </c>
      <c r="LB22" s="30" t="str">
        <f ca="1"/>
        <v>Sjors</v>
      </c>
      <c r="LC22" s="30">
        <f ca="1"/>
        <v>0</v>
      </c>
      <c r="LD22" s="13"/>
      <c r="LE22" s="13"/>
      <c r="LG22" s="29">
        <f ca="1"/>
        <v>20</v>
      </c>
      <c r="LH22" s="30" t="str">
        <f ca="1"/>
        <v>Sjors</v>
      </c>
      <c r="LI22" s="30" t="e" vm="12">
        <f ca="1"/>
        <v>#VALUE!</v>
      </c>
      <c r="LJ22" s="30" t="e">
        <f ca="1"/>
        <v>#VALUE!</v>
      </c>
      <c r="LK22" s="13"/>
      <c r="LL22" s="30">
        <f ca="1"/>
        <v>0</v>
      </c>
      <c r="LN22" s="27">
        <f ca="1"/>
        <v>20</v>
      </c>
      <c r="LO22" s="30" t="str">
        <f ca="1"/>
        <v>Sjors</v>
      </c>
      <c r="LP22" s="30">
        <f ca="1"/>
        <v>0</v>
      </c>
      <c r="LQ22" s="13"/>
      <c r="LR22" s="13"/>
      <c r="LT22" s="29">
        <f ca="1"/>
        <v>20</v>
      </c>
      <c r="LU22" s="30" t="str">
        <f ca="1"/>
        <v>Sjors</v>
      </c>
      <c r="LV22" s="30" t="e" vm="12">
        <f ca="1"/>
        <v>#VALUE!</v>
      </c>
      <c r="LW22" s="30" t="e">
        <f ca="1"/>
        <v>#VALUE!</v>
      </c>
      <c r="LX22" s="13"/>
      <c r="LY22" s="30">
        <f ca="1"/>
        <v>0</v>
      </c>
      <c r="MA22" s="27">
        <f ca="1"/>
        <v>20</v>
      </c>
      <c r="MB22" s="30" t="str">
        <f ca="1"/>
        <v>Sjors</v>
      </c>
      <c r="MC22" s="30">
        <f ca="1"/>
        <v>0</v>
      </c>
      <c r="MD22" s="13"/>
      <c r="ME22" s="13"/>
      <c r="MG22" s="29">
        <f ca="1"/>
        <v>20</v>
      </c>
      <c r="MH22" s="30" t="str">
        <f ca="1"/>
        <v>Sjors</v>
      </c>
      <c r="MI22" s="30" t="e" vm="12">
        <f ca="1"/>
        <v>#VALUE!</v>
      </c>
      <c r="MJ22" s="30" t="e">
        <f ca="1"/>
        <v>#VALUE!</v>
      </c>
      <c r="MK22" s="13"/>
      <c r="ML22" s="30">
        <f ca="1"/>
        <v>0</v>
      </c>
      <c r="MN22" s="27">
        <f ca="1"/>
        <v>20</v>
      </c>
      <c r="MO22" s="30" t="str">
        <f ca="1"/>
        <v>Sjors</v>
      </c>
      <c r="MP22" s="30">
        <f ca="1"/>
        <v>0</v>
      </c>
      <c r="MQ22" s="13"/>
      <c r="MR22" s="13"/>
      <c r="MS22" s="1"/>
      <c r="MT22" s="29">
        <f ca="1"/>
        <v>20</v>
      </c>
      <c r="MU22" s="30" t="str">
        <f ca="1"/>
        <v>Sjors</v>
      </c>
      <c r="MV22" s="30" t="e" vm="12">
        <f ca="1"/>
        <v>#VALUE!</v>
      </c>
      <c r="MW22" s="30" t="e">
        <f ca="1"/>
        <v>#VALUE!</v>
      </c>
      <c r="MX22" s="13"/>
      <c r="MY22" s="30">
        <f ca="1"/>
        <v>0</v>
      </c>
      <c r="NA22" s="27">
        <f ca="1"/>
        <v>20</v>
      </c>
      <c r="NB22" s="30" t="str">
        <f ca="1"/>
        <v>Sjors</v>
      </c>
      <c r="NC22" s="30">
        <f ca="1"/>
        <v>0</v>
      </c>
      <c r="ND22" s="13"/>
      <c r="NE22" s="13"/>
      <c r="NG22" s="29">
        <f ca="1"/>
        <v>20</v>
      </c>
      <c r="NH22" s="30" t="str">
        <f ca="1"/>
        <v>Sjors</v>
      </c>
      <c r="NI22" s="30" t="e" vm="12">
        <f ca="1"/>
        <v>#VALUE!</v>
      </c>
      <c r="NJ22" s="30" t="e">
        <f ca="1"/>
        <v>#VALUE!</v>
      </c>
      <c r="NK22" s="13"/>
      <c r="NL22" s="30">
        <f ca="1"/>
        <v>0</v>
      </c>
      <c r="NN22" s="27">
        <f ca="1"/>
        <v>20</v>
      </c>
      <c r="NO22" s="30" t="str">
        <f ca="1"/>
        <v>Sjors</v>
      </c>
      <c r="NP22" s="30">
        <f ca="1"/>
        <v>0</v>
      </c>
      <c r="NQ22" s="13"/>
      <c r="NR22" s="13"/>
      <c r="NT22" s="29">
        <f ca="1"/>
        <v>20</v>
      </c>
      <c r="NU22" s="30" t="str">
        <f ca="1"/>
        <v>Sjors</v>
      </c>
      <c r="NV22" s="30" t="e" vm="12">
        <f ca="1"/>
        <v>#VALUE!</v>
      </c>
      <c r="NW22" s="30" t="e">
        <f ca="1"/>
        <v>#VALUE!</v>
      </c>
      <c r="NX22" s="13"/>
      <c r="NY22" s="30">
        <f ca="1"/>
        <v>0</v>
      </c>
      <c r="OA22" s="27">
        <f ca="1"/>
        <v>20</v>
      </c>
      <c r="OB22" s="30" t="str">
        <f ca="1"/>
        <v>Sjors</v>
      </c>
      <c r="OC22" s="30">
        <f ca="1"/>
        <v>0</v>
      </c>
      <c r="OD22" s="13"/>
      <c r="OE22" s="13"/>
      <c r="OG22" s="29">
        <f ca="1"/>
        <v>20</v>
      </c>
      <c r="OH22" s="30" t="str">
        <f ca="1"/>
        <v>Sjors</v>
      </c>
      <c r="OI22" s="30" t="e" vm="12">
        <f ca="1"/>
        <v>#VALUE!</v>
      </c>
      <c r="OJ22" s="30" t="e">
        <f ca="1"/>
        <v>#VALUE!</v>
      </c>
      <c r="OK22" s="13"/>
      <c r="OL22" s="30">
        <f ca="1"/>
        <v>0</v>
      </c>
      <c r="ON22" s="27">
        <f ca="1"/>
        <v>20</v>
      </c>
      <c r="OO22" s="30" t="str">
        <f ca="1"/>
        <v>Sjors</v>
      </c>
      <c r="OP22" s="30">
        <f ca="1"/>
        <v>0</v>
      </c>
      <c r="OQ22" s="13"/>
      <c r="OR22" s="13"/>
      <c r="OT22" s="29">
        <f ca="1"/>
        <v>20</v>
      </c>
      <c r="OU22" s="30" t="str">
        <f ca="1"/>
        <v>Sjors</v>
      </c>
      <c r="OV22" s="30" t="e" vm="12">
        <f ca="1"/>
        <v>#VALUE!</v>
      </c>
      <c r="OW22" s="30" t="e">
        <f ca="1"/>
        <v>#VALUE!</v>
      </c>
      <c r="OX22" s="13"/>
      <c r="OY22" s="30">
        <f ca="1"/>
        <v>0</v>
      </c>
      <c r="PA22" s="27">
        <f ca="1"/>
        <v>20</v>
      </c>
      <c r="PB22" s="30" t="str">
        <f ca="1"/>
        <v>Sjors</v>
      </c>
      <c r="PC22" s="30">
        <f ca="1"/>
        <v>0</v>
      </c>
      <c r="PD22" s="13"/>
      <c r="PE22" s="13"/>
      <c r="PG22" s="29">
        <f ca="1"/>
        <v>20</v>
      </c>
      <c r="PH22" s="30" t="str">
        <f ca="1"/>
        <v>Sjors</v>
      </c>
      <c r="PI22" s="30" t="e" vm="12">
        <f ca="1"/>
        <v>#VALUE!</v>
      </c>
      <c r="PJ22" s="30" t="e">
        <f ca="1"/>
        <v>#VALUE!</v>
      </c>
      <c r="PK22" s="13"/>
      <c r="PL22" s="30">
        <f ca="1"/>
        <v>0</v>
      </c>
      <c r="PN22" s="27">
        <f ca="1"/>
        <v>20</v>
      </c>
      <c r="PO22" s="30" t="str">
        <f ca="1"/>
        <v>Sjors</v>
      </c>
      <c r="PP22" s="30">
        <f ca="1"/>
        <v>0</v>
      </c>
      <c r="PQ22" s="13"/>
      <c r="PR22" s="13"/>
      <c r="PT22" s="29">
        <f ca="1"/>
        <v>20</v>
      </c>
      <c r="PU22" s="30" t="str">
        <f ca="1"/>
        <v>Sjors</v>
      </c>
      <c r="PV22" s="30" t="e" vm="12">
        <f ca="1"/>
        <v>#VALUE!</v>
      </c>
      <c r="PW22" s="30" t="e">
        <f ca="1"/>
        <v>#VALUE!</v>
      </c>
      <c r="PX22" s="13"/>
      <c r="PY22" s="30">
        <f ca="1"/>
        <v>0</v>
      </c>
      <c r="QA22" s="27">
        <f ca="1"/>
        <v>20</v>
      </c>
      <c r="QB22" s="30" t="str">
        <f ca="1"/>
        <v>Sjors</v>
      </c>
      <c r="QC22" s="30">
        <f ca="1"/>
        <v>0</v>
      </c>
      <c r="QD22" s="13"/>
      <c r="QE22" s="13"/>
      <c r="QG22" s="29">
        <f ca="1"/>
        <v>20</v>
      </c>
      <c r="QH22" s="30" t="str">
        <f ca="1"/>
        <v>Sjors</v>
      </c>
      <c r="QI22" s="30" t="e" vm="12">
        <f ca="1"/>
        <v>#VALUE!</v>
      </c>
      <c r="QJ22" s="30" t="e">
        <f ca="1"/>
        <v>#VALUE!</v>
      </c>
      <c r="QK22" s="13"/>
      <c r="QL22" s="30">
        <f ca="1"/>
        <v>0</v>
      </c>
      <c r="QN22" s="27">
        <f ca="1"/>
        <v>20</v>
      </c>
      <c r="QO22" s="30" t="str">
        <f ca="1"/>
        <v>Sjors</v>
      </c>
      <c r="QP22" s="30">
        <f ca="1"/>
        <v>0</v>
      </c>
      <c r="QQ22" s="13"/>
      <c r="QR22" s="13"/>
      <c r="QT22" s="29">
        <f ca="1"/>
        <v>20</v>
      </c>
      <c r="QU22" s="30" t="str">
        <f ca="1"/>
        <v>Sjors</v>
      </c>
      <c r="QV22" s="30" t="e" vm="12">
        <f ca="1"/>
        <v>#VALUE!</v>
      </c>
      <c r="QW22" s="30" t="e">
        <f ca="1"/>
        <v>#VALUE!</v>
      </c>
      <c r="QX22" s="13"/>
      <c r="QY22" s="30">
        <f ca="1"/>
        <v>0</v>
      </c>
      <c r="RA22" s="27">
        <f ca="1"/>
        <v>20</v>
      </c>
      <c r="RB22" s="30" t="str">
        <f ca="1"/>
        <v>Sjors</v>
      </c>
      <c r="RC22" s="30">
        <f ca="1"/>
        <v>0</v>
      </c>
      <c r="RD22" s="13"/>
      <c r="RE22" s="13"/>
      <c r="RG22" s="29">
        <f ca="1"/>
        <v>20</v>
      </c>
      <c r="RH22" s="30" t="str">
        <f ca="1"/>
        <v>Sjors</v>
      </c>
      <c r="RI22" s="30" t="e" vm="12">
        <f ca="1"/>
        <v>#VALUE!</v>
      </c>
      <c r="RJ22" s="30" t="e">
        <f ca="1"/>
        <v>#VALUE!</v>
      </c>
      <c r="RK22" s="13"/>
      <c r="RL22" s="30">
        <f ca="1"/>
        <v>0</v>
      </c>
      <c r="RN22" s="27">
        <f ca="1"/>
        <v>20</v>
      </c>
      <c r="RO22" s="30" t="str">
        <f ca="1"/>
        <v>Sjors</v>
      </c>
      <c r="RP22" s="30">
        <f ca="1"/>
        <v>0</v>
      </c>
      <c r="RQ22" s="13"/>
      <c r="RR22" s="13"/>
      <c r="RT22" s="29">
        <f ca="1"/>
        <v>20</v>
      </c>
      <c r="RU22" s="30" t="str">
        <f ca="1"/>
        <v>Sjors</v>
      </c>
      <c r="RV22" s="30" t="e" vm="12">
        <f ca="1"/>
        <v>#VALUE!</v>
      </c>
      <c r="RW22" s="30" t="e">
        <f ca="1"/>
        <v>#VALUE!</v>
      </c>
      <c r="RX22" s="13"/>
      <c r="RY22" s="30">
        <f ca="1"/>
        <v>0</v>
      </c>
      <c r="SA22" s="27">
        <f ca="1"/>
        <v>20</v>
      </c>
      <c r="SB22" s="30" t="str">
        <f ca="1"/>
        <v>Sjors</v>
      </c>
      <c r="SC22" s="30">
        <f ca="1"/>
        <v>0</v>
      </c>
      <c r="SD22" s="13"/>
      <c r="SE22" s="13"/>
      <c r="SG22" s="29">
        <f ca="1"/>
        <v>20</v>
      </c>
      <c r="SH22" s="30" t="str">
        <f ca="1"/>
        <v>Sjors</v>
      </c>
      <c r="SI22" s="30" t="e" vm="12">
        <f ca="1"/>
        <v>#VALUE!</v>
      </c>
      <c r="SJ22" s="30" t="e">
        <f ca="1"/>
        <v>#VALUE!</v>
      </c>
      <c r="SK22" s="13"/>
      <c r="SL22" s="30">
        <f ca="1"/>
        <v>0</v>
      </c>
      <c r="SN22" s="27">
        <f ca="1"/>
        <v>20</v>
      </c>
      <c r="SO22" s="30" t="str">
        <f ca="1"/>
        <v>Sjors</v>
      </c>
      <c r="SP22" s="30">
        <f ca="1"/>
        <v>0</v>
      </c>
      <c r="SQ22" s="13"/>
      <c r="SR22" s="13"/>
      <c r="ST22" s="29">
        <f ca="1"/>
        <v>20</v>
      </c>
      <c r="SU22" s="30" t="str">
        <f ca="1"/>
        <v>Sjors</v>
      </c>
      <c r="SV22" s="30" t="e" vm="12">
        <f ca="1"/>
        <v>#VALUE!</v>
      </c>
      <c r="SW22" s="30" t="e">
        <f ca="1"/>
        <v>#VALUE!</v>
      </c>
      <c r="SX22" s="13"/>
      <c r="SY22" s="30">
        <f ca="1"/>
        <v>0</v>
      </c>
      <c r="TA22" s="29">
        <f ca="1"/>
        <v>20</v>
      </c>
      <c r="TB22" s="30" t="str">
        <f ca="1"/>
        <v>Sjors</v>
      </c>
      <c r="TC22" s="30" t="e" vm="12">
        <f ca="1"/>
        <v>#VALUE!</v>
      </c>
      <c r="TD22" s="30">
        <f ca="1"/>
        <v>130</v>
      </c>
    </row>
    <row r="23" spans="1:524" ht="20.100000000000001" customHeight="1">
      <c r="A23" s="27">
        <f ca="1"/>
        <v>21</v>
      </c>
      <c r="B23" s="30" t="str">
        <f ca="1"/>
        <v>Sjors</v>
      </c>
      <c r="C23" s="30">
        <v>1</v>
      </c>
      <c r="D23" s="13"/>
      <c r="E23" s="57">
        <v>12149</v>
      </c>
      <c r="G23" s="29">
        <f ca="1"/>
        <v>21</v>
      </c>
      <c r="H23" s="30" t="str">
        <f ca="1"/>
        <v>Zarkov</v>
      </c>
      <c r="I23" s="30" t="e" vm="13">
        <f ca="1"/>
        <v>#VALUE!</v>
      </c>
      <c r="J23" s="55" t="e">
        <f ca="1"/>
        <v>#VALUE!</v>
      </c>
      <c r="K23" s="13"/>
      <c r="L23" s="30">
        <f ca="1"/>
        <v>1</v>
      </c>
      <c r="N23" s="27">
        <f ca="1"/>
        <v>21</v>
      </c>
      <c r="O23" s="30" t="str">
        <f ca="1"/>
        <v>Zarkov</v>
      </c>
      <c r="P23" s="30">
        <f ca="1"/>
        <v>1</v>
      </c>
      <c r="Q23" s="13"/>
      <c r="R23" s="13">
        <v>12288</v>
      </c>
      <c r="T23" s="29">
        <f ca="1"/>
        <v>21</v>
      </c>
      <c r="U23" s="30" t="str">
        <f ca="1"/>
        <v>Zarkov</v>
      </c>
      <c r="V23" s="30" t="e" vm="13">
        <f ca="1"/>
        <v>#VALUE!</v>
      </c>
      <c r="W23" s="30" t="e">
        <f ca="1"/>
        <v>#VALUE!</v>
      </c>
      <c r="X23" s="13"/>
      <c r="Y23" s="30">
        <f ca="1"/>
        <v>1</v>
      </c>
      <c r="AA23" s="27">
        <f ca="1"/>
        <v>21</v>
      </c>
      <c r="AB23" s="30" t="str">
        <f ca="1"/>
        <v>Zarkov</v>
      </c>
      <c r="AC23" s="30">
        <f ca="1"/>
        <v>1</v>
      </c>
      <c r="AD23" s="13"/>
      <c r="AE23" s="13">
        <v>13349</v>
      </c>
      <c r="AG23" s="29">
        <f ca="1"/>
        <v>21</v>
      </c>
      <c r="AH23" s="30" t="str">
        <f ca="1"/>
        <v>Mark</v>
      </c>
      <c r="AI23" s="30" t="e" vm="12">
        <f ca="1"/>
        <v>#VALUE!</v>
      </c>
      <c r="AJ23" s="30" t="e">
        <f ca="1"/>
        <v>#VALUE!</v>
      </c>
      <c r="AK23" s="13"/>
      <c r="AL23" s="30">
        <f ca="1"/>
        <v>1</v>
      </c>
      <c r="AN23" s="27">
        <f ca="1"/>
        <v>21</v>
      </c>
      <c r="AO23" s="30" t="str">
        <f ca="1"/>
        <v>Mark</v>
      </c>
      <c r="AP23" s="30">
        <f ca="1"/>
        <v>1</v>
      </c>
      <c r="AQ23" s="13"/>
      <c r="AR23" s="13">
        <v>11370</v>
      </c>
      <c r="AT23" s="29">
        <f ca="1"/>
        <v>21</v>
      </c>
      <c r="AU23" s="30" t="str">
        <f ca="1"/>
        <v>Mark</v>
      </c>
      <c r="AV23" s="30" t="e" vm="12">
        <f ca="1"/>
        <v>#VALUE!</v>
      </c>
      <c r="AW23" s="30" t="e">
        <f ca="1"/>
        <v>#VALUE!</v>
      </c>
      <c r="AX23" s="13">
        <v>1</v>
      </c>
      <c r="AY23" s="30">
        <f ca="1"/>
        <v>0</v>
      </c>
      <c r="BA23" s="27">
        <f ca="1"/>
        <v>21</v>
      </c>
      <c r="BB23" s="30" t="str">
        <f ca="1"/>
        <v>Mark</v>
      </c>
      <c r="BC23" s="30">
        <f ca="1"/>
        <v>0</v>
      </c>
      <c r="BD23" s="13"/>
      <c r="BE23" s="13"/>
      <c r="BG23" s="29">
        <f ca="1"/>
        <v>21</v>
      </c>
      <c r="BH23" s="30" t="str">
        <f ca="1"/>
        <v>Mark</v>
      </c>
      <c r="BI23" s="30" t="e" vm="12">
        <f ca="1"/>
        <v>#VALUE!</v>
      </c>
      <c r="BJ23" s="30" t="e">
        <f ca="1"/>
        <v>#VALUE!</v>
      </c>
      <c r="BK23" s="13"/>
      <c r="BL23" s="30">
        <f ca="1"/>
        <v>0</v>
      </c>
      <c r="BN23" s="27">
        <f ca="1"/>
        <v>21</v>
      </c>
      <c r="BO23" s="30" t="str">
        <f ca="1"/>
        <v>Mark</v>
      </c>
      <c r="BP23" s="30">
        <f ca="1"/>
        <v>0</v>
      </c>
      <c r="BQ23" s="13"/>
      <c r="BR23" s="13"/>
      <c r="BS23" s="1"/>
      <c r="BT23" s="29">
        <f ca="1"/>
        <v>21</v>
      </c>
      <c r="BU23" s="30" t="str">
        <f ca="1"/>
        <v>Mark</v>
      </c>
      <c r="BV23" s="30" t="e" vm="12">
        <f ca="1"/>
        <v>#VALUE!</v>
      </c>
      <c r="BW23" s="30" t="e">
        <f ca="1"/>
        <v>#VALUE!</v>
      </c>
      <c r="BX23" s="13"/>
      <c r="BY23" s="30">
        <f ca="1"/>
        <v>0</v>
      </c>
      <c r="CA23" s="27">
        <f ca="1"/>
        <v>21</v>
      </c>
      <c r="CB23" s="30" t="str">
        <f ca="1"/>
        <v>Mark</v>
      </c>
      <c r="CC23" s="30">
        <f ca="1"/>
        <v>0</v>
      </c>
      <c r="CD23" s="13"/>
      <c r="CE23" s="13"/>
      <c r="CG23" s="29">
        <f ca="1"/>
        <v>21</v>
      </c>
      <c r="CH23" s="30" t="str">
        <f ca="1"/>
        <v>Mark</v>
      </c>
      <c r="CI23" s="30" t="e" vm="12">
        <f ca="1"/>
        <v>#VALUE!</v>
      </c>
      <c r="CJ23" s="30" t="e">
        <f ca="1"/>
        <v>#VALUE!</v>
      </c>
      <c r="CK23" s="13"/>
      <c r="CL23" s="30">
        <f ca="1"/>
        <v>0</v>
      </c>
      <c r="CN23" s="27">
        <f ca="1"/>
        <v>21</v>
      </c>
      <c r="CO23" s="30" t="str">
        <f ca="1"/>
        <v>Mark</v>
      </c>
      <c r="CP23" s="30">
        <f ca="1"/>
        <v>0</v>
      </c>
      <c r="CQ23" s="13"/>
      <c r="CR23" s="13"/>
      <c r="CT23" s="29">
        <f ca="1"/>
        <v>21</v>
      </c>
      <c r="CU23" s="30" t="str">
        <f ca="1"/>
        <v>Mark</v>
      </c>
      <c r="CV23" s="30" t="e" vm="12">
        <f ca="1"/>
        <v>#VALUE!</v>
      </c>
      <c r="CW23" s="30" t="e">
        <f ca="1"/>
        <v>#VALUE!</v>
      </c>
      <c r="CX23" s="13"/>
      <c r="CY23" s="30">
        <f ca="1"/>
        <v>0</v>
      </c>
      <c r="DA23" s="27">
        <f ca="1"/>
        <v>21</v>
      </c>
      <c r="DB23" s="30" t="str">
        <f ca="1"/>
        <v>Mark</v>
      </c>
      <c r="DC23" s="30">
        <f ca="1"/>
        <v>0</v>
      </c>
      <c r="DD23" s="13"/>
      <c r="DE23" s="13"/>
      <c r="DG23" s="29">
        <f ca="1"/>
        <v>21</v>
      </c>
      <c r="DH23" s="30" t="str">
        <f ca="1"/>
        <v>Mark</v>
      </c>
      <c r="DI23" s="30" t="e" vm="12">
        <f ca="1"/>
        <v>#VALUE!</v>
      </c>
      <c r="DJ23" s="30" t="e">
        <f ca="1"/>
        <v>#VALUE!</v>
      </c>
      <c r="DK23" s="13"/>
      <c r="DL23" s="30">
        <f ca="1"/>
        <v>0</v>
      </c>
      <c r="DN23" s="27">
        <f ca="1"/>
        <v>21</v>
      </c>
      <c r="DO23" s="30" t="str">
        <f ca="1"/>
        <v>Mark</v>
      </c>
      <c r="DP23" s="30">
        <f ca="1"/>
        <v>0</v>
      </c>
      <c r="DQ23" s="13"/>
      <c r="DR23" s="13"/>
      <c r="DT23" s="29">
        <f ca="1"/>
        <v>21</v>
      </c>
      <c r="DU23" s="30" t="str">
        <f ca="1"/>
        <v>Mark</v>
      </c>
      <c r="DV23" s="30" t="e" vm="12">
        <f ca="1"/>
        <v>#VALUE!</v>
      </c>
      <c r="DW23" s="30" t="e">
        <f ca="1"/>
        <v>#VALUE!</v>
      </c>
      <c r="DX23" s="13"/>
      <c r="DY23" s="30">
        <f ca="1"/>
        <v>0</v>
      </c>
      <c r="EA23" s="27">
        <f ca="1"/>
        <v>21</v>
      </c>
      <c r="EB23" s="30" t="str">
        <f ca="1"/>
        <v>Mark</v>
      </c>
      <c r="EC23" s="30">
        <f ca="1"/>
        <v>0</v>
      </c>
      <c r="ED23" s="13"/>
      <c r="EE23" s="13"/>
      <c r="EG23" s="29">
        <f ca="1"/>
        <v>21</v>
      </c>
      <c r="EH23" s="30" t="str">
        <f ca="1"/>
        <v>Mark</v>
      </c>
      <c r="EI23" s="30" t="e" vm="12">
        <f ca="1"/>
        <v>#VALUE!</v>
      </c>
      <c r="EJ23" s="30" t="e">
        <f ca="1"/>
        <v>#VALUE!</v>
      </c>
      <c r="EK23" s="13"/>
      <c r="EL23" s="30">
        <f ca="1"/>
        <v>0</v>
      </c>
      <c r="EN23" s="27">
        <f ca="1"/>
        <v>21</v>
      </c>
      <c r="EO23" s="30" t="str">
        <f ca="1"/>
        <v>Mark</v>
      </c>
      <c r="EP23" s="30">
        <f ca="1"/>
        <v>0</v>
      </c>
      <c r="EQ23" s="13"/>
      <c r="ER23" s="13"/>
      <c r="ET23" s="29">
        <f ca="1"/>
        <v>21</v>
      </c>
      <c r="EU23" s="30" t="str">
        <f ca="1"/>
        <v>Mark</v>
      </c>
      <c r="EV23" s="30" t="e" vm="12">
        <f ca="1"/>
        <v>#VALUE!</v>
      </c>
      <c r="EW23" s="30" t="e">
        <f ca="1"/>
        <v>#VALUE!</v>
      </c>
      <c r="EX23" s="13"/>
      <c r="EY23" s="30">
        <f ca="1"/>
        <v>0</v>
      </c>
      <c r="FA23" s="27">
        <f ca="1"/>
        <v>21</v>
      </c>
      <c r="FB23" s="30" t="str">
        <f ca="1"/>
        <v>Mark</v>
      </c>
      <c r="FC23" s="30">
        <f ca="1"/>
        <v>0</v>
      </c>
      <c r="FD23" s="13"/>
      <c r="FE23" s="13"/>
      <c r="FG23" s="29">
        <f ca="1"/>
        <v>21</v>
      </c>
      <c r="FH23" s="30" t="str">
        <f ca="1"/>
        <v>Mark</v>
      </c>
      <c r="FI23" s="30" t="e" vm="12">
        <f ca="1"/>
        <v>#VALUE!</v>
      </c>
      <c r="FJ23" s="30" t="e">
        <f ca="1"/>
        <v>#VALUE!</v>
      </c>
      <c r="FK23" s="13"/>
      <c r="FL23" s="30">
        <f ca="1"/>
        <v>0</v>
      </c>
      <c r="FN23" s="27">
        <f ca="1"/>
        <v>21</v>
      </c>
      <c r="FO23" s="30" t="str">
        <f ca="1"/>
        <v>Mark</v>
      </c>
      <c r="FP23" s="30">
        <f ca="1"/>
        <v>0</v>
      </c>
      <c r="FQ23" s="13"/>
      <c r="FR23" s="13"/>
      <c r="FT23" s="29">
        <f ca="1"/>
        <v>21</v>
      </c>
      <c r="FU23" s="30" t="str">
        <f ca="1"/>
        <v>Mark</v>
      </c>
      <c r="FV23" s="30" t="e" vm="12">
        <f ca="1"/>
        <v>#VALUE!</v>
      </c>
      <c r="FW23" s="30" t="e">
        <f ca="1"/>
        <v>#VALUE!</v>
      </c>
      <c r="FX23" s="13"/>
      <c r="FY23" s="30">
        <f ca="1"/>
        <v>0</v>
      </c>
      <c r="GA23" s="27">
        <f ca="1"/>
        <v>21</v>
      </c>
      <c r="GB23" s="30" t="str">
        <f ca="1"/>
        <v>Mark</v>
      </c>
      <c r="GC23" s="30">
        <f ca="1"/>
        <v>0</v>
      </c>
      <c r="GD23" s="13"/>
      <c r="GE23" s="13"/>
      <c r="GG23" s="29">
        <f ca="1"/>
        <v>21</v>
      </c>
      <c r="GH23" s="30" t="str">
        <f ca="1"/>
        <v>Mark</v>
      </c>
      <c r="GI23" s="30" t="e" vm="12">
        <f ca="1"/>
        <v>#VALUE!</v>
      </c>
      <c r="GJ23" s="30" t="e">
        <f ca="1"/>
        <v>#VALUE!</v>
      </c>
      <c r="GK23" s="13"/>
      <c r="GL23" s="30">
        <f ca="1"/>
        <v>0</v>
      </c>
      <c r="GN23" s="27">
        <f ca="1"/>
        <v>21</v>
      </c>
      <c r="GO23" s="30" t="str">
        <f ca="1"/>
        <v>Mark</v>
      </c>
      <c r="GP23" s="30">
        <f ca="1"/>
        <v>0</v>
      </c>
      <c r="GQ23" s="13"/>
      <c r="GR23" s="13"/>
      <c r="GT23" s="29">
        <f ca="1"/>
        <v>21</v>
      </c>
      <c r="GU23" s="30" t="str">
        <f ca="1"/>
        <v>Mark</v>
      </c>
      <c r="GV23" s="30" t="e" vm="12">
        <f ca="1"/>
        <v>#VALUE!</v>
      </c>
      <c r="GW23" s="30" t="e">
        <f ca="1"/>
        <v>#VALUE!</v>
      </c>
      <c r="GX23" s="13"/>
      <c r="GY23" s="30">
        <f ca="1"/>
        <v>0</v>
      </c>
      <c r="HA23" s="27">
        <f ca="1"/>
        <v>21</v>
      </c>
      <c r="HB23" s="30" t="str">
        <f ca="1"/>
        <v>Mark</v>
      </c>
      <c r="HC23" s="30">
        <f ca="1"/>
        <v>0</v>
      </c>
      <c r="HD23" s="13"/>
      <c r="HE23" s="13"/>
      <c r="HF23" s="1"/>
      <c r="HG23" s="29">
        <f ca="1"/>
        <v>21</v>
      </c>
      <c r="HH23" s="30" t="str">
        <f ca="1"/>
        <v>Mark</v>
      </c>
      <c r="HI23" s="30" t="e" vm="12">
        <f ca="1"/>
        <v>#VALUE!</v>
      </c>
      <c r="HJ23" s="30" t="e">
        <f ca="1"/>
        <v>#VALUE!</v>
      </c>
      <c r="HK23" s="13"/>
      <c r="HL23" s="30">
        <f ca="1"/>
        <v>0</v>
      </c>
      <c r="HN23" s="27">
        <f ca="1"/>
        <v>21</v>
      </c>
      <c r="HO23" s="30" t="str">
        <f ca="1"/>
        <v>Mark</v>
      </c>
      <c r="HP23" s="30">
        <f ca="1"/>
        <v>0</v>
      </c>
      <c r="HQ23" s="13"/>
      <c r="HR23" s="13"/>
      <c r="HT23" s="29">
        <f ca="1"/>
        <v>21</v>
      </c>
      <c r="HU23" s="30" t="str">
        <f ca="1"/>
        <v>Mark</v>
      </c>
      <c r="HV23" s="30" t="e" vm="12">
        <f ca="1"/>
        <v>#VALUE!</v>
      </c>
      <c r="HW23" s="30" t="e">
        <f ca="1"/>
        <v>#VALUE!</v>
      </c>
      <c r="HX23" s="13"/>
      <c r="HY23" s="30">
        <f ca="1"/>
        <v>0</v>
      </c>
      <c r="IA23" s="27">
        <f ca="1"/>
        <v>21</v>
      </c>
      <c r="IB23" s="30" t="str">
        <f ca="1"/>
        <v>Mark</v>
      </c>
      <c r="IC23" s="30">
        <f ca="1"/>
        <v>0</v>
      </c>
      <c r="ID23" s="13"/>
      <c r="IE23" s="13"/>
      <c r="IG23" s="29">
        <f ca="1"/>
        <v>21</v>
      </c>
      <c r="IH23" s="30" t="str">
        <f ca="1"/>
        <v>Mark</v>
      </c>
      <c r="II23" s="30" t="e" vm="12">
        <f ca="1"/>
        <v>#VALUE!</v>
      </c>
      <c r="IJ23" s="30" t="e">
        <f ca="1"/>
        <v>#VALUE!</v>
      </c>
      <c r="IK23" s="13"/>
      <c r="IL23" s="30">
        <f ca="1"/>
        <v>0</v>
      </c>
      <c r="IN23" s="27">
        <f ca="1"/>
        <v>21</v>
      </c>
      <c r="IO23" s="30" t="str">
        <f ca="1"/>
        <v>Mark</v>
      </c>
      <c r="IP23" s="30">
        <f ca="1"/>
        <v>0</v>
      </c>
      <c r="IQ23" s="13"/>
      <c r="IR23" s="13"/>
      <c r="IT23" s="29">
        <f ca="1"/>
        <v>21</v>
      </c>
      <c r="IU23" s="30" t="str">
        <f ca="1"/>
        <v>Mark</v>
      </c>
      <c r="IV23" s="30" t="e" vm="12">
        <f ca="1"/>
        <v>#VALUE!</v>
      </c>
      <c r="IW23" s="30" t="e">
        <f ca="1"/>
        <v>#VALUE!</v>
      </c>
      <c r="IX23" s="13"/>
      <c r="IY23" s="30">
        <f ca="1"/>
        <v>0</v>
      </c>
      <c r="JA23" s="27">
        <f ca="1"/>
        <v>21</v>
      </c>
      <c r="JB23" s="30" t="str">
        <f ca="1"/>
        <v>Mark</v>
      </c>
      <c r="JC23" s="30">
        <f ca="1"/>
        <v>0</v>
      </c>
      <c r="JD23" s="13"/>
      <c r="JE23" s="13"/>
      <c r="JG23" s="29">
        <f ca="1"/>
        <v>21</v>
      </c>
      <c r="JH23" s="30" t="str">
        <f ca="1"/>
        <v>Mark</v>
      </c>
      <c r="JI23" s="30" t="e" vm="12">
        <f ca="1"/>
        <v>#VALUE!</v>
      </c>
      <c r="JJ23" s="30" t="e">
        <f ca="1"/>
        <v>#VALUE!</v>
      </c>
      <c r="JK23" s="13"/>
      <c r="JL23" s="30">
        <f ca="1"/>
        <v>0</v>
      </c>
      <c r="JN23" s="27">
        <f ca="1"/>
        <v>21</v>
      </c>
      <c r="JO23" s="30" t="str">
        <f ca="1"/>
        <v>Mark</v>
      </c>
      <c r="JP23" s="30">
        <f ca="1"/>
        <v>0</v>
      </c>
      <c r="JQ23" s="13"/>
      <c r="JR23" s="13"/>
      <c r="JT23" s="29">
        <f ca="1"/>
        <v>21</v>
      </c>
      <c r="JU23" s="30" t="str">
        <f ca="1"/>
        <v>Mark</v>
      </c>
      <c r="JV23" s="30" t="e" vm="12">
        <f ca="1"/>
        <v>#VALUE!</v>
      </c>
      <c r="JW23" s="30" t="e">
        <f ca="1"/>
        <v>#VALUE!</v>
      </c>
      <c r="JX23" s="13"/>
      <c r="JY23" s="30">
        <f ca="1"/>
        <v>0</v>
      </c>
      <c r="KA23" s="27">
        <f ca="1"/>
        <v>21</v>
      </c>
      <c r="KB23" s="30" t="str">
        <f ca="1"/>
        <v>Mark</v>
      </c>
      <c r="KC23" s="30">
        <f ca="1"/>
        <v>0</v>
      </c>
      <c r="KD23" s="13"/>
      <c r="KE23" s="13"/>
      <c r="KG23" s="29">
        <f ca="1"/>
        <v>21</v>
      </c>
      <c r="KH23" s="30" t="str">
        <f ca="1"/>
        <v>Mark</v>
      </c>
      <c r="KI23" s="30" t="e" vm="12">
        <f ca="1"/>
        <v>#VALUE!</v>
      </c>
      <c r="KJ23" s="30" t="e">
        <f ca="1"/>
        <v>#VALUE!</v>
      </c>
      <c r="KK23" s="13"/>
      <c r="KL23" s="30">
        <f ca="1"/>
        <v>0</v>
      </c>
      <c r="KN23" s="27">
        <f ca="1"/>
        <v>21</v>
      </c>
      <c r="KO23" s="30" t="str">
        <f ca="1"/>
        <v>Mark</v>
      </c>
      <c r="KP23" s="30">
        <f ca="1"/>
        <v>0</v>
      </c>
      <c r="KQ23" s="13"/>
      <c r="KR23" s="13"/>
      <c r="KT23" s="29">
        <f ca="1"/>
        <v>21</v>
      </c>
      <c r="KU23" s="30" t="str">
        <f ca="1"/>
        <v>Mark</v>
      </c>
      <c r="KV23" s="30" t="e" vm="12">
        <f ca="1"/>
        <v>#VALUE!</v>
      </c>
      <c r="KW23" s="30" t="e">
        <f ca="1"/>
        <v>#VALUE!</v>
      </c>
      <c r="KX23" s="13"/>
      <c r="KY23" s="30">
        <f ca="1"/>
        <v>0</v>
      </c>
      <c r="LA23" s="27">
        <f ca="1"/>
        <v>21</v>
      </c>
      <c r="LB23" s="30" t="str">
        <f ca="1"/>
        <v>Mark</v>
      </c>
      <c r="LC23" s="30">
        <f ca="1"/>
        <v>0</v>
      </c>
      <c r="LD23" s="13"/>
      <c r="LE23" s="13"/>
      <c r="LG23" s="29">
        <f ca="1"/>
        <v>21</v>
      </c>
      <c r="LH23" s="30" t="str">
        <f ca="1"/>
        <v>Mark</v>
      </c>
      <c r="LI23" s="30" t="e" vm="12">
        <f ca="1"/>
        <v>#VALUE!</v>
      </c>
      <c r="LJ23" s="30" t="e">
        <f ca="1"/>
        <v>#VALUE!</v>
      </c>
      <c r="LK23" s="13"/>
      <c r="LL23" s="30">
        <f ca="1"/>
        <v>0</v>
      </c>
      <c r="LN23" s="27">
        <f ca="1"/>
        <v>21</v>
      </c>
      <c r="LO23" s="30" t="str">
        <f ca="1"/>
        <v>Mark</v>
      </c>
      <c r="LP23" s="30">
        <f ca="1"/>
        <v>0</v>
      </c>
      <c r="LQ23" s="13"/>
      <c r="LR23" s="13"/>
      <c r="LT23" s="29">
        <f ca="1"/>
        <v>21</v>
      </c>
      <c r="LU23" s="30" t="str">
        <f ca="1"/>
        <v>Mark</v>
      </c>
      <c r="LV23" s="30" t="e" vm="12">
        <f ca="1"/>
        <v>#VALUE!</v>
      </c>
      <c r="LW23" s="30" t="e">
        <f ca="1"/>
        <v>#VALUE!</v>
      </c>
      <c r="LX23" s="13"/>
      <c r="LY23" s="30">
        <f ca="1"/>
        <v>0</v>
      </c>
      <c r="MA23" s="27">
        <f ca="1"/>
        <v>21</v>
      </c>
      <c r="MB23" s="30" t="str">
        <f ca="1"/>
        <v>Mark</v>
      </c>
      <c r="MC23" s="30">
        <f ca="1"/>
        <v>0</v>
      </c>
      <c r="MD23" s="13"/>
      <c r="ME23" s="13"/>
      <c r="MG23" s="29">
        <f ca="1"/>
        <v>21</v>
      </c>
      <c r="MH23" s="30" t="str">
        <f ca="1"/>
        <v>Mark</v>
      </c>
      <c r="MI23" s="30" t="e" vm="12">
        <f ca="1"/>
        <v>#VALUE!</v>
      </c>
      <c r="MJ23" s="30" t="e">
        <f ca="1"/>
        <v>#VALUE!</v>
      </c>
      <c r="MK23" s="13"/>
      <c r="ML23" s="30">
        <f ca="1"/>
        <v>0</v>
      </c>
      <c r="MN23" s="27">
        <f ca="1"/>
        <v>21</v>
      </c>
      <c r="MO23" s="30" t="str">
        <f ca="1"/>
        <v>Mark</v>
      </c>
      <c r="MP23" s="30">
        <f ca="1"/>
        <v>0</v>
      </c>
      <c r="MQ23" s="13"/>
      <c r="MR23" s="13"/>
      <c r="MS23" s="1"/>
      <c r="MT23" s="29">
        <f ca="1"/>
        <v>21</v>
      </c>
      <c r="MU23" s="30" t="str">
        <f ca="1"/>
        <v>Mark</v>
      </c>
      <c r="MV23" s="30" t="e" vm="12">
        <f ca="1"/>
        <v>#VALUE!</v>
      </c>
      <c r="MW23" s="30" t="e">
        <f ca="1"/>
        <v>#VALUE!</v>
      </c>
      <c r="MX23" s="13"/>
      <c r="MY23" s="30">
        <f ca="1"/>
        <v>0</v>
      </c>
      <c r="NA23" s="27">
        <f ca="1"/>
        <v>21</v>
      </c>
      <c r="NB23" s="30" t="str">
        <f ca="1"/>
        <v>Mark</v>
      </c>
      <c r="NC23" s="30">
        <f ca="1"/>
        <v>0</v>
      </c>
      <c r="ND23" s="13"/>
      <c r="NE23" s="13"/>
      <c r="NG23" s="29">
        <f ca="1"/>
        <v>21</v>
      </c>
      <c r="NH23" s="30" t="str">
        <f ca="1"/>
        <v>Mark</v>
      </c>
      <c r="NI23" s="30" t="e" vm="12">
        <f ca="1"/>
        <v>#VALUE!</v>
      </c>
      <c r="NJ23" s="30" t="e">
        <f ca="1"/>
        <v>#VALUE!</v>
      </c>
      <c r="NK23" s="13"/>
      <c r="NL23" s="30">
        <f ca="1"/>
        <v>0</v>
      </c>
      <c r="NN23" s="27">
        <f ca="1"/>
        <v>21</v>
      </c>
      <c r="NO23" s="30" t="str">
        <f ca="1"/>
        <v>Mark</v>
      </c>
      <c r="NP23" s="30">
        <f ca="1"/>
        <v>0</v>
      </c>
      <c r="NQ23" s="13"/>
      <c r="NR23" s="13"/>
      <c r="NT23" s="29">
        <f ca="1"/>
        <v>21</v>
      </c>
      <c r="NU23" s="30" t="str">
        <f ca="1"/>
        <v>Mark</v>
      </c>
      <c r="NV23" s="30" t="e" vm="12">
        <f ca="1"/>
        <v>#VALUE!</v>
      </c>
      <c r="NW23" s="30" t="e">
        <f ca="1"/>
        <v>#VALUE!</v>
      </c>
      <c r="NX23" s="13"/>
      <c r="NY23" s="30">
        <f ca="1"/>
        <v>0</v>
      </c>
      <c r="OA23" s="27">
        <f ca="1"/>
        <v>21</v>
      </c>
      <c r="OB23" s="30" t="str">
        <f ca="1"/>
        <v>Mark</v>
      </c>
      <c r="OC23" s="30">
        <f ca="1"/>
        <v>0</v>
      </c>
      <c r="OD23" s="13"/>
      <c r="OE23" s="13"/>
      <c r="OG23" s="29">
        <f ca="1"/>
        <v>21</v>
      </c>
      <c r="OH23" s="30" t="str">
        <f ca="1"/>
        <v>Mark</v>
      </c>
      <c r="OI23" s="30" t="e" vm="12">
        <f ca="1"/>
        <v>#VALUE!</v>
      </c>
      <c r="OJ23" s="30" t="e">
        <f ca="1"/>
        <v>#VALUE!</v>
      </c>
      <c r="OK23" s="13"/>
      <c r="OL23" s="30">
        <f ca="1"/>
        <v>0</v>
      </c>
      <c r="ON23" s="27">
        <f ca="1"/>
        <v>21</v>
      </c>
      <c r="OO23" s="30" t="str">
        <f ca="1"/>
        <v>Mark</v>
      </c>
      <c r="OP23" s="30">
        <f ca="1"/>
        <v>0</v>
      </c>
      <c r="OQ23" s="13"/>
      <c r="OR23" s="13"/>
      <c r="OT23" s="29">
        <f ca="1"/>
        <v>21</v>
      </c>
      <c r="OU23" s="30" t="str">
        <f ca="1"/>
        <v>Mark</v>
      </c>
      <c r="OV23" s="30" t="e" vm="12">
        <f ca="1"/>
        <v>#VALUE!</v>
      </c>
      <c r="OW23" s="30" t="e">
        <f ca="1"/>
        <v>#VALUE!</v>
      </c>
      <c r="OX23" s="13"/>
      <c r="OY23" s="30">
        <f ca="1"/>
        <v>0</v>
      </c>
      <c r="PA23" s="27">
        <f ca="1"/>
        <v>21</v>
      </c>
      <c r="PB23" s="30" t="str">
        <f ca="1"/>
        <v>Mark</v>
      </c>
      <c r="PC23" s="30">
        <f ca="1"/>
        <v>0</v>
      </c>
      <c r="PD23" s="13"/>
      <c r="PE23" s="13"/>
      <c r="PG23" s="29">
        <f ca="1"/>
        <v>21</v>
      </c>
      <c r="PH23" s="30" t="str">
        <f ca="1"/>
        <v>Mark</v>
      </c>
      <c r="PI23" s="30" t="e" vm="12">
        <f ca="1"/>
        <v>#VALUE!</v>
      </c>
      <c r="PJ23" s="30" t="e">
        <f ca="1"/>
        <v>#VALUE!</v>
      </c>
      <c r="PK23" s="13"/>
      <c r="PL23" s="30">
        <f ca="1"/>
        <v>0</v>
      </c>
      <c r="PN23" s="27">
        <f ca="1"/>
        <v>21</v>
      </c>
      <c r="PO23" s="30" t="str">
        <f ca="1"/>
        <v>Mark</v>
      </c>
      <c r="PP23" s="30">
        <f ca="1"/>
        <v>0</v>
      </c>
      <c r="PQ23" s="13"/>
      <c r="PR23" s="13"/>
      <c r="PT23" s="29">
        <f ca="1"/>
        <v>21</v>
      </c>
      <c r="PU23" s="30" t="str">
        <f ca="1"/>
        <v>Mark</v>
      </c>
      <c r="PV23" s="30" t="e" vm="12">
        <f ca="1"/>
        <v>#VALUE!</v>
      </c>
      <c r="PW23" s="30" t="e">
        <f ca="1"/>
        <v>#VALUE!</v>
      </c>
      <c r="PX23" s="13"/>
      <c r="PY23" s="30">
        <f ca="1"/>
        <v>0</v>
      </c>
      <c r="QA23" s="27">
        <f ca="1"/>
        <v>21</v>
      </c>
      <c r="QB23" s="30" t="str">
        <f ca="1"/>
        <v>Mark</v>
      </c>
      <c r="QC23" s="30">
        <f ca="1"/>
        <v>0</v>
      </c>
      <c r="QD23" s="13"/>
      <c r="QE23" s="13"/>
      <c r="QG23" s="29">
        <f ca="1"/>
        <v>21</v>
      </c>
      <c r="QH23" s="30" t="str">
        <f ca="1"/>
        <v>Mark</v>
      </c>
      <c r="QI23" s="30" t="e" vm="12">
        <f ca="1"/>
        <v>#VALUE!</v>
      </c>
      <c r="QJ23" s="30" t="e">
        <f ca="1"/>
        <v>#VALUE!</v>
      </c>
      <c r="QK23" s="13"/>
      <c r="QL23" s="30">
        <f ca="1"/>
        <v>0</v>
      </c>
      <c r="QN23" s="27">
        <f ca="1"/>
        <v>21</v>
      </c>
      <c r="QO23" s="30" t="str">
        <f ca="1"/>
        <v>Mark</v>
      </c>
      <c r="QP23" s="30">
        <f ca="1"/>
        <v>0</v>
      </c>
      <c r="QQ23" s="13"/>
      <c r="QR23" s="13"/>
      <c r="QT23" s="29">
        <f ca="1"/>
        <v>21</v>
      </c>
      <c r="QU23" s="30" t="str">
        <f ca="1"/>
        <v>Mark</v>
      </c>
      <c r="QV23" s="30" t="e" vm="12">
        <f ca="1"/>
        <v>#VALUE!</v>
      </c>
      <c r="QW23" s="30" t="e">
        <f ca="1"/>
        <v>#VALUE!</v>
      </c>
      <c r="QX23" s="13"/>
      <c r="QY23" s="30">
        <f ca="1"/>
        <v>0</v>
      </c>
      <c r="RA23" s="27">
        <f ca="1"/>
        <v>21</v>
      </c>
      <c r="RB23" s="30" t="str">
        <f ca="1"/>
        <v>Mark</v>
      </c>
      <c r="RC23" s="30">
        <f ca="1"/>
        <v>0</v>
      </c>
      <c r="RD23" s="13"/>
      <c r="RE23" s="13"/>
      <c r="RG23" s="29">
        <f ca="1"/>
        <v>21</v>
      </c>
      <c r="RH23" s="30" t="str">
        <f ca="1"/>
        <v>Mark</v>
      </c>
      <c r="RI23" s="30" t="e" vm="12">
        <f ca="1"/>
        <v>#VALUE!</v>
      </c>
      <c r="RJ23" s="30" t="e">
        <f ca="1"/>
        <v>#VALUE!</v>
      </c>
      <c r="RK23" s="13"/>
      <c r="RL23" s="30">
        <f ca="1"/>
        <v>0</v>
      </c>
      <c r="RN23" s="27">
        <f ca="1"/>
        <v>21</v>
      </c>
      <c r="RO23" s="30" t="str">
        <f ca="1"/>
        <v>Mark</v>
      </c>
      <c r="RP23" s="30">
        <f ca="1"/>
        <v>0</v>
      </c>
      <c r="RQ23" s="13"/>
      <c r="RR23" s="13"/>
      <c r="RT23" s="29">
        <f ca="1"/>
        <v>21</v>
      </c>
      <c r="RU23" s="30" t="str">
        <f ca="1"/>
        <v>Mark</v>
      </c>
      <c r="RV23" s="30" t="e" vm="12">
        <f ca="1"/>
        <v>#VALUE!</v>
      </c>
      <c r="RW23" s="30" t="e">
        <f ca="1"/>
        <v>#VALUE!</v>
      </c>
      <c r="RX23" s="13"/>
      <c r="RY23" s="30">
        <f ca="1"/>
        <v>0</v>
      </c>
      <c r="SA23" s="27">
        <f ca="1"/>
        <v>21</v>
      </c>
      <c r="SB23" s="30" t="str">
        <f ca="1"/>
        <v>Mark</v>
      </c>
      <c r="SC23" s="30">
        <f ca="1"/>
        <v>0</v>
      </c>
      <c r="SD23" s="13"/>
      <c r="SE23" s="13"/>
      <c r="SG23" s="29">
        <f ca="1"/>
        <v>21</v>
      </c>
      <c r="SH23" s="30" t="str">
        <f ca="1"/>
        <v>Mark</v>
      </c>
      <c r="SI23" s="30" t="e" vm="12">
        <f ca="1"/>
        <v>#VALUE!</v>
      </c>
      <c r="SJ23" s="30" t="e">
        <f ca="1"/>
        <v>#VALUE!</v>
      </c>
      <c r="SK23" s="13"/>
      <c r="SL23" s="30">
        <f ca="1"/>
        <v>0</v>
      </c>
      <c r="SN23" s="27">
        <f ca="1"/>
        <v>21</v>
      </c>
      <c r="SO23" s="30" t="str">
        <f ca="1"/>
        <v>Mark</v>
      </c>
      <c r="SP23" s="30">
        <f ca="1"/>
        <v>0</v>
      </c>
      <c r="SQ23" s="13"/>
      <c r="SR23" s="13"/>
      <c r="ST23" s="29">
        <f ca="1"/>
        <v>21</v>
      </c>
      <c r="SU23" s="30" t="str">
        <f ca="1"/>
        <v>Mark</v>
      </c>
      <c r="SV23" s="30" t="e" vm="12">
        <f ca="1"/>
        <v>#VALUE!</v>
      </c>
      <c r="SW23" s="30" t="e">
        <f ca="1"/>
        <v>#VALUE!</v>
      </c>
      <c r="SX23" s="13"/>
      <c r="SY23" s="30">
        <f ca="1"/>
        <v>0</v>
      </c>
      <c r="TA23" s="29">
        <f ca="1"/>
        <v>21</v>
      </c>
      <c r="TB23" s="30" t="str">
        <f ca="1"/>
        <v>Mark</v>
      </c>
      <c r="TC23" s="30" t="e" vm="12">
        <f ca="1"/>
        <v>#VALUE!</v>
      </c>
      <c r="TD23" s="30">
        <f ca="1"/>
        <v>120</v>
      </c>
    </row>
    <row r="24" spans="1:524" ht="20.100000000000001" customHeight="1">
      <c r="A24" s="27">
        <f ca="1"/>
        <v>22</v>
      </c>
      <c r="B24" s="30" t="str">
        <f ca="1"/>
        <v>Narnet</v>
      </c>
      <c r="C24" s="30">
        <v>1</v>
      </c>
      <c r="D24" s="13"/>
      <c r="E24" s="57">
        <v>12288</v>
      </c>
      <c r="G24" s="29">
        <f ca="1"/>
        <v>22</v>
      </c>
      <c r="H24" s="30" t="str">
        <f ca="1"/>
        <v>Mark</v>
      </c>
      <c r="I24" s="30" t="e" vm="12">
        <f ca="1"/>
        <v>#VALUE!</v>
      </c>
      <c r="J24" s="55" t="e">
        <f ca="1"/>
        <v>#VALUE!</v>
      </c>
      <c r="K24" s="13"/>
      <c r="L24" s="30">
        <f ca="1"/>
        <v>1</v>
      </c>
      <c r="N24" s="27">
        <f ca="1"/>
        <v>22</v>
      </c>
      <c r="O24" s="30" t="str">
        <f ca="1"/>
        <v>Mark</v>
      </c>
      <c r="P24" s="30">
        <f ca="1"/>
        <v>1</v>
      </c>
      <c r="Q24" s="13"/>
      <c r="R24" s="13">
        <v>12145</v>
      </c>
      <c r="T24" s="29">
        <f ca="1"/>
        <v>22</v>
      </c>
      <c r="U24" s="30" t="str">
        <f ca="1"/>
        <v>Sjors</v>
      </c>
      <c r="V24" s="30" t="e" vm="12">
        <f ca="1"/>
        <v>#VALUE!</v>
      </c>
      <c r="W24" s="30" t="e">
        <f ca="1"/>
        <v>#VALUE!</v>
      </c>
      <c r="X24" s="13"/>
      <c r="Y24" s="30">
        <f ca="1"/>
        <v>1</v>
      </c>
      <c r="AA24" s="27">
        <f ca="1"/>
        <v>22</v>
      </c>
      <c r="AB24" s="30" t="str">
        <f ca="1"/>
        <v>Sjors</v>
      </c>
      <c r="AC24" s="30">
        <f ca="1"/>
        <v>1</v>
      </c>
      <c r="AD24" s="13"/>
      <c r="AE24" s="13">
        <v>13430</v>
      </c>
      <c r="AG24" s="29">
        <f ca="1"/>
        <v>22</v>
      </c>
      <c r="AH24" s="30" t="str">
        <f ca="1"/>
        <v>Drew</v>
      </c>
      <c r="AI24" s="30" t="e" vm="14">
        <f ca="1"/>
        <v>#VALUE!</v>
      </c>
      <c r="AJ24" s="30" t="e">
        <f ca="1"/>
        <v>#VALUE!</v>
      </c>
      <c r="AK24" s="13">
        <v>1</v>
      </c>
      <c r="AL24" s="30">
        <f ca="1"/>
        <v>0</v>
      </c>
      <c r="AN24" s="27">
        <f ca="1"/>
        <v>22</v>
      </c>
      <c r="AO24" s="30" t="str">
        <f ca="1"/>
        <v>Drew</v>
      </c>
      <c r="AP24" s="30">
        <f ca="1"/>
        <v>0</v>
      </c>
      <c r="AQ24" s="13"/>
      <c r="AR24" s="13"/>
      <c r="AT24" s="29">
        <f ca="1"/>
        <v>22</v>
      </c>
      <c r="AU24" s="30" t="str">
        <f ca="1"/>
        <v>Drew</v>
      </c>
      <c r="AV24" s="30" t="e" vm="14">
        <f ca="1"/>
        <v>#VALUE!</v>
      </c>
      <c r="AW24" s="30" t="e">
        <f ca="1"/>
        <v>#VALUE!</v>
      </c>
      <c r="AX24" s="13"/>
      <c r="AY24" s="30">
        <f ca="1"/>
        <v>0</v>
      </c>
      <c r="BA24" s="27">
        <f ca="1"/>
        <v>22</v>
      </c>
      <c r="BB24" s="30" t="str">
        <f ca="1"/>
        <v>Drew</v>
      </c>
      <c r="BC24" s="30">
        <f ca="1"/>
        <v>0</v>
      </c>
      <c r="BD24" s="13"/>
      <c r="BE24" s="13"/>
      <c r="BG24" s="29">
        <f ca="1"/>
        <v>22</v>
      </c>
      <c r="BH24" s="30" t="str">
        <f ca="1"/>
        <v>Drew</v>
      </c>
      <c r="BI24" s="30" t="e" vm="14">
        <f ca="1"/>
        <v>#VALUE!</v>
      </c>
      <c r="BJ24" s="30" t="e">
        <f ca="1"/>
        <v>#VALUE!</v>
      </c>
      <c r="BK24" s="13"/>
      <c r="BL24" s="30">
        <f ca="1"/>
        <v>0</v>
      </c>
      <c r="BN24" s="27">
        <f ca="1"/>
        <v>22</v>
      </c>
      <c r="BO24" s="30" t="str">
        <f ca="1"/>
        <v>Drew</v>
      </c>
      <c r="BP24" s="30">
        <f ca="1"/>
        <v>0</v>
      </c>
      <c r="BQ24" s="13"/>
      <c r="BR24" s="13"/>
      <c r="BS24" s="1"/>
      <c r="BT24" s="29">
        <f ca="1"/>
        <v>22</v>
      </c>
      <c r="BU24" s="30" t="str">
        <f ca="1"/>
        <v>Drew</v>
      </c>
      <c r="BV24" s="30" t="e" vm="14">
        <f ca="1"/>
        <v>#VALUE!</v>
      </c>
      <c r="BW24" s="30" t="e">
        <f ca="1"/>
        <v>#VALUE!</v>
      </c>
      <c r="BX24" s="13"/>
      <c r="BY24" s="30">
        <f ca="1"/>
        <v>0</v>
      </c>
      <c r="CA24" s="27">
        <f ca="1"/>
        <v>22</v>
      </c>
      <c r="CB24" s="30" t="str">
        <f ca="1"/>
        <v>Drew</v>
      </c>
      <c r="CC24" s="30">
        <f ca="1"/>
        <v>0</v>
      </c>
      <c r="CD24" s="13"/>
      <c r="CE24" s="13"/>
      <c r="CG24" s="29">
        <f ca="1"/>
        <v>22</v>
      </c>
      <c r="CH24" s="30" t="str">
        <f ca="1"/>
        <v>Drew</v>
      </c>
      <c r="CI24" s="30" t="e" vm="14">
        <f ca="1"/>
        <v>#VALUE!</v>
      </c>
      <c r="CJ24" s="30" t="e">
        <f ca="1"/>
        <v>#VALUE!</v>
      </c>
      <c r="CK24" s="13"/>
      <c r="CL24" s="30">
        <f ca="1"/>
        <v>0</v>
      </c>
      <c r="CN24" s="27">
        <f ca="1"/>
        <v>22</v>
      </c>
      <c r="CO24" s="30" t="str">
        <f ca="1"/>
        <v>Drew</v>
      </c>
      <c r="CP24" s="30">
        <f ca="1"/>
        <v>0</v>
      </c>
      <c r="CQ24" s="13"/>
      <c r="CR24" s="13"/>
      <c r="CT24" s="29">
        <f ca="1"/>
        <v>22</v>
      </c>
      <c r="CU24" s="30" t="str">
        <f ca="1"/>
        <v>Drew</v>
      </c>
      <c r="CV24" s="30" t="e" vm="14">
        <f ca="1"/>
        <v>#VALUE!</v>
      </c>
      <c r="CW24" s="30" t="e">
        <f ca="1"/>
        <v>#VALUE!</v>
      </c>
      <c r="CX24" s="13"/>
      <c r="CY24" s="30">
        <f ca="1"/>
        <v>0</v>
      </c>
      <c r="DA24" s="27">
        <f ca="1"/>
        <v>22</v>
      </c>
      <c r="DB24" s="30" t="str">
        <f ca="1"/>
        <v>Drew</v>
      </c>
      <c r="DC24" s="30">
        <f ca="1"/>
        <v>0</v>
      </c>
      <c r="DD24" s="13"/>
      <c r="DE24" s="13"/>
      <c r="DG24" s="29">
        <f ca="1"/>
        <v>22</v>
      </c>
      <c r="DH24" s="30" t="str">
        <f ca="1"/>
        <v>Drew</v>
      </c>
      <c r="DI24" s="30" t="e" vm="14">
        <f ca="1"/>
        <v>#VALUE!</v>
      </c>
      <c r="DJ24" s="30" t="e">
        <f ca="1"/>
        <v>#VALUE!</v>
      </c>
      <c r="DK24" s="13"/>
      <c r="DL24" s="30">
        <f ca="1"/>
        <v>0</v>
      </c>
      <c r="DN24" s="27">
        <f ca="1"/>
        <v>22</v>
      </c>
      <c r="DO24" s="30" t="str">
        <f ca="1"/>
        <v>Drew</v>
      </c>
      <c r="DP24" s="30">
        <f ca="1"/>
        <v>0</v>
      </c>
      <c r="DQ24" s="13"/>
      <c r="DR24" s="13"/>
      <c r="DT24" s="29">
        <f ca="1"/>
        <v>22</v>
      </c>
      <c r="DU24" s="30" t="str">
        <f ca="1"/>
        <v>Drew</v>
      </c>
      <c r="DV24" s="30" t="e" vm="14">
        <f ca="1"/>
        <v>#VALUE!</v>
      </c>
      <c r="DW24" s="30" t="e">
        <f ca="1"/>
        <v>#VALUE!</v>
      </c>
      <c r="DX24" s="13"/>
      <c r="DY24" s="30">
        <f ca="1"/>
        <v>0</v>
      </c>
      <c r="EA24" s="27">
        <f ca="1"/>
        <v>22</v>
      </c>
      <c r="EB24" s="30" t="str">
        <f ca="1"/>
        <v>Drew</v>
      </c>
      <c r="EC24" s="30">
        <f ca="1"/>
        <v>0</v>
      </c>
      <c r="ED24" s="13"/>
      <c r="EE24" s="13"/>
      <c r="EG24" s="29">
        <f ca="1"/>
        <v>22</v>
      </c>
      <c r="EH24" s="30" t="str">
        <f ca="1"/>
        <v>Drew</v>
      </c>
      <c r="EI24" s="30" t="e" vm="14">
        <f ca="1"/>
        <v>#VALUE!</v>
      </c>
      <c r="EJ24" s="30" t="e">
        <f ca="1"/>
        <v>#VALUE!</v>
      </c>
      <c r="EK24" s="13"/>
      <c r="EL24" s="30">
        <f ca="1"/>
        <v>0</v>
      </c>
      <c r="EN24" s="27">
        <f ca="1"/>
        <v>22</v>
      </c>
      <c r="EO24" s="30" t="str">
        <f ca="1"/>
        <v>Drew</v>
      </c>
      <c r="EP24" s="30">
        <f ca="1"/>
        <v>0</v>
      </c>
      <c r="EQ24" s="13"/>
      <c r="ER24" s="13"/>
      <c r="ET24" s="29">
        <f ca="1"/>
        <v>22</v>
      </c>
      <c r="EU24" s="30" t="str">
        <f ca="1"/>
        <v>Drew</v>
      </c>
      <c r="EV24" s="30" t="e" vm="14">
        <f ca="1"/>
        <v>#VALUE!</v>
      </c>
      <c r="EW24" s="30" t="e">
        <f ca="1"/>
        <v>#VALUE!</v>
      </c>
      <c r="EX24" s="13"/>
      <c r="EY24" s="30">
        <f ca="1"/>
        <v>0</v>
      </c>
      <c r="FA24" s="27">
        <f ca="1"/>
        <v>22</v>
      </c>
      <c r="FB24" s="30" t="str">
        <f ca="1"/>
        <v>Drew</v>
      </c>
      <c r="FC24" s="30">
        <f ca="1"/>
        <v>0</v>
      </c>
      <c r="FD24" s="13"/>
      <c r="FE24" s="13"/>
      <c r="FG24" s="29">
        <f ca="1"/>
        <v>22</v>
      </c>
      <c r="FH24" s="30" t="str">
        <f ca="1"/>
        <v>Drew</v>
      </c>
      <c r="FI24" s="30" t="e" vm="14">
        <f ca="1"/>
        <v>#VALUE!</v>
      </c>
      <c r="FJ24" s="30" t="e">
        <f ca="1"/>
        <v>#VALUE!</v>
      </c>
      <c r="FK24" s="13"/>
      <c r="FL24" s="30">
        <f ca="1"/>
        <v>0</v>
      </c>
      <c r="FN24" s="27">
        <f ca="1"/>
        <v>22</v>
      </c>
      <c r="FO24" s="30" t="str">
        <f ca="1"/>
        <v>Drew</v>
      </c>
      <c r="FP24" s="30">
        <f ca="1"/>
        <v>0</v>
      </c>
      <c r="FQ24" s="13"/>
      <c r="FR24" s="13"/>
      <c r="FT24" s="29">
        <f ca="1"/>
        <v>22</v>
      </c>
      <c r="FU24" s="30" t="str">
        <f ca="1"/>
        <v>Drew</v>
      </c>
      <c r="FV24" s="30" t="e" vm="14">
        <f ca="1"/>
        <v>#VALUE!</v>
      </c>
      <c r="FW24" s="30" t="e">
        <f ca="1"/>
        <v>#VALUE!</v>
      </c>
      <c r="FX24" s="13"/>
      <c r="FY24" s="30">
        <f ca="1"/>
        <v>0</v>
      </c>
      <c r="GA24" s="27">
        <f ca="1"/>
        <v>22</v>
      </c>
      <c r="GB24" s="30" t="str">
        <f ca="1"/>
        <v>Drew</v>
      </c>
      <c r="GC24" s="30">
        <f ca="1"/>
        <v>0</v>
      </c>
      <c r="GD24" s="13"/>
      <c r="GE24" s="13"/>
      <c r="GG24" s="29">
        <f ca="1"/>
        <v>22</v>
      </c>
      <c r="GH24" s="30" t="str">
        <f ca="1"/>
        <v>Drew</v>
      </c>
      <c r="GI24" s="30" t="e" vm="14">
        <f ca="1"/>
        <v>#VALUE!</v>
      </c>
      <c r="GJ24" s="30" t="e">
        <f ca="1"/>
        <v>#VALUE!</v>
      </c>
      <c r="GK24" s="13"/>
      <c r="GL24" s="30">
        <f ca="1"/>
        <v>0</v>
      </c>
      <c r="GN24" s="27">
        <f ca="1"/>
        <v>22</v>
      </c>
      <c r="GO24" s="30" t="str">
        <f ca="1"/>
        <v>Drew</v>
      </c>
      <c r="GP24" s="30">
        <f ca="1"/>
        <v>0</v>
      </c>
      <c r="GQ24" s="13"/>
      <c r="GR24" s="13"/>
      <c r="GT24" s="29">
        <f ca="1"/>
        <v>22</v>
      </c>
      <c r="GU24" s="30" t="str">
        <f ca="1"/>
        <v>Drew</v>
      </c>
      <c r="GV24" s="30" t="e" vm="14">
        <f ca="1"/>
        <v>#VALUE!</v>
      </c>
      <c r="GW24" s="30" t="e">
        <f ca="1"/>
        <v>#VALUE!</v>
      </c>
      <c r="GX24" s="13"/>
      <c r="GY24" s="30">
        <f ca="1"/>
        <v>0</v>
      </c>
      <c r="HA24" s="27">
        <f ca="1"/>
        <v>22</v>
      </c>
      <c r="HB24" s="30" t="str">
        <f ca="1"/>
        <v>Drew</v>
      </c>
      <c r="HC24" s="30">
        <f ca="1"/>
        <v>0</v>
      </c>
      <c r="HD24" s="13"/>
      <c r="HE24" s="13"/>
      <c r="HF24" s="1"/>
      <c r="HG24" s="29">
        <f ca="1"/>
        <v>22</v>
      </c>
      <c r="HH24" s="30" t="str">
        <f ca="1"/>
        <v>Drew</v>
      </c>
      <c r="HI24" s="30" t="e" vm="14">
        <f ca="1"/>
        <v>#VALUE!</v>
      </c>
      <c r="HJ24" s="30" t="e">
        <f ca="1"/>
        <v>#VALUE!</v>
      </c>
      <c r="HK24" s="13"/>
      <c r="HL24" s="30">
        <f ca="1"/>
        <v>0</v>
      </c>
      <c r="HN24" s="27">
        <f ca="1"/>
        <v>22</v>
      </c>
      <c r="HO24" s="30" t="str">
        <f ca="1"/>
        <v>Drew</v>
      </c>
      <c r="HP24" s="30">
        <f ca="1"/>
        <v>0</v>
      </c>
      <c r="HQ24" s="13"/>
      <c r="HR24" s="13"/>
      <c r="HT24" s="29">
        <f ca="1"/>
        <v>22</v>
      </c>
      <c r="HU24" s="30" t="str">
        <f ca="1"/>
        <v>Drew</v>
      </c>
      <c r="HV24" s="30" t="e" vm="14">
        <f ca="1"/>
        <v>#VALUE!</v>
      </c>
      <c r="HW24" s="30" t="e">
        <f ca="1"/>
        <v>#VALUE!</v>
      </c>
      <c r="HX24" s="13"/>
      <c r="HY24" s="30">
        <f ca="1"/>
        <v>0</v>
      </c>
      <c r="IA24" s="27">
        <f ca="1"/>
        <v>22</v>
      </c>
      <c r="IB24" s="30" t="str">
        <f ca="1"/>
        <v>Drew</v>
      </c>
      <c r="IC24" s="30">
        <f ca="1"/>
        <v>0</v>
      </c>
      <c r="ID24" s="13"/>
      <c r="IE24" s="13"/>
      <c r="IG24" s="29">
        <f ca="1"/>
        <v>22</v>
      </c>
      <c r="IH24" s="30" t="str">
        <f ca="1"/>
        <v>Drew</v>
      </c>
      <c r="II24" s="30" t="e" vm="14">
        <f ca="1"/>
        <v>#VALUE!</v>
      </c>
      <c r="IJ24" s="30" t="e">
        <f ca="1"/>
        <v>#VALUE!</v>
      </c>
      <c r="IK24" s="13"/>
      <c r="IL24" s="30">
        <f ca="1"/>
        <v>0</v>
      </c>
      <c r="IN24" s="27">
        <f ca="1"/>
        <v>22</v>
      </c>
      <c r="IO24" s="30" t="str">
        <f ca="1"/>
        <v>Drew</v>
      </c>
      <c r="IP24" s="30">
        <f ca="1"/>
        <v>0</v>
      </c>
      <c r="IQ24" s="13"/>
      <c r="IR24" s="13"/>
      <c r="IT24" s="29">
        <f ca="1"/>
        <v>22</v>
      </c>
      <c r="IU24" s="30" t="str">
        <f ca="1"/>
        <v>Drew</v>
      </c>
      <c r="IV24" s="30" t="e" vm="14">
        <f ca="1"/>
        <v>#VALUE!</v>
      </c>
      <c r="IW24" s="30" t="e">
        <f ca="1"/>
        <v>#VALUE!</v>
      </c>
      <c r="IX24" s="13"/>
      <c r="IY24" s="30">
        <f ca="1"/>
        <v>0</v>
      </c>
      <c r="JA24" s="27">
        <f ca="1"/>
        <v>22</v>
      </c>
      <c r="JB24" s="30" t="str">
        <f ca="1"/>
        <v>Drew</v>
      </c>
      <c r="JC24" s="30">
        <f ca="1"/>
        <v>0</v>
      </c>
      <c r="JD24" s="13"/>
      <c r="JE24" s="13"/>
      <c r="JG24" s="29">
        <f ca="1"/>
        <v>22</v>
      </c>
      <c r="JH24" s="30" t="str">
        <f ca="1"/>
        <v>Drew</v>
      </c>
      <c r="JI24" s="30" t="e" vm="14">
        <f ca="1"/>
        <v>#VALUE!</v>
      </c>
      <c r="JJ24" s="30" t="e">
        <f ca="1"/>
        <v>#VALUE!</v>
      </c>
      <c r="JK24" s="13"/>
      <c r="JL24" s="30">
        <f ca="1"/>
        <v>0</v>
      </c>
      <c r="JN24" s="27">
        <f ca="1"/>
        <v>22</v>
      </c>
      <c r="JO24" s="30" t="str">
        <f ca="1"/>
        <v>Drew</v>
      </c>
      <c r="JP24" s="30">
        <f ca="1"/>
        <v>0</v>
      </c>
      <c r="JQ24" s="13"/>
      <c r="JR24" s="13"/>
      <c r="JT24" s="29">
        <f ca="1"/>
        <v>22</v>
      </c>
      <c r="JU24" s="30" t="str">
        <f ca="1"/>
        <v>Drew</v>
      </c>
      <c r="JV24" s="30" t="e" vm="14">
        <f ca="1"/>
        <v>#VALUE!</v>
      </c>
      <c r="JW24" s="30" t="e">
        <f ca="1"/>
        <v>#VALUE!</v>
      </c>
      <c r="JX24" s="13"/>
      <c r="JY24" s="30">
        <f ca="1"/>
        <v>0</v>
      </c>
      <c r="KA24" s="27">
        <f ca="1"/>
        <v>22</v>
      </c>
      <c r="KB24" s="30" t="str">
        <f ca="1"/>
        <v>Drew</v>
      </c>
      <c r="KC24" s="30">
        <f ca="1"/>
        <v>0</v>
      </c>
      <c r="KD24" s="13"/>
      <c r="KE24" s="13"/>
      <c r="KG24" s="29">
        <f ca="1"/>
        <v>22</v>
      </c>
      <c r="KH24" s="30" t="str">
        <f ca="1"/>
        <v>Drew</v>
      </c>
      <c r="KI24" s="30" t="e" vm="14">
        <f ca="1"/>
        <v>#VALUE!</v>
      </c>
      <c r="KJ24" s="30" t="e">
        <f ca="1"/>
        <v>#VALUE!</v>
      </c>
      <c r="KK24" s="13"/>
      <c r="KL24" s="30">
        <f ca="1"/>
        <v>0</v>
      </c>
      <c r="KN24" s="27">
        <f ca="1"/>
        <v>22</v>
      </c>
      <c r="KO24" s="30" t="str">
        <f ca="1"/>
        <v>Drew</v>
      </c>
      <c r="KP24" s="30">
        <f ca="1"/>
        <v>0</v>
      </c>
      <c r="KQ24" s="13"/>
      <c r="KR24" s="13"/>
      <c r="KT24" s="29">
        <f ca="1"/>
        <v>22</v>
      </c>
      <c r="KU24" s="30" t="str">
        <f ca="1"/>
        <v>Drew</v>
      </c>
      <c r="KV24" s="30" t="e" vm="14">
        <f ca="1"/>
        <v>#VALUE!</v>
      </c>
      <c r="KW24" s="30" t="e">
        <f ca="1"/>
        <v>#VALUE!</v>
      </c>
      <c r="KX24" s="13"/>
      <c r="KY24" s="30">
        <f ca="1"/>
        <v>0</v>
      </c>
      <c r="LA24" s="27">
        <f ca="1"/>
        <v>22</v>
      </c>
      <c r="LB24" s="30" t="str">
        <f ca="1"/>
        <v>Drew</v>
      </c>
      <c r="LC24" s="30">
        <f ca="1"/>
        <v>0</v>
      </c>
      <c r="LD24" s="13"/>
      <c r="LE24" s="13"/>
      <c r="LG24" s="29">
        <f ca="1"/>
        <v>22</v>
      </c>
      <c r="LH24" s="30" t="str">
        <f ca="1"/>
        <v>Drew</v>
      </c>
      <c r="LI24" s="30" t="e" vm="14">
        <f ca="1"/>
        <v>#VALUE!</v>
      </c>
      <c r="LJ24" s="30" t="e">
        <f ca="1"/>
        <v>#VALUE!</v>
      </c>
      <c r="LK24" s="13"/>
      <c r="LL24" s="30">
        <f ca="1"/>
        <v>0</v>
      </c>
      <c r="LN24" s="27">
        <f ca="1"/>
        <v>22</v>
      </c>
      <c r="LO24" s="30" t="str">
        <f ca="1"/>
        <v>Drew</v>
      </c>
      <c r="LP24" s="30">
        <f ca="1"/>
        <v>0</v>
      </c>
      <c r="LQ24" s="13"/>
      <c r="LR24" s="13"/>
      <c r="LT24" s="29">
        <f ca="1"/>
        <v>22</v>
      </c>
      <c r="LU24" s="30" t="str">
        <f ca="1"/>
        <v>Drew</v>
      </c>
      <c r="LV24" s="30" t="e" vm="14">
        <f ca="1"/>
        <v>#VALUE!</v>
      </c>
      <c r="LW24" s="30" t="e">
        <f ca="1"/>
        <v>#VALUE!</v>
      </c>
      <c r="LX24" s="13"/>
      <c r="LY24" s="30">
        <f ca="1"/>
        <v>0</v>
      </c>
      <c r="MA24" s="27">
        <f ca="1"/>
        <v>22</v>
      </c>
      <c r="MB24" s="30" t="str">
        <f ca="1"/>
        <v>Drew</v>
      </c>
      <c r="MC24" s="30">
        <f ca="1"/>
        <v>0</v>
      </c>
      <c r="MD24" s="13"/>
      <c r="ME24" s="13"/>
      <c r="MG24" s="29">
        <f ca="1"/>
        <v>22</v>
      </c>
      <c r="MH24" s="30" t="str">
        <f ca="1"/>
        <v>Drew</v>
      </c>
      <c r="MI24" s="30" t="e" vm="14">
        <f ca="1"/>
        <v>#VALUE!</v>
      </c>
      <c r="MJ24" s="30" t="e">
        <f ca="1"/>
        <v>#VALUE!</v>
      </c>
      <c r="MK24" s="13"/>
      <c r="ML24" s="30">
        <f ca="1"/>
        <v>0</v>
      </c>
      <c r="MN24" s="27">
        <f ca="1"/>
        <v>22</v>
      </c>
      <c r="MO24" s="30" t="str">
        <f ca="1"/>
        <v>Drew</v>
      </c>
      <c r="MP24" s="30">
        <f ca="1"/>
        <v>0</v>
      </c>
      <c r="MQ24" s="13"/>
      <c r="MR24" s="13"/>
      <c r="MS24" s="1"/>
      <c r="MT24" s="29">
        <f ca="1"/>
        <v>22</v>
      </c>
      <c r="MU24" s="30" t="str">
        <f ca="1"/>
        <v>Drew</v>
      </c>
      <c r="MV24" s="30" t="e" vm="14">
        <f ca="1"/>
        <v>#VALUE!</v>
      </c>
      <c r="MW24" s="30" t="e">
        <f ca="1"/>
        <v>#VALUE!</v>
      </c>
      <c r="MX24" s="13"/>
      <c r="MY24" s="30">
        <f ca="1"/>
        <v>0</v>
      </c>
      <c r="NA24" s="27">
        <f ca="1"/>
        <v>22</v>
      </c>
      <c r="NB24" s="30" t="str">
        <f ca="1"/>
        <v>Drew</v>
      </c>
      <c r="NC24" s="30">
        <f ca="1"/>
        <v>0</v>
      </c>
      <c r="ND24" s="13"/>
      <c r="NE24" s="13"/>
      <c r="NG24" s="29">
        <f ca="1"/>
        <v>22</v>
      </c>
      <c r="NH24" s="30" t="str">
        <f ca="1"/>
        <v>Drew</v>
      </c>
      <c r="NI24" s="30" t="e" vm="14">
        <f ca="1"/>
        <v>#VALUE!</v>
      </c>
      <c r="NJ24" s="30" t="e">
        <f ca="1"/>
        <v>#VALUE!</v>
      </c>
      <c r="NK24" s="13"/>
      <c r="NL24" s="30">
        <f ca="1"/>
        <v>0</v>
      </c>
      <c r="NN24" s="27">
        <f ca="1"/>
        <v>22</v>
      </c>
      <c r="NO24" s="30" t="str">
        <f ca="1"/>
        <v>Drew</v>
      </c>
      <c r="NP24" s="30">
        <f ca="1"/>
        <v>0</v>
      </c>
      <c r="NQ24" s="13"/>
      <c r="NR24" s="13"/>
      <c r="NT24" s="29">
        <f ca="1"/>
        <v>22</v>
      </c>
      <c r="NU24" s="30" t="str">
        <f ca="1"/>
        <v>Drew</v>
      </c>
      <c r="NV24" s="30" t="e" vm="14">
        <f ca="1"/>
        <v>#VALUE!</v>
      </c>
      <c r="NW24" s="30" t="e">
        <f ca="1"/>
        <v>#VALUE!</v>
      </c>
      <c r="NX24" s="13"/>
      <c r="NY24" s="30">
        <f ca="1"/>
        <v>0</v>
      </c>
      <c r="OA24" s="27">
        <f ca="1"/>
        <v>22</v>
      </c>
      <c r="OB24" s="30" t="str">
        <f ca="1"/>
        <v>Drew</v>
      </c>
      <c r="OC24" s="30">
        <f ca="1"/>
        <v>0</v>
      </c>
      <c r="OD24" s="13"/>
      <c r="OE24" s="13"/>
      <c r="OG24" s="29">
        <f ca="1"/>
        <v>22</v>
      </c>
      <c r="OH24" s="30" t="str">
        <f ca="1"/>
        <v>Drew</v>
      </c>
      <c r="OI24" s="30" t="e" vm="14">
        <f ca="1"/>
        <v>#VALUE!</v>
      </c>
      <c r="OJ24" s="30" t="e">
        <f ca="1"/>
        <v>#VALUE!</v>
      </c>
      <c r="OK24" s="13"/>
      <c r="OL24" s="30">
        <f ca="1"/>
        <v>0</v>
      </c>
      <c r="ON24" s="27">
        <f ca="1"/>
        <v>22</v>
      </c>
      <c r="OO24" s="30" t="str">
        <f ca="1"/>
        <v>Drew</v>
      </c>
      <c r="OP24" s="30">
        <f ca="1"/>
        <v>0</v>
      </c>
      <c r="OQ24" s="13"/>
      <c r="OR24" s="13"/>
      <c r="OT24" s="29">
        <f ca="1"/>
        <v>22</v>
      </c>
      <c r="OU24" s="30" t="str">
        <f ca="1"/>
        <v>Drew</v>
      </c>
      <c r="OV24" s="30" t="e" vm="14">
        <f ca="1"/>
        <v>#VALUE!</v>
      </c>
      <c r="OW24" s="30" t="e">
        <f ca="1"/>
        <v>#VALUE!</v>
      </c>
      <c r="OX24" s="13"/>
      <c r="OY24" s="30">
        <f ca="1"/>
        <v>0</v>
      </c>
      <c r="PA24" s="27">
        <f ca="1"/>
        <v>22</v>
      </c>
      <c r="PB24" s="30" t="str">
        <f ca="1"/>
        <v>Drew</v>
      </c>
      <c r="PC24" s="30">
        <f ca="1"/>
        <v>0</v>
      </c>
      <c r="PD24" s="13"/>
      <c r="PE24" s="13"/>
      <c r="PG24" s="29">
        <f ca="1"/>
        <v>22</v>
      </c>
      <c r="PH24" s="30" t="str">
        <f ca="1"/>
        <v>Drew</v>
      </c>
      <c r="PI24" s="30" t="e" vm="14">
        <f ca="1"/>
        <v>#VALUE!</v>
      </c>
      <c r="PJ24" s="30" t="e">
        <f ca="1"/>
        <v>#VALUE!</v>
      </c>
      <c r="PK24" s="13"/>
      <c r="PL24" s="30">
        <f ca="1"/>
        <v>0</v>
      </c>
      <c r="PN24" s="27">
        <f ca="1"/>
        <v>22</v>
      </c>
      <c r="PO24" s="30" t="str">
        <f ca="1"/>
        <v>Drew</v>
      </c>
      <c r="PP24" s="30">
        <f ca="1"/>
        <v>0</v>
      </c>
      <c r="PQ24" s="13"/>
      <c r="PR24" s="13"/>
      <c r="PT24" s="29">
        <f ca="1"/>
        <v>22</v>
      </c>
      <c r="PU24" s="30" t="str">
        <f ca="1"/>
        <v>Drew</v>
      </c>
      <c r="PV24" s="30" t="e" vm="14">
        <f ca="1"/>
        <v>#VALUE!</v>
      </c>
      <c r="PW24" s="30" t="e">
        <f ca="1"/>
        <v>#VALUE!</v>
      </c>
      <c r="PX24" s="13"/>
      <c r="PY24" s="30">
        <f ca="1"/>
        <v>0</v>
      </c>
      <c r="QA24" s="27">
        <f ca="1"/>
        <v>22</v>
      </c>
      <c r="QB24" s="30" t="str">
        <f ca="1"/>
        <v>Drew</v>
      </c>
      <c r="QC24" s="30">
        <f ca="1"/>
        <v>0</v>
      </c>
      <c r="QD24" s="13"/>
      <c r="QE24" s="13"/>
      <c r="QG24" s="29">
        <f ca="1"/>
        <v>22</v>
      </c>
      <c r="QH24" s="30" t="str">
        <f ca="1"/>
        <v>Drew</v>
      </c>
      <c r="QI24" s="30" t="e" vm="14">
        <f ca="1"/>
        <v>#VALUE!</v>
      </c>
      <c r="QJ24" s="30" t="e">
        <f ca="1"/>
        <v>#VALUE!</v>
      </c>
      <c r="QK24" s="13"/>
      <c r="QL24" s="30">
        <f ca="1"/>
        <v>0</v>
      </c>
      <c r="QN24" s="27">
        <f ca="1"/>
        <v>22</v>
      </c>
      <c r="QO24" s="30" t="str">
        <f ca="1"/>
        <v>Drew</v>
      </c>
      <c r="QP24" s="30">
        <f ca="1"/>
        <v>0</v>
      </c>
      <c r="QQ24" s="13"/>
      <c r="QR24" s="13"/>
      <c r="QT24" s="29">
        <f ca="1"/>
        <v>22</v>
      </c>
      <c r="QU24" s="30" t="str">
        <f ca="1"/>
        <v>Drew</v>
      </c>
      <c r="QV24" s="30" t="e" vm="14">
        <f ca="1"/>
        <v>#VALUE!</v>
      </c>
      <c r="QW24" s="30" t="e">
        <f ca="1"/>
        <v>#VALUE!</v>
      </c>
      <c r="QX24" s="13"/>
      <c r="QY24" s="30">
        <f ca="1"/>
        <v>0</v>
      </c>
      <c r="RA24" s="27">
        <f ca="1"/>
        <v>22</v>
      </c>
      <c r="RB24" s="30" t="str">
        <f ca="1"/>
        <v>Drew</v>
      </c>
      <c r="RC24" s="30">
        <f ca="1"/>
        <v>0</v>
      </c>
      <c r="RD24" s="13"/>
      <c r="RE24" s="13"/>
      <c r="RG24" s="29">
        <f ca="1"/>
        <v>22</v>
      </c>
      <c r="RH24" s="30" t="str">
        <f ca="1"/>
        <v>Drew</v>
      </c>
      <c r="RI24" s="30" t="e" vm="14">
        <f ca="1"/>
        <v>#VALUE!</v>
      </c>
      <c r="RJ24" s="30" t="e">
        <f ca="1"/>
        <v>#VALUE!</v>
      </c>
      <c r="RK24" s="13"/>
      <c r="RL24" s="30">
        <f ca="1"/>
        <v>0</v>
      </c>
      <c r="RN24" s="27">
        <f ca="1"/>
        <v>22</v>
      </c>
      <c r="RO24" s="30" t="str">
        <f ca="1"/>
        <v>Drew</v>
      </c>
      <c r="RP24" s="30">
        <f ca="1"/>
        <v>0</v>
      </c>
      <c r="RQ24" s="13"/>
      <c r="RR24" s="13"/>
      <c r="RT24" s="29">
        <f ca="1"/>
        <v>22</v>
      </c>
      <c r="RU24" s="30" t="str">
        <f ca="1"/>
        <v>Drew</v>
      </c>
      <c r="RV24" s="30" t="e" vm="14">
        <f ca="1"/>
        <v>#VALUE!</v>
      </c>
      <c r="RW24" s="30" t="e">
        <f ca="1"/>
        <v>#VALUE!</v>
      </c>
      <c r="RX24" s="13"/>
      <c r="RY24" s="30">
        <f ca="1"/>
        <v>0</v>
      </c>
      <c r="SA24" s="27">
        <f ca="1"/>
        <v>22</v>
      </c>
      <c r="SB24" s="30" t="str">
        <f ca="1"/>
        <v>Drew</v>
      </c>
      <c r="SC24" s="30">
        <f ca="1"/>
        <v>0</v>
      </c>
      <c r="SD24" s="13"/>
      <c r="SE24" s="13"/>
      <c r="SG24" s="29">
        <f ca="1"/>
        <v>22</v>
      </c>
      <c r="SH24" s="30" t="str">
        <f ca="1"/>
        <v>Drew</v>
      </c>
      <c r="SI24" s="30" t="e" vm="14">
        <f ca="1"/>
        <v>#VALUE!</v>
      </c>
      <c r="SJ24" s="30" t="e">
        <f ca="1"/>
        <v>#VALUE!</v>
      </c>
      <c r="SK24" s="13"/>
      <c r="SL24" s="30">
        <f ca="1"/>
        <v>0</v>
      </c>
      <c r="SN24" s="27">
        <f ca="1"/>
        <v>22</v>
      </c>
      <c r="SO24" s="30" t="str">
        <f ca="1"/>
        <v>Drew</v>
      </c>
      <c r="SP24" s="30">
        <f ca="1"/>
        <v>0</v>
      </c>
      <c r="SQ24" s="13"/>
      <c r="SR24" s="13"/>
      <c r="ST24" s="29">
        <f ca="1"/>
        <v>22</v>
      </c>
      <c r="SU24" s="30" t="str">
        <f ca="1"/>
        <v>Drew</v>
      </c>
      <c r="SV24" s="30" t="e" vm="14">
        <f ca="1"/>
        <v>#VALUE!</v>
      </c>
      <c r="SW24" s="30" t="e">
        <f ca="1"/>
        <v>#VALUE!</v>
      </c>
      <c r="SX24" s="13"/>
      <c r="SY24" s="30">
        <f ca="1"/>
        <v>0</v>
      </c>
      <c r="TA24" s="29">
        <f ca="1"/>
        <v>22</v>
      </c>
      <c r="TB24" s="30" t="str">
        <f ca="1"/>
        <v>Drew</v>
      </c>
      <c r="TC24" s="30" t="e" vm="14">
        <f ca="1"/>
        <v>#VALUE!</v>
      </c>
      <c r="TD24" s="30">
        <f ca="1"/>
        <v>110</v>
      </c>
    </row>
    <row r="25" spans="1:524" ht="20.100000000000001" customHeight="1">
      <c r="A25" s="27">
        <f ca="1"/>
        <v>23</v>
      </c>
      <c r="B25" s="30" t="str">
        <f ca="1"/>
        <v>Rejemy</v>
      </c>
      <c r="C25" s="30">
        <v>1</v>
      </c>
      <c r="D25" s="13"/>
      <c r="E25" s="57">
        <v>11890</v>
      </c>
      <c r="G25" s="29">
        <f ca="1"/>
        <v>23</v>
      </c>
      <c r="H25" s="30" t="str">
        <f ca="1"/>
        <v>Sjors</v>
      </c>
      <c r="I25" s="30" t="e" vm="12">
        <f ca="1"/>
        <v>#VALUE!</v>
      </c>
      <c r="J25" s="55" t="e">
        <f ca="1"/>
        <v>#VALUE!</v>
      </c>
      <c r="K25" s="13"/>
      <c r="L25" s="30">
        <f ca="1"/>
        <v>1</v>
      </c>
      <c r="N25" s="27">
        <f ca="1"/>
        <v>23</v>
      </c>
      <c r="O25" s="30" t="str">
        <f ca="1"/>
        <v>Sjors</v>
      </c>
      <c r="P25" s="30">
        <f ca="1"/>
        <v>1</v>
      </c>
      <c r="Q25" s="13"/>
      <c r="R25" s="13">
        <v>12457</v>
      </c>
      <c r="T25" s="29">
        <f ca="1"/>
        <v>23</v>
      </c>
      <c r="U25" s="30" t="str">
        <f ca="1"/>
        <v>Rejemy</v>
      </c>
      <c r="V25" s="30" t="e" vm="15">
        <f ca="1"/>
        <v>#VALUE!</v>
      </c>
      <c r="W25" s="30" t="e">
        <f ca="1"/>
        <v>#VALUE!</v>
      </c>
      <c r="X25" s="13">
        <v>1</v>
      </c>
      <c r="Y25" s="30">
        <f ca="1"/>
        <v>0</v>
      </c>
      <c r="AA25" s="27">
        <f ca="1"/>
        <v>23</v>
      </c>
      <c r="AB25" s="30" t="str">
        <f ca="1"/>
        <v>Rejemy</v>
      </c>
      <c r="AC25" s="30">
        <f ca="1"/>
        <v>0</v>
      </c>
      <c r="AD25" s="13"/>
      <c r="AE25" s="13"/>
      <c r="AG25" s="29">
        <f ca="1"/>
        <v>23</v>
      </c>
      <c r="AH25" s="30" t="str">
        <f ca="1"/>
        <v>Rejemy</v>
      </c>
      <c r="AI25" s="30" t="e" vm="15">
        <f ca="1"/>
        <v>#VALUE!</v>
      </c>
      <c r="AJ25" s="30" t="e">
        <f ca="1"/>
        <v>#VALUE!</v>
      </c>
      <c r="AK25" s="13"/>
      <c r="AL25" s="30">
        <f ca="1"/>
        <v>0</v>
      </c>
      <c r="AN25" s="27">
        <f ca="1"/>
        <v>23</v>
      </c>
      <c r="AO25" s="30" t="str">
        <f ca="1"/>
        <v>Rejemy</v>
      </c>
      <c r="AP25" s="30">
        <f ca="1"/>
        <v>0</v>
      </c>
      <c r="AQ25" s="13"/>
      <c r="AR25" s="13"/>
      <c r="AT25" s="29">
        <f ca="1"/>
        <v>23</v>
      </c>
      <c r="AU25" s="30" t="str">
        <f ca="1"/>
        <v>Rejemy</v>
      </c>
      <c r="AV25" s="30" t="e" vm="15">
        <f ca="1"/>
        <v>#VALUE!</v>
      </c>
      <c r="AW25" s="30" t="e">
        <f ca="1"/>
        <v>#VALUE!</v>
      </c>
      <c r="AX25" s="13"/>
      <c r="AY25" s="30">
        <f ca="1"/>
        <v>0</v>
      </c>
      <c r="BA25" s="27">
        <f ca="1"/>
        <v>23</v>
      </c>
      <c r="BB25" s="30" t="str">
        <f ca="1"/>
        <v>Rejemy</v>
      </c>
      <c r="BC25" s="30">
        <f ca="1"/>
        <v>0</v>
      </c>
      <c r="BD25" s="13"/>
      <c r="BE25" s="13"/>
      <c r="BG25" s="29">
        <f ca="1"/>
        <v>23</v>
      </c>
      <c r="BH25" s="30" t="str">
        <f ca="1"/>
        <v>Rejemy</v>
      </c>
      <c r="BI25" s="30" t="e" vm="15">
        <f ca="1"/>
        <v>#VALUE!</v>
      </c>
      <c r="BJ25" s="30" t="e">
        <f ca="1"/>
        <v>#VALUE!</v>
      </c>
      <c r="BK25" s="13"/>
      <c r="BL25" s="30">
        <f ca="1"/>
        <v>0</v>
      </c>
      <c r="BN25" s="27">
        <f ca="1"/>
        <v>23</v>
      </c>
      <c r="BO25" s="30" t="str">
        <f ca="1"/>
        <v>Rejemy</v>
      </c>
      <c r="BP25" s="30">
        <f ca="1"/>
        <v>0</v>
      </c>
      <c r="BQ25" s="13"/>
      <c r="BR25" s="13"/>
      <c r="BS25" s="1"/>
      <c r="BT25" s="29">
        <f ca="1"/>
        <v>23</v>
      </c>
      <c r="BU25" s="30" t="str">
        <f ca="1"/>
        <v>Rejemy</v>
      </c>
      <c r="BV25" s="30" t="e" vm="15">
        <f ca="1"/>
        <v>#VALUE!</v>
      </c>
      <c r="BW25" s="30" t="e">
        <f ca="1"/>
        <v>#VALUE!</v>
      </c>
      <c r="BX25" s="13"/>
      <c r="BY25" s="30">
        <f ca="1"/>
        <v>0</v>
      </c>
      <c r="CA25" s="27">
        <f ca="1"/>
        <v>23</v>
      </c>
      <c r="CB25" s="30" t="str">
        <f ca="1"/>
        <v>Rejemy</v>
      </c>
      <c r="CC25" s="30">
        <f ca="1"/>
        <v>0</v>
      </c>
      <c r="CD25" s="13"/>
      <c r="CE25" s="13"/>
      <c r="CG25" s="29">
        <f ca="1"/>
        <v>23</v>
      </c>
      <c r="CH25" s="30" t="str">
        <f ca="1"/>
        <v>Rejemy</v>
      </c>
      <c r="CI25" s="30" t="e" vm="15">
        <f ca="1"/>
        <v>#VALUE!</v>
      </c>
      <c r="CJ25" s="30" t="e">
        <f ca="1"/>
        <v>#VALUE!</v>
      </c>
      <c r="CK25" s="13"/>
      <c r="CL25" s="30">
        <f ca="1"/>
        <v>0</v>
      </c>
      <c r="CN25" s="27">
        <f ca="1"/>
        <v>23</v>
      </c>
      <c r="CO25" s="30" t="str">
        <f ca="1"/>
        <v>Rejemy</v>
      </c>
      <c r="CP25" s="30">
        <f ca="1"/>
        <v>0</v>
      </c>
      <c r="CQ25" s="13"/>
      <c r="CR25" s="13"/>
      <c r="CT25" s="29">
        <f ca="1"/>
        <v>23</v>
      </c>
      <c r="CU25" s="30" t="str">
        <f ca="1"/>
        <v>Rejemy</v>
      </c>
      <c r="CV25" s="30" t="e" vm="15">
        <f ca="1"/>
        <v>#VALUE!</v>
      </c>
      <c r="CW25" s="30" t="e">
        <f ca="1"/>
        <v>#VALUE!</v>
      </c>
      <c r="CX25" s="13"/>
      <c r="CY25" s="30">
        <f ca="1"/>
        <v>0</v>
      </c>
      <c r="DA25" s="27">
        <f ca="1"/>
        <v>23</v>
      </c>
      <c r="DB25" s="30" t="str">
        <f ca="1"/>
        <v>Rejemy</v>
      </c>
      <c r="DC25" s="30">
        <f ca="1"/>
        <v>0</v>
      </c>
      <c r="DD25" s="13"/>
      <c r="DE25" s="13"/>
      <c r="DG25" s="29">
        <f ca="1"/>
        <v>23</v>
      </c>
      <c r="DH25" s="30" t="str">
        <f ca="1"/>
        <v>Rejemy</v>
      </c>
      <c r="DI25" s="30" t="e" vm="15">
        <f ca="1"/>
        <v>#VALUE!</v>
      </c>
      <c r="DJ25" s="30" t="e">
        <f ca="1"/>
        <v>#VALUE!</v>
      </c>
      <c r="DK25" s="13"/>
      <c r="DL25" s="30">
        <f ca="1"/>
        <v>0</v>
      </c>
      <c r="DN25" s="27">
        <f ca="1"/>
        <v>23</v>
      </c>
      <c r="DO25" s="30" t="str">
        <f ca="1"/>
        <v>Rejemy</v>
      </c>
      <c r="DP25" s="30">
        <f ca="1"/>
        <v>0</v>
      </c>
      <c r="DQ25" s="13"/>
      <c r="DR25" s="13"/>
      <c r="DT25" s="29">
        <f ca="1"/>
        <v>23</v>
      </c>
      <c r="DU25" s="30" t="str">
        <f ca="1"/>
        <v>Rejemy</v>
      </c>
      <c r="DV25" s="30" t="e" vm="15">
        <f ca="1"/>
        <v>#VALUE!</v>
      </c>
      <c r="DW25" s="30" t="e">
        <f ca="1"/>
        <v>#VALUE!</v>
      </c>
      <c r="DX25" s="13"/>
      <c r="DY25" s="30">
        <f ca="1"/>
        <v>0</v>
      </c>
      <c r="EA25" s="27">
        <f ca="1"/>
        <v>23</v>
      </c>
      <c r="EB25" s="30" t="str">
        <f ca="1"/>
        <v>Rejemy</v>
      </c>
      <c r="EC25" s="30">
        <f ca="1"/>
        <v>0</v>
      </c>
      <c r="ED25" s="13"/>
      <c r="EE25" s="13"/>
      <c r="EG25" s="29">
        <f ca="1"/>
        <v>23</v>
      </c>
      <c r="EH25" s="30" t="str">
        <f ca="1"/>
        <v>Rejemy</v>
      </c>
      <c r="EI25" s="30" t="e" vm="15">
        <f ca="1"/>
        <v>#VALUE!</v>
      </c>
      <c r="EJ25" s="30" t="e">
        <f ca="1"/>
        <v>#VALUE!</v>
      </c>
      <c r="EK25" s="13"/>
      <c r="EL25" s="30">
        <f ca="1"/>
        <v>0</v>
      </c>
      <c r="EN25" s="27">
        <f ca="1"/>
        <v>23</v>
      </c>
      <c r="EO25" s="30" t="str">
        <f ca="1"/>
        <v>Rejemy</v>
      </c>
      <c r="EP25" s="30">
        <f ca="1"/>
        <v>0</v>
      </c>
      <c r="EQ25" s="13"/>
      <c r="ER25" s="13"/>
      <c r="ET25" s="29">
        <f ca="1"/>
        <v>23</v>
      </c>
      <c r="EU25" s="30" t="str">
        <f ca="1"/>
        <v>Rejemy</v>
      </c>
      <c r="EV25" s="30" t="e" vm="15">
        <f ca="1"/>
        <v>#VALUE!</v>
      </c>
      <c r="EW25" s="30" t="e">
        <f ca="1"/>
        <v>#VALUE!</v>
      </c>
      <c r="EX25" s="13"/>
      <c r="EY25" s="30">
        <f ca="1"/>
        <v>0</v>
      </c>
      <c r="FA25" s="27">
        <f ca="1"/>
        <v>23</v>
      </c>
      <c r="FB25" s="30" t="str">
        <f ca="1"/>
        <v>Rejemy</v>
      </c>
      <c r="FC25" s="30">
        <f ca="1"/>
        <v>0</v>
      </c>
      <c r="FD25" s="13"/>
      <c r="FE25" s="13"/>
      <c r="FG25" s="29">
        <f ca="1"/>
        <v>23</v>
      </c>
      <c r="FH25" s="30" t="str">
        <f ca="1"/>
        <v>Rejemy</v>
      </c>
      <c r="FI25" s="30" t="e" vm="15">
        <f ca="1"/>
        <v>#VALUE!</v>
      </c>
      <c r="FJ25" s="30" t="e">
        <f ca="1"/>
        <v>#VALUE!</v>
      </c>
      <c r="FK25" s="13"/>
      <c r="FL25" s="30">
        <f ca="1"/>
        <v>0</v>
      </c>
      <c r="FN25" s="27">
        <f ca="1"/>
        <v>23</v>
      </c>
      <c r="FO25" s="30" t="str">
        <f ca="1"/>
        <v>Rejemy</v>
      </c>
      <c r="FP25" s="30">
        <f ca="1"/>
        <v>0</v>
      </c>
      <c r="FQ25" s="13"/>
      <c r="FR25" s="13"/>
      <c r="FT25" s="29">
        <f ca="1"/>
        <v>23</v>
      </c>
      <c r="FU25" s="30" t="str">
        <f ca="1"/>
        <v>Rejemy</v>
      </c>
      <c r="FV25" s="30" t="e" vm="15">
        <f ca="1"/>
        <v>#VALUE!</v>
      </c>
      <c r="FW25" s="30" t="e">
        <f ca="1"/>
        <v>#VALUE!</v>
      </c>
      <c r="FX25" s="13"/>
      <c r="FY25" s="30">
        <f ca="1"/>
        <v>0</v>
      </c>
      <c r="GA25" s="27">
        <f ca="1"/>
        <v>23</v>
      </c>
      <c r="GB25" s="30" t="str">
        <f ca="1"/>
        <v>Rejemy</v>
      </c>
      <c r="GC25" s="30">
        <f ca="1"/>
        <v>0</v>
      </c>
      <c r="GD25" s="13"/>
      <c r="GE25" s="13"/>
      <c r="GG25" s="29">
        <f ca="1"/>
        <v>23</v>
      </c>
      <c r="GH25" s="30" t="str">
        <f ca="1"/>
        <v>Rejemy</v>
      </c>
      <c r="GI25" s="30" t="e" vm="15">
        <f ca="1"/>
        <v>#VALUE!</v>
      </c>
      <c r="GJ25" s="30" t="e">
        <f ca="1"/>
        <v>#VALUE!</v>
      </c>
      <c r="GK25" s="13"/>
      <c r="GL25" s="30">
        <f ca="1"/>
        <v>0</v>
      </c>
      <c r="GN25" s="27">
        <f ca="1"/>
        <v>23</v>
      </c>
      <c r="GO25" s="30" t="str">
        <f ca="1"/>
        <v>Rejemy</v>
      </c>
      <c r="GP25" s="30">
        <f ca="1"/>
        <v>0</v>
      </c>
      <c r="GQ25" s="13"/>
      <c r="GR25" s="13"/>
      <c r="GT25" s="29">
        <f ca="1"/>
        <v>23</v>
      </c>
      <c r="GU25" s="30" t="str">
        <f ca="1"/>
        <v>Rejemy</v>
      </c>
      <c r="GV25" s="30" t="e" vm="15">
        <f ca="1"/>
        <v>#VALUE!</v>
      </c>
      <c r="GW25" s="30" t="e">
        <f ca="1"/>
        <v>#VALUE!</v>
      </c>
      <c r="GX25" s="13"/>
      <c r="GY25" s="30">
        <f ca="1"/>
        <v>0</v>
      </c>
      <c r="HA25" s="27">
        <f ca="1"/>
        <v>23</v>
      </c>
      <c r="HB25" s="30" t="str">
        <f ca="1"/>
        <v>Rejemy</v>
      </c>
      <c r="HC25" s="30">
        <f ca="1"/>
        <v>0</v>
      </c>
      <c r="HD25" s="13"/>
      <c r="HE25" s="13"/>
      <c r="HF25" s="1"/>
      <c r="HG25" s="29">
        <f ca="1"/>
        <v>23</v>
      </c>
      <c r="HH25" s="30" t="str">
        <f ca="1"/>
        <v>Rejemy</v>
      </c>
      <c r="HI25" s="30" t="e" vm="15">
        <f ca="1"/>
        <v>#VALUE!</v>
      </c>
      <c r="HJ25" s="30" t="e">
        <f ca="1"/>
        <v>#VALUE!</v>
      </c>
      <c r="HK25" s="13"/>
      <c r="HL25" s="30">
        <f ca="1"/>
        <v>0</v>
      </c>
      <c r="HN25" s="27">
        <f ca="1"/>
        <v>23</v>
      </c>
      <c r="HO25" s="30" t="str">
        <f ca="1"/>
        <v>Rejemy</v>
      </c>
      <c r="HP25" s="30">
        <f ca="1"/>
        <v>0</v>
      </c>
      <c r="HQ25" s="13"/>
      <c r="HR25" s="13"/>
      <c r="HT25" s="29">
        <f ca="1"/>
        <v>23</v>
      </c>
      <c r="HU25" s="30" t="str">
        <f ca="1"/>
        <v>Rejemy</v>
      </c>
      <c r="HV25" s="30" t="e" vm="15">
        <f ca="1"/>
        <v>#VALUE!</v>
      </c>
      <c r="HW25" s="30" t="e">
        <f ca="1"/>
        <v>#VALUE!</v>
      </c>
      <c r="HX25" s="13"/>
      <c r="HY25" s="30">
        <f ca="1"/>
        <v>0</v>
      </c>
      <c r="IA25" s="27">
        <f ca="1"/>
        <v>23</v>
      </c>
      <c r="IB25" s="30" t="str">
        <f ca="1"/>
        <v>Rejemy</v>
      </c>
      <c r="IC25" s="30">
        <f ca="1"/>
        <v>0</v>
      </c>
      <c r="ID25" s="13"/>
      <c r="IE25" s="13"/>
      <c r="IG25" s="29">
        <f ca="1"/>
        <v>23</v>
      </c>
      <c r="IH25" s="30" t="str">
        <f ca="1"/>
        <v>Rejemy</v>
      </c>
      <c r="II25" s="30" t="e" vm="15">
        <f ca="1"/>
        <v>#VALUE!</v>
      </c>
      <c r="IJ25" s="30" t="e">
        <f ca="1"/>
        <v>#VALUE!</v>
      </c>
      <c r="IK25" s="13"/>
      <c r="IL25" s="30">
        <f ca="1"/>
        <v>0</v>
      </c>
      <c r="IN25" s="27">
        <f ca="1"/>
        <v>23</v>
      </c>
      <c r="IO25" s="30" t="str">
        <f ca="1"/>
        <v>Rejemy</v>
      </c>
      <c r="IP25" s="30">
        <f ca="1"/>
        <v>0</v>
      </c>
      <c r="IQ25" s="13"/>
      <c r="IR25" s="13"/>
      <c r="IT25" s="29">
        <f ca="1"/>
        <v>23</v>
      </c>
      <c r="IU25" s="30" t="str">
        <f ca="1"/>
        <v>Rejemy</v>
      </c>
      <c r="IV25" s="30" t="e" vm="15">
        <f ca="1"/>
        <v>#VALUE!</v>
      </c>
      <c r="IW25" s="30" t="e">
        <f ca="1"/>
        <v>#VALUE!</v>
      </c>
      <c r="IX25" s="13"/>
      <c r="IY25" s="30">
        <f ca="1"/>
        <v>0</v>
      </c>
      <c r="JA25" s="27">
        <f ca="1"/>
        <v>23</v>
      </c>
      <c r="JB25" s="30" t="str">
        <f ca="1"/>
        <v>Rejemy</v>
      </c>
      <c r="JC25" s="30">
        <f ca="1"/>
        <v>0</v>
      </c>
      <c r="JD25" s="13"/>
      <c r="JE25" s="13"/>
      <c r="JG25" s="29">
        <f ca="1"/>
        <v>23</v>
      </c>
      <c r="JH25" s="30" t="str">
        <f ca="1"/>
        <v>Rejemy</v>
      </c>
      <c r="JI25" s="30" t="e" vm="15">
        <f ca="1"/>
        <v>#VALUE!</v>
      </c>
      <c r="JJ25" s="30" t="e">
        <f ca="1"/>
        <v>#VALUE!</v>
      </c>
      <c r="JK25" s="13"/>
      <c r="JL25" s="30">
        <f ca="1"/>
        <v>0</v>
      </c>
      <c r="JN25" s="27">
        <f ca="1"/>
        <v>23</v>
      </c>
      <c r="JO25" s="30" t="str">
        <f ca="1"/>
        <v>Rejemy</v>
      </c>
      <c r="JP25" s="30">
        <f ca="1"/>
        <v>0</v>
      </c>
      <c r="JQ25" s="13"/>
      <c r="JR25" s="13"/>
      <c r="JT25" s="29">
        <f ca="1"/>
        <v>23</v>
      </c>
      <c r="JU25" s="30" t="str">
        <f ca="1"/>
        <v>Rejemy</v>
      </c>
      <c r="JV25" s="30" t="e" vm="15">
        <f ca="1"/>
        <v>#VALUE!</v>
      </c>
      <c r="JW25" s="30" t="e">
        <f ca="1"/>
        <v>#VALUE!</v>
      </c>
      <c r="JX25" s="13"/>
      <c r="JY25" s="30">
        <f ca="1"/>
        <v>0</v>
      </c>
      <c r="KA25" s="27">
        <f ca="1"/>
        <v>23</v>
      </c>
      <c r="KB25" s="30" t="str">
        <f ca="1"/>
        <v>Rejemy</v>
      </c>
      <c r="KC25" s="30">
        <f ca="1"/>
        <v>0</v>
      </c>
      <c r="KD25" s="13"/>
      <c r="KE25" s="13"/>
      <c r="KG25" s="29">
        <f ca="1"/>
        <v>23</v>
      </c>
      <c r="KH25" s="30" t="str">
        <f ca="1"/>
        <v>Rejemy</v>
      </c>
      <c r="KI25" s="30" t="e" vm="15">
        <f ca="1"/>
        <v>#VALUE!</v>
      </c>
      <c r="KJ25" s="30" t="e">
        <f ca="1"/>
        <v>#VALUE!</v>
      </c>
      <c r="KK25" s="13"/>
      <c r="KL25" s="30">
        <f ca="1"/>
        <v>0</v>
      </c>
      <c r="KN25" s="27">
        <f ca="1"/>
        <v>23</v>
      </c>
      <c r="KO25" s="30" t="str">
        <f ca="1"/>
        <v>Rejemy</v>
      </c>
      <c r="KP25" s="30">
        <f ca="1"/>
        <v>0</v>
      </c>
      <c r="KQ25" s="13"/>
      <c r="KR25" s="13"/>
      <c r="KT25" s="29">
        <f ca="1"/>
        <v>23</v>
      </c>
      <c r="KU25" s="30" t="str">
        <f ca="1"/>
        <v>Rejemy</v>
      </c>
      <c r="KV25" s="30" t="e" vm="15">
        <f ca="1"/>
        <v>#VALUE!</v>
      </c>
      <c r="KW25" s="30" t="e">
        <f ca="1"/>
        <v>#VALUE!</v>
      </c>
      <c r="KX25" s="13"/>
      <c r="KY25" s="30">
        <f ca="1"/>
        <v>0</v>
      </c>
      <c r="LA25" s="27">
        <f ca="1"/>
        <v>23</v>
      </c>
      <c r="LB25" s="30" t="str">
        <f ca="1"/>
        <v>Rejemy</v>
      </c>
      <c r="LC25" s="30">
        <f ca="1"/>
        <v>0</v>
      </c>
      <c r="LD25" s="13"/>
      <c r="LE25" s="13"/>
      <c r="LG25" s="29">
        <f ca="1"/>
        <v>23</v>
      </c>
      <c r="LH25" s="30" t="str">
        <f ca="1"/>
        <v>Rejemy</v>
      </c>
      <c r="LI25" s="30" t="e" vm="15">
        <f ca="1"/>
        <v>#VALUE!</v>
      </c>
      <c r="LJ25" s="30" t="e">
        <f ca="1"/>
        <v>#VALUE!</v>
      </c>
      <c r="LK25" s="13"/>
      <c r="LL25" s="30">
        <f ca="1"/>
        <v>0</v>
      </c>
      <c r="LN25" s="27">
        <f ca="1"/>
        <v>23</v>
      </c>
      <c r="LO25" s="30" t="str">
        <f ca="1"/>
        <v>Rejemy</v>
      </c>
      <c r="LP25" s="30">
        <f ca="1"/>
        <v>0</v>
      </c>
      <c r="LQ25" s="13"/>
      <c r="LR25" s="13"/>
      <c r="LT25" s="29">
        <f ca="1"/>
        <v>23</v>
      </c>
      <c r="LU25" s="30" t="str">
        <f ca="1"/>
        <v>Rejemy</v>
      </c>
      <c r="LV25" s="30" t="e" vm="15">
        <f ca="1"/>
        <v>#VALUE!</v>
      </c>
      <c r="LW25" s="30" t="e">
        <f ca="1"/>
        <v>#VALUE!</v>
      </c>
      <c r="LX25" s="13"/>
      <c r="LY25" s="30">
        <f ca="1"/>
        <v>0</v>
      </c>
      <c r="MA25" s="27">
        <f ca="1"/>
        <v>23</v>
      </c>
      <c r="MB25" s="30" t="str">
        <f ca="1"/>
        <v>Rejemy</v>
      </c>
      <c r="MC25" s="30">
        <f ca="1"/>
        <v>0</v>
      </c>
      <c r="MD25" s="13"/>
      <c r="ME25" s="13"/>
      <c r="MG25" s="29">
        <f ca="1"/>
        <v>23</v>
      </c>
      <c r="MH25" s="30" t="str">
        <f ca="1"/>
        <v>Rejemy</v>
      </c>
      <c r="MI25" s="30" t="e" vm="15">
        <f ca="1"/>
        <v>#VALUE!</v>
      </c>
      <c r="MJ25" s="30" t="e">
        <f ca="1"/>
        <v>#VALUE!</v>
      </c>
      <c r="MK25" s="13"/>
      <c r="ML25" s="30">
        <f ca="1"/>
        <v>0</v>
      </c>
      <c r="MN25" s="27">
        <f ca="1"/>
        <v>23</v>
      </c>
      <c r="MO25" s="30" t="str">
        <f ca="1"/>
        <v>Rejemy</v>
      </c>
      <c r="MP25" s="30">
        <f ca="1"/>
        <v>0</v>
      </c>
      <c r="MQ25" s="13"/>
      <c r="MR25" s="13"/>
      <c r="MS25" s="1"/>
      <c r="MT25" s="29">
        <f ca="1"/>
        <v>23</v>
      </c>
      <c r="MU25" s="30" t="str">
        <f ca="1"/>
        <v>Rejemy</v>
      </c>
      <c r="MV25" s="30" t="e" vm="15">
        <f ca="1"/>
        <v>#VALUE!</v>
      </c>
      <c r="MW25" s="30" t="e">
        <f ca="1"/>
        <v>#VALUE!</v>
      </c>
      <c r="MX25" s="13"/>
      <c r="MY25" s="30">
        <f ca="1"/>
        <v>0</v>
      </c>
      <c r="NA25" s="27">
        <f ca="1"/>
        <v>23</v>
      </c>
      <c r="NB25" s="30" t="str">
        <f ca="1"/>
        <v>Rejemy</v>
      </c>
      <c r="NC25" s="30">
        <f ca="1"/>
        <v>0</v>
      </c>
      <c r="ND25" s="13"/>
      <c r="NE25" s="13"/>
      <c r="NG25" s="29">
        <f ca="1"/>
        <v>23</v>
      </c>
      <c r="NH25" s="30" t="str">
        <f ca="1"/>
        <v>Rejemy</v>
      </c>
      <c r="NI25" s="30" t="e" vm="15">
        <f ca="1"/>
        <v>#VALUE!</v>
      </c>
      <c r="NJ25" s="30" t="e">
        <f ca="1"/>
        <v>#VALUE!</v>
      </c>
      <c r="NK25" s="13"/>
      <c r="NL25" s="30">
        <f ca="1"/>
        <v>0</v>
      </c>
      <c r="NN25" s="27">
        <f ca="1"/>
        <v>23</v>
      </c>
      <c r="NO25" s="30" t="str">
        <f ca="1"/>
        <v>Rejemy</v>
      </c>
      <c r="NP25" s="30">
        <f ca="1"/>
        <v>0</v>
      </c>
      <c r="NQ25" s="13"/>
      <c r="NR25" s="13"/>
      <c r="NT25" s="29">
        <f ca="1"/>
        <v>23</v>
      </c>
      <c r="NU25" s="30" t="str">
        <f ca="1"/>
        <v>Rejemy</v>
      </c>
      <c r="NV25" s="30" t="e" vm="15">
        <f ca="1"/>
        <v>#VALUE!</v>
      </c>
      <c r="NW25" s="30" t="e">
        <f ca="1"/>
        <v>#VALUE!</v>
      </c>
      <c r="NX25" s="13"/>
      <c r="NY25" s="30">
        <f ca="1"/>
        <v>0</v>
      </c>
      <c r="OA25" s="27">
        <f ca="1"/>
        <v>23</v>
      </c>
      <c r="OB25" s="30" t="str">
        <f ca="1"/>
        <v>Rejemy</v>
      </c>
      <c r="OC25" s="30">
        <f ca="1"/>
        <v>0</v>
      </c>
      <c r="OD25" s="13"/>
      <c r="OE25" s="13"/>
      <c r="OG25" s="29">
        <f ca="1"/>
        <v>23</v>
      </c>
      <c r="OH25" s="30" t="str">
        <f ca="1"/>
        <v>Rejemy</v>
      </c>
      <c r="OI25" s="30" t="e" vm="15">
        <f ca="1"/>
        <v>#VALUE!</v>
      </c>
      <c r="OJ25" s="30" t="e">
        <f ca="1"/>
        <v>#VALUE!</v>
      </c>
      <c r="OK25" s="13"/>
      <c r="OL25" s="30">
        <f ca="1"/>
        <v>0</v>
      </c>
      <c r="ON25" s="27">
        <f ca="1"/>
        <v>23</v>
      </c>
      <c r="OO25" s="30" t="str">
        <f ca="1"/>
        <v>Rejemy</v>
      </c>
      <c r="OP25" s="30">
        <f ca="1"/>
        <v>0</v>
      </c>
      <c r="OQ25" s="13"/>
      <c r="OR25" s="13"/>
      <c r="OT25" s="29">
        <f ca="1"/>
        <v>23</v>
      </c>
      <c r="OU25" s="30" t="str">
        <f ca="1"/>
        <v>Rejemy</v>
      </c>
      <c r="OV25" s="30" t="e" vm="15">
        <f ca="1"/>
        <v>#VALUE!</v>
      </c>
      <c r="OW25" s="30" t="e">
        <f ca="1"/>
        <v>#VALUE!</v>
      </c>
      <c r="OX25" s="13"/>
      <c r="OY25" s="30">
        <f ca="1"/>
        <v>0</v>
      </c>
      <c r="PA25" s="27">
        <f ca="1"/>
        <v>23</v>
      </c>
      <c r="PB25" s="30" t="str">
        <f ca="1"/>
        <v>Rejemy</v>
      </c>
      <c r="PC25" s="30">
        <f ca="1"/>
        <v>0</v>
      </c>
      <c r="PD25" s="13"/>
      <c r="PE25" s="13"/>
      <c r="PG25" s="29">
        <f ca="1"/>
        <v>23</v>
      </c>
      <c r="PH25" s="30" t="str">
        <f ca="1"/>
        <v>Rejemy</v>
      </c>
      <c r="PI25" s="30" t="e" vm="15">
        <f ca="1"/>
        <v>#VALUE!</v>
      </c>
      <c r="PJ25" s="30" t="e">
        <f ca="1"/>
        <v>#VALUE!</v>
      </c>
      <c r="PK25" s="13"/>
      <c r="PL25" s="30">
        <f ca="1"/>
        <v>0</v>
      </c>
      <c r="PN25" s="27">
        <f ca="1"/>
        <v>23</v>
      </c>
      <c r="PO25" s="30" t="str">
        <f ca="1"/>
        <v>Rejemy</v>
      </c>
      <c r="PP25" s="30">
        <f ca="1"/>
        <v>0</v>
      </c>
      <c r="PQ25" s="13"/>
      <c r="PR25" s="13"/>
      <c r="PT25" s="29">
        <f ca="1"/>
        <v>23</v>
      </c>
      <c r="PU25" s="30" t="str">
        <f ca="1"/>
        <v>Rejemy</v>
      </c>
      <c r="PV25" s="30" t="e" vm="15">
        <f ca="1"/>
        <v>#VALUE!</v>
      </c>
      <c r="PW25" s="30" t="e">
        <f ca="1"/>
        <v>#VALUE!</v>
      </c>
      <c r="PX25" s="13"/>
      <c r="PY25" s="30">
        <f ca="1"/>
        <v>0</v>
      </c>
      <c r="QA25" s="27">
        <f ca="1"/>
        <v>23</v>
      </c>
      <c r="QB25" s="30" t="str">
        <f ca="1"/>
        <v>Rejemy</v>
      </c>
      <c r="QC25" s="30">
        <f ca="1"/>
        <v>0</v>
      </c>
      <c r="QD25" s="13"/>
      <c r="QE25" s="13"/>
      <c r="QG25" s="29">
        <f ca="1"/>
        <v>23</v>
      </c>
      <c r="QH25" s="30" t="str">
        <f ca="1"/>
        <v>Rejemy</v>
      </c>
      <c r="QI25" s="30" t="e" vm="15">
        <f ca="1"/>
        <v>#VALUE!</v>
      </c>
      <c r="QJ25" s="30" t="e">
        <f ca="1"/>
        <v>#VALUE!</v>
      </c>
      <c r="QK25" s="13"/>
      <c r="QL25" s="30">
        <f ca="1"/>
        <v>0</v>
      </c>
      <c r="QN25" s="27">
        <f ca="1"/>
        <v>23</v>
      </c>
      <c r="QO25" s="30" t="str">
        <f ca="1"/>
        <v>Rejemy</v>
      </c>
      <c r="QP25" s="30">
        <f ca="1"/>
        <v>0</v>
      </c>
      <c r="QQ25" s="13"/>
      <c r="QR25" s="13"/>
      <c r="QT25" s="29">
        <f ca="1"/>
        <v>23</v>
      </c>
      <c r="QU25" s="30" t="str">
        <f ca="1"/>
        <v>Rejemy</v>
      </c>
      <c r="QV25" s="30" t="e" vm="15">
        <f ca="1"/>
        <v>#VALUE!</v>
      </c>
      <c r="QW25" s="30" t="e">
        <f ca="1"/>
        <v>#VALUE!</v>
      </c>
      <c r="QX25" s="13"/>
      <c r="QY25" s="30">
        <f ca="1"/>
        <v>0</v>
      </c>
      <c r="RA25" s="27">
        <f ca="1"/>
        <v>23</v>
      </c>
      <c r="RB25" s="30" t="str">
        <f ca="1"/>
        <v>Rejemy</v>
      </c>
      <c r="RC25" s="30">
        <f ca="1"/>
        <v>0</v>
      </c>
      <c r="RD25" s="13"/>
      <c r="RE25" s="13"/>
      <c r="RG25" s="29">
        <f ca="1"/>
        <v>23</v>
      </c>
      <c r="RH25" s="30" t="str">
        <f ca="1"/>
        <v>Rejemy</v>
      </c>
      <c r="RI25" s="30" t="e" vm="15">
        <f ca="1"/>
        <v>#VALUE!</v>
      </c>
      <c r="RJ25" s="30" t="e">
        <f ca="1"/>
        <v>#VALUE!</v>
      </c>
      <c r="RK25" s="13"/>
      <c r="RL25" s="30">
        <f ca="1"/>
        <v>0</v>
      </c>
      <c r="RN25" s="27">
        <f ca="1"/>
        <v>23</v>
      </c>
      <c r="RO25" s="30" t="str">
        <f ca="1"/>
        <v>Rejemy</v>
      </c>
      <c r="RP25" s="30">
        <f ca="1"/>
        <v>0</v>
      </c>
      <c r="RQ25" s="13"/>
      <c r="RR25" s="13"/>
      <c r="RT25" s="29">
        <f ca="1"/>
        <v>23</v>
      </c>
      <c r="RU25" s="30" t="str">
        <f ca="1"/>
        <v>Rejemy</v>
      </c>
      <c r="RV25" s="30" t="e" vm="15">
        <f ca="1"/>
        <v>#VALUE!</v>
      </c>
      <c r="RW25" s="30" t="e">
        <f ca="1"/>
        <v>#VALUE!</v>
      </c>
      <c r="RX25" s="13"/>
      <c r="RY25" s="30">
        <f ca="1"/>
        <v>0</v>
      </c>
      <c r="SA25" s="27">
        <f ca="1"/>
        <v>23</v>
      </c>
      <c r="SB25" s="30" t="str">
        <f ca="1"/>
        <v>Rejemy</v>
      </c>
      <c r="SC25" s="30">
        <f ca="1"/>
        <v>0</v>
      </c>
      <c r="SD25" s="13"/>
      <c r="SE25" s="13"/>
      <c r="SG25" s="29">
        <f ca="1"/>
        <v>23</v>
      </c>
      <c r="SH25" s="30" t="str">
        <f ca="1"/>
        <v>Rejemy</v>
      </c>
      <c r="SI25" s="30" t="e" vm="15">
        <f ca="1"/>
        <v>#VALUE!</v>
      </c>
      <c r="SJ25" s="30" t="e">
        <f ca="1"/>
        <v>#VALUE!</v>
      </c>
      <c r="SK25" s="13"/>
      <c r="SL25" s="30">
        <f ca="1"/>
        <v>0</v>
      </c>
      <c r="SN25" s="27">
        <f ca="1"/>
        <v>23</v>
      </c>
      <c r="SO25" s="30" t="str">
        <f ca="1"/>
        <v>Rejemy</v>
      </c>
      <c r="SP25" s="30">
        <f ca="1"/>
        <v>0</v>
      </c>
      <c r="SQ25" s="13"/>
      <c r="SR25" s="13"/>
      <c r="ST25" s="29">
        <f ca="1"/>
        <v>23</v>
      </c>
      <c r="SU25" s="30" t="str">
        <f ca="1"/>
        <v>Rejemy</v>
      </c>
      <c r="SV25" s="30" t="e" vm="15">
        <f ca="1"/>
        <v>#VALUE!</v>
      </c>
      <c r="SW25" s="30" t="e">
        <f ca="1"/>
        <v>#VALUE!</v>
      </c>
      <c r="SX25" s="13"/>
      <c r="SY25" s="30">
        <f ca="1"/>
        <v>0</v>
      </c>
      <c r="TA25" s="29">
        <f ca="1"/>
        <v>23</v>
      </c>
      <c r="TB25" s="30" t="str">
        <f ca="1"/>
        <v>Rejemy</v>
      </c>
      <c r="TC25" s="30" t="e" vm="15">
        <f ca="1"/>
        <v>#VALUE!</v>
      </c>
      <c r="TD25" s="30">
        <f ca="1"/>
        <v>100</v>
      </c>
    </row>
    <row r="26" spans="1:524" ht="20.100000000000001" customHeight="1">
      <c r="A26" s="27">
        <f ca="1"/>
        <v>24</v>
      </c>
      <c r="B26" s="30" t="str">
        <f ca="1"/>
        <v>Mark</v>
      </c>
      <c r="C26" s="30">
        <v>1</v>
      </c>
      <c r="D26" s="13"/>
      <c r="E26" s="57">
        <v>12139</v>
      </c>
      <c r="G26" s="29">
        <f ca="1"/>
        <v>24</v>
      </c>
      <c r="H26" s="30" t="str">
        <f ca="1"/>
        <v>Narnet</v>
      </c>
      <c r="I26" s="30" t="e" vm="19">
        <f ca="1"/>
        <v>#VALUE!</v>
      </c>
      <c r="J26" s="55" t="e">
        <f ca="1"/>
        <v>#VALUE!</v>
      </c>
      <c r="K26" s="13">
        <v>1</v>
      </c>
      <c r="L26" s="30">
        <f ca="1"/>
        <v>0</v>
      </c>
      <c r="N26" s="27">
        <f ca="1"/>
        <v>24</v>
      </c>
      <c r="O26" s="30" t="str">
        <f ca="1"/>
        <v>Narnet</v>
      </c>
      <c r="P26" s="30">
        <f ca="1"/>
        <v>0</v>
      </c>
      <c r="Q26" s="13"/>
      <c r="R26" s="13"/>
      <c r="T26" s="29">
        <f ca="1"/>
        <v>24</v>
      </c>
      <c r="U26" s="30" t="str">
        <f ca="1"/>
        <v>Narnet</v>
      </c>
      <c r="V26" s="30" t="e" vm="19">
        <f ca="1"/>
        <v>#VALUE!</v>
      </c>
      <c r="W26" s="30" t="e">
        <f ca="1"/>
        <v>#VALUE!</v>
      </c>
      <c r="X26" s="13"/>
      <c r="Y26" s="30">
        <f ca="1"/>
        <v>0</v>
      </c>
      <c r="AA26" s="27">
        <f ca="1"/>
        <v>24</v>
      </c>
      <c r="AB26" s="30" t="str">
        <f ca="1"/>
        <v>Narnet</v>
      </c>
      <c r="AC26" s="30">
        <f ca="1"/>
        <v>0</v>
      </c>
      <c r="AD26" s="13"/>
      <c r="AE26" s="13"/>
      <c r="AG26" s="29">
        <f ca="1"/>
        <v>24</v>
      </c>
      <c r="AH26" s="30" t="str">
        <f ca="1"/>
        <v>Narnet</v>
      </c>
      <c r="AI26" s="30" t="e" vm="19">
        <f ca="1"/>
        <v>#VALUE!</v>
      </c>
      <c r="AJ26" s="30" t="e">
        <f ca="1"/>
        <v>#VALUE!</v>
      </c>
      <c r="AK26" s="13"/>
      <c r="AL26" s="30">
        <f ca="1"/>
        <v>0</v>
      </c>
      <c r="AN26" s="27">
        <f ca="1"/>
        <v>24</v>
      </c>
      <c r="AO26" s="30" t="str">
        <f ca="1"/>
        <v>Narnet</v>
      </c>
      <c r="AP26" s="30">
        <f ca="1"/>
        <v>0</v>
      </c>
      <c r="AQ26" s="13"/>
      <c r="AR26" s="13"/>
      <c r="AT26" s="29">
        <f ca="1"/>
        <v>24</v>
      </c>
      <c r="AU26" s="30" t="str">
        <f ca="1"/>
        <v>Narnet</v>
      </c>
      <c r="AV26" s="30" t="e" vm="19">
        <f ca="1"/>
        <v>#VALUE!</v>
      </c>
      <c r="AW26" s="30" t="e">
        <f ca="1"/>
        <v>#VALUE!</v>
      </c>
      <c r="AX26" s="13"/>
      <c r="AY26" s="30">
        <f ca="1"/>
        <v>0</v>
      </c>
      <c r="BA26" s="27">
        <f ca="1"/>
        <v>24</v>
      </c>
      <c r="BB26" s="30" t="str">
        <f ca="1"/>
        <v>Narnet</v>
      </c>
      <c r="BC26" s="30">
        <f ca="1"/>
        <v>0</v>
      </c>
      <c r="BD26" s="13"/>
      <c r="BE26" s="13"/>
      <c r="BG26" s="29">
        <f ca="1"/>
        <v>24</v>
      </c>
      <c r="BH26" s="30" t="str">
        <f ca="1"/>
        <v>Narnet</v>
      </c>
      <c r="BI26" s="30" t="e" vm="19">
        <f ca="1"/>
        <v>#VALUE!</v>
      </c>
      <c r="BJ26" s="30" t="e">
        <f ca="1"/>
        <v>#VALUE!</v>
      </c>
      <c r="BK26" s="13"/>
      <c r="BL26" s="30">
        <f ca="1"/>
        <v>0</v>
      </c>
      <c r="BN26" s="27">
        <f ca="1"/>
        <v>24</v>
      </c>
      <c r="BO26" s="30" t="str">
        <f ca="1"/>
        <v>Narnet</v>
      </c>
      <c r="BP26" s="30">
        <f ca="1"/>
        <v>0</v>
      </c>
      <c r="BQ26" s="13"/>
      <c r="BR26" s="13"/>
      <c r="BS26" s="1"/>
      <c r="BT26" s="29">
        <f ca="1"/>
        <v>24</v>
      </c>
      <c r="BU26" s="30" t="str">
        <f ca="1"/>
        <v>Narnet</v>
      </c>
      <c r="BV26" s="30" t="e" vm="19">
        <f ca="1"/>
        <v>#VALUE!</v>
      </c>
      <c r="BW26" s="30" t="e">
        <f ca="1"/>
        <v>#VALUE!</v>
      </c>
      <c r="BX26" s="13"/>
      <c r="BY26" s="30">
        <f ca="1"/>
        <v>0</v>
      </c>
      <c r="CA26" s="27">
        <f ca="1"/>
        <v>24</v>
      </c>
      <c r="CB26" s="30" t="str">
        <f ca="1"/>
        <v>Narnet</v>
      </c>
      <c r="CC26" s="30">
        <f ca="1"/>
        <v>0</v>
      </c>
      <c r="CD26" s="13"/>
      <c r="CE26" s="13"/>
      <c r="CG26" s="29">
        <f ca="1"/>
        <v>24</v>
      </c>
      <c r="CH26" s="30" t="str">
        <f ca="1"/>
        <v>Narnet</v>
      </c>
      <c r="CI26" s="30" t="e" vm="19">
        <f ca="1"/>
        <v>#VALUE!</v>
      </c>
      <c r="CJ26" s="30" t="e">
        <f ca="1"/>
        <v>#VALUE!</v>
      </c>
      <c r="CK26" s="13"/>
      <c r="CL26" s="30">
        <f ca="1"/>
        <v>0</v>
      </c>
      <c r="CN26" s="27">
        <f ca="1"/>
        <v>24</v>
      </c>
      <c r="CO26" s="30" t="str">
        <f ca="1"/>
        <v>Narnet</v>
      </c>
      <c r="CP26" s="30">
        <f ca="1"/>
        <v>0</v>
      </c>
      <c r="CQ26" s="13"/>
      <c r="CR26" s="13"/>
      <c r="CT26" s="29">
        <f ca="1"/>
        <v>24</v>
      </c>
      <c r="CU26" s="30" t="str">
        <f ca="1"/>
        <v>Narnet</v>
      </c>
      <c r="CV26" s="30" t="e" vm="19">
        <f ca="1"/>
        <v>#VALUE!</v>
      </c>
      <c r="CW26" s="30" t="e">
        <f ca="1"/>
        <v>#VALUE!</v>
      </c>
      <c r="CX26" s="13"/>
      <c r="CY26" s="30">
        <f ca="1"/>
        <v>0</v>
      </c>
      <c r="DA26" s="27">
        <f ca="1"/>
        <v>24</v>
      </c>
      <c r="DB26" s="30" t="str">
        <f ca="1"/>
        <v>Narnet</v>
      </c>
      <c r="DC26" s="30">
        <f ca="1"/>
        <v>0</v>
      </c>
      <c r="DD26" s="13"/>
      <c r="DE26" s="13"/>
      <c r="DG26" s="29">
        <f ca="1"/>
        <v>24</v>
      </c>
      <c r="DH26" s="30" t="str">
        <f ca="1"/>
        <v>Narnet</v>
      </c>
      <c r="DI26" s="30" t="e" vm="19">
        <f ca="1"/>
        <v>#VALUE!</v>
      </c>
      <c r="DJ26" s="30" t="e">
        <f ca="1"/>
        <v>#VALUE!</v>
      </c>
      <c r="DK26" s="13"/>
      <c r="DL26" s="30">
        <f ca="1"/>
        <v>0</v>
      </c>
      <c r="DN26" s="27">
        <f ca="1"/>
        <v>24</v>
      </c>
      <c r="DO26" s="30" t="str">
        <f ca="1"/>
        <v>Narnet</v>
      </c>
      <c r="DP26" s="30">
        <f ca="1"/>
        <v>0</v>
      </c>
      <c r="DQ26" s="13"/>
      <c r="DR26" s="13"/>
      <c r="DT26" s="29">
        <f ca="1"/>
        <v>24</v>
      </c>
      <c r="DU26" s="30" t="str">
        <f ca="1"/>
        <v>Narnet</v>
      </c>
      <c r="DV26" s="30" t="e" vm="19">
        <f ca="1"/>
        <v>#VALUE!</v>
      </c>
      <c r="DW26" s="30" t="e">
        <f ca="1"/>
        <v>#VALUE!</v>
      </c>
      <c r="DX26" s="13"/>
      <c r="DY26" s="30">
        <f ca="1"/>
        <v>0</v>
      </c>
      <c r="EA26" s="27">
        <f ca="1"/>
        <v>24</v>
      </c>
      <c r="EB26" s="30" t="str">
        <f ca="1"/>
        <v>Narnet</v>
      </c>
      <c r="EC26" s="30">
        <f ca="1"/>
        <v>0</v>
      </c>
      <c r="ED26" s="13"/>
      <c r="EE26" s="13"/>
      <c r="EG26" s="29">
        <f ca="1"/>
        <v>24</v>
      </c>
      <c r="EH26" s="30" t="str">
        <f ca="1"/>
        <v>Narnet</v>
      </c>
      <c r="EI26" s="30" t="e" vm="19">
        <f ca="1"/>
        <v>#VALUE!</v>
      </c>
      <c r="EJ26" s="30" t="e">
        <f ca="1"/>
        <v>#VALUE!</v>
      </c>
      <c r="EK26" s="13"/>
      <c r="EL26" s="30">
        <f ca="1"/>
        <v>0</v>
      </c>
      <c r="EN26" s="27">
        <f ca="1"/>
        <v>24</v>
      </c>
      <c r="EO26" s="30" t="str">
        <f ca="1"/>
        <v>Narnet</v>
      </c>
      <c r="EP26" s="30">
        <f ca="1"/>
        <v>0</v>
      </c>
      <c r="EQ26" s="13"/>
      <c r="ER26" s="13"/>
      <c r="ET26" s="29">
        <f ca="1"/>
        <v>24</v>
      </c>
      <c r="EU26" s="30" t="str">
        <f ca="1"/>
        <v>Narnet</v>
      </c>
      <c r="EV26" s="30" t="e" vm="19">
        <f ca="1"/>
        <v>#VALUE!</v>
      </c>
      <c r="EW26" s="30" t="e">
        <f ca="1"/>
        <v>#VALUE!</v>
      </c>
      <c r="EX26" s="13"/>
      <c r="EY26" s="30">
        <f ca="1"/>
        <v>0</v>
      </c>
      <c r="FA26" s="27">
        <f ca="1"/>
        <v>24</v>
      </c>
      <c r="FB26" s="30" t="str">
        <f ca="1"/>
        <v>Narnet</v>
      </c>
      <c r="FC26" s="30">
        <f ca="1"/>
        <v>0</v>
      </c>
      <c r="FD26" s="13"/>
      <c r="FE26" s="13"/>
      <c r="FG26" s="29">
        <f ca="1"/>
        <v>24</v>
      </c>
      <c r="FH26" s="30" t="str">
        <f ca="1"/>
        <v>Narnet</v>
      </c>
      <c r="FI26" s="30" t="e" vm="19">
        <f ca="1"/>
        <v>#VALUE!</v>
      </c>
      <c r="FJ26" s="30" t="e">
        <f ca="1"/>
        <v>#VALUE!</v>
      </c>
      <c r="FK26" s="13"/>
      <c r="FL26" s="30">
        <f ca="1"/>
        <v>0</v>
      </c>
      <c r="FN26" s="27">
        <f ca="1"/>
        <v>24</v>
      </c>
      <c r="FO26" s="30" t="str">
        <f ca="1"/>
        <v>Narnet</v>
      </c>
      <c r="FP26" s="30">
        <f ca="1"/>
        <v>0</v>
      </c>
      <c r="FQ26" s="13"/>
      <c r="FR26" s="13"/>
      <c r="FT26" s="29">
        <f ca="1"/>
        <v>24</v>
      </c>
      <c r="FU26" s="30" t="str">
        <f ca="1"/>
        <v>Narnet</v>
      </c>
      <c r="FV26" s="30" t="e" vm="19">
        <f ca="1"/>
        <v>#VALUE!</v>
      </c>
      <c r="FW26" s="30" t="e">
        <f ca="1"/>
        <v>#VALUE!</v>
      </c>
      <c r="FX26" s="13"/>
      <c r="FY26" s="30">
        <f ca="1"/>
        <v>0</v>
      </c>
      <c r="GA26" s="27">
        <f ca="1"/>
        <v>24</v>
      </c>
      <c r="GB26" s="30" t="str">
        <f ca="1"/>
        <v>Narnet</v>
      </c>
      <c r="GC26" s="30">
        <f ca="1"/>
        <v>0</v>
      </c>
      <c r="GD26" s="13"/>
      <c r="GE26" s="13"/>
      <c r="GG26" s="29">
        <f ca="1"/>
        <v>24</v>
      </c>
      <c r="GH26" s="30" t="str">
        <f ca="1"/>
        <v>Narnet</v>
      </c>
      <c r="GI26" s="30" t="e" vm="19">
        <f ca="1"/>
        <v>#VALUE!</v>
      </c>
      <c r="GJ26" s="30" t="e">
        <f ca="1"/>
        <v>#VALUE!</v>
      </c>
      <c r="GK26" s="13"/>
      <c r="GL26" s="30">
        <f ca="1"/>
        <v>0</v>
      </c>
      <c r="GN26" s="27">
        <f ca="1"/>
        <v>24</v>
      </c>
      <c r="GO26" s="30" t="str">
        <f ca="1"/>
        <v>Narnet</v>
      </c>
      <c r="GP26" s="30">
        <f ca="1"/>
        <v>0</v>
      </c>
      <c r="GQ26" s="13"/>
      <c r="GR26" s="13"/>
      <c r="GT26" s="29">
        <f ca="1"/>
        <v>24</v>
      </c>
      <c r="GU26" s="30" t="str">
        <f ca="1"/>
        <v>Narnet</v>
      </c>
      <c r="GV26" s="30" t="e" vm="19">
        <f ca="1"/>
        <v>#VALUE!</v>
      </c>
      <c r="GW26" s="30" t="e">
        <f ca="1"/>
        <v>#VALUE!</v>
      </c>
      <c r="GX26" s="13"/>
      <c r="GY26" s="30">
        <f ca="1"/>
        <v>0</v>
      </c>
      <c r="HA26" s="27">
        <f ca="1"/>
        <v>24</v>
      </c>
      <c r="HB26" s="30" t="str">
        <f ca="1"/>
        <v>Narnet</v>
      </c>
      <c r="HC26" s="30">
        <f ca="1"/>
        <v>0</v>
      </c>
      <c r="HD26" s="13"/>
      <c r="HE26" s="13"/>
      <c r="HF26" s="1"/>
      <c r="HG26" s="29">
        <f ca="1"/>
        <v>24</v>
      </c>
      <c r="HH26" s="30" t="str">
        <f ca="1"/>
        <v>Narnet</v>
      </c>
      <c r="HI26" s="30" t="e" vm="19">
        <f ca="1"/>
        <v>#VALUE!</v>
      </c>
      <c r="HJ26" s="30" t="e">
        <f ca="1"/>
        <v>#VALUE!</v>
      </c>
      <c r="HK26" s="13"/>
      <c r="HL26" s="30">
        <f ca="1"/>
        <v>0</v>
      </c>
      <c r="HN26" s="27">
        <f ca="1"/>
        <v>24</v>
      </c>
      <c r="HO26" s="30" t="str">
        <f ca="1"/>
        <v>Narnet</v>
      </c>
      <c r="HP26" s="30">
        <f ca="1"/>
        <v>0</v>
      </c>
      <c r="HQ26" s="13"/>
      <c r="HR26" s="13"/>
      <c r="HT26" s="29">
        <f ca="1"/>
        <v>24</v>
      </c>
      <c r="HU26" s="30" t="str">
        <f ca="1"/>
        <v>Narnet</v>
      </c>
      <c r="HV26" s="30" t="e" vm="19">
        <f ca="1"/>
        <v>#VALUE!</v>
      </c>
      <c r="HW26" s="30" t="e">
        <f ca="1"/>
        <v>#VALUE!</v>
      </c>
      <c r="HX26" s="13"/>
      <c r="HY26" s="30">
        <f ca="1"/>
        <v>0</v>
      </c>
      <c r="IA26" s="27">
        <f ca="1"/>
        <v>24</v>
      </c>
      <c r="IB26" s="30" t="str">
        <f ca="1"/>
        <v>Narnet</v>
      </c>
      <c r="IC26" s="30">
        <f ca="1"/>
        <v>0</v>
      </c>
      <c r="ID26" s="13"/>
      <c r="IE26" s="13"/>
      <c r="IG26" s="29">
        <f ca="1"/>
        <v>24</v>
      </c>
      <c r="IH26" s="30" t="str">
        <f ca="1"/>
        <v>Narnet</v>
      </c>
      <c r="II26" s="30" t="e" vm="19">
        <f ca="1"/>
        <v>#VALUE!</v>
      </c>
      <c r="IJ26" s="30" t="e">
        <f ca="1"/>
        <v>#VALUE!</v>
      </c>
      <c r="IK26" s="13"/>
      <c r="IL26" s="30">
        <f ca="1"/>
        <v>0</v>
      </c>
      <c r="IN26" s="27">
        <f ca="1"/>
        <v>24</v>
      </c>
      <c r="IO26" s="30" t="str">
        <f ca="1"/>
        <v>Narnet</v>
      </c>
      <c r="IP26" s="30">
        <f ca="1"/>
        <v>0</v>
      </c>
      <c r="IQ26" s="13"/>
      <c r="IR26" s="13"/>
      <c r="IT26" s="29">
        <f ca="1"/>
        <v>24</v>
      </c>
      <c r="IU26" s="30" t="str">
        <f ca="1"/>
        <v>Narnet</v>
      </c>
      <c r="IV26" s="30" t="e" vm="19">
        <f ca="1"/>
        <v>#VALUE!</v>
      </c>
      <c r="IW26" s="30" t="e">
        <f ca="1"/>
        <v>#VALUE!</v>
      </c>
      <c r="IX26" s="13"/>
      <c r="IY26" s="30">
        <f ca="1"/>
        <v>0</v>
      </c>
      <c r="JA26" s="27">
        <f ca="1"/>
        <v>24</v>
      </c>
      <c r="JB26" s="30" t="str">
        <f ca="1"/>
        <v>Narnet</v>
      </c>
      <c r="JC26" s="30">
        <f ca="1"/>
        <v>0</v>
      </c>
      <c r="JD26" s="13"/>
      <c r="JE26" s="13"/>
      <c r="JG26" s="29">
        <f ca="1"/>
        <v>24</v>
      </c>
      <c r="JH26" s="30" t="str">
        <f ca="1"/>
        <v>Narnet</v>
      </c>
      <c r="JI26" s="30" t="e" vm="19">
        <f ca="1"/>
        <v>#VALUE!</v>
      </c>
      <c r="JJ26" s="30" t="e">
        <f ca="1"/>
        <v>#VALUE!</v>
      </c>
      <c r="JK26" s="13"/>
      <c r="JL26" s="30">
        <f ca="1"/>
        <v>0</v>
      </c>
      <c r="JN26" s="27">
        <f ca="1"/>
        <v>24</v>
      </c>
      <c r="JO26" s="30" t="str">
        <f ca="1"/>
        <v>Narnet</v>
      </c>
      <c r="JP26" s="30">
        <f ca="1"/>
        <v>0</v>
      </c>
      <c r="JQ26" s="13"/>
      <c r="JR26" s="13"/>
      <c r="JT26" s="29">
        <f ca="1"/>
        <v>24</v>
      </c>
      <c r="JU26" s="30" t="str">
        <f ca="1"/>
        <v>Narnet</v>
      </c>
      <c r="JV26" s="30" t="e" vm="19">
        <f ca="1"/>
        <v>#VALUE!</v>
      </c>
      <c r="JW26" s="30" t="e">
        <f ca="1"/>
        <v>#VALUE!</v>
      </c>
      <c r="JX26" s="13"/>
      <c r="JY26" s="30">
        <f ca="1"/>
        <v>0</v>
      </c>
      <c r="KA26" s="27">
        <f ca="1"/>
        <v>24</v>
      </c>
      <c r="KB26" s="30" t="str">
        <f ca="1"/>
        <v>Narnet</v>
      </c>
      <c r="KC26" s="30">
        <f ca="1"/>
        <v>0</v>
      </c>
      <c r="KD26" s="13"/>
      <c r="KE26" s="13"/>
      <c r="KG26" s="29">
        <f ca="1"/>
        <v>24</v>
      </c>
      <c r="KH26" s="30" t="str">
        <f ca="1"/>
        <v>Narnet</v>
      </c>
      <c r="KI26" s="30" t="e" vm="19">
        <f ca="1"/>
        <v>#VALUE!</v>
      </c>
      <c r="KJ26" s="30" t="e">
        <f ca="1"/>
        <v>#VALUE!</v>
      </c>
      <c r="KK26" s="13"/>
      <c r="KL26" s="30">
        <f ca="1"/>
        <v>0</v>
      </c>
      <c r="KN26" s="27">
        <f ca="1"/>
        <v>24</v>
      </c>
      <c r="KO26" s="30" t="str">
        <f ca="1"/>
        <v>Narnet</v>
      </c>
      <c r="KP26" s="30">
        <f ca="1"/>
        <v>0</v>
      </c>
      <c r="KQ26" s="13"/>
      <c r="KR26" s="13"/>
      <c r="KT26" s="29">
        <f ca="1"/>
        <v>24</v>
      </c>
      <c r="KU26" s="30" t="str">
        <f ca="1"/>
        <v>Narnet</v>
      </c>
      <c r="KV26" s="30" t="e" vm="19">
        <f ca="1"/>
        <v>#VALUE!</v>
      </c>
      <c r="KW26" s="30" t="e">
        <f ca="1"/>
        <v>#VALUE!</v>
      </c>
      <c r="KX26" s="13"/>
      <c r="KY26" s="30">
        <f ca="1"/>
        <v>0</v>
      </c>
      <c r="LA26" s="27">
        <f ca="1"/>
        <v>24</v>
      </c>
      <c r="LB26" s="30" t="str">
        <f ca="1"/>
        <v>Narnet</v>
      </c>
      <c r="LC26" s="30">
        <f ca="1"/>
        <v>0</v>
      </c>
      <c r="LD26" s="13"/>
      <c r="LE26" s="13"/>
      <c r="LG26" s="29">
        <f ca="1"/>
        <v>24</v>
      </c>
      <c r="LH26" s="30" t="str">
        <f ca="1"/>
        <v>Narnet</v>
      </c>
      <c r="LI26" s="30" t="e" vm="19">
        <f ca="1"/>
        <v>#VALUE!</v>
      </c>
      <c r="LJ26" s="30" t="e">
        <f ca="1"/>
        <v>#VALUE!</v>
      </c>
      <c r="LK26" s="13"/>
      <c r="LL26" s="30">
        <f ca="1"/>
        <v>0</v>
      </c>
      <c r="LN26" s="27">
        <f ca="1"/>
        <v>24</v>
      </c>
      <c r="LO26" s="30" t="str">
        <f ca="1"/>
        <v>Narnet</v>
      </c>
      <c r="LP26" s="30">
        <f ca="1"/>
        <v>0</v>
      </c>
      <c r="LQ26" s="13"/>
      <c r="LR26" s="13"/>
      <c r="LT26" s="29">
        <f ca="1"/>
        <v>24</v>
      </c>
      <c r="LU26" s="30" t="str">
        <f ca="1"/>
        <v>Narnet</v>
      </c>
      <c r="LV26" s="30" t="e" vm="19">
        <f ca="1"/>
        <v>#VALUE!</v>
      </c>
      <c r="LW26" s="30" t="e">
        <f ca="1"/>
        <v>#VALUE!</v>
      </c>
      <c r="LX26" s="13"/>
      <c r="LY26" s="30">
        <f ca="1"/>
        <v>0</v>
      </c>
      <c r="MA26" s="27">
        <f ca="1"/>
        <v>24</v>
      </c>
      <c r="MB26" s="30" t="str">
        <f ca="1"/>
        <v>Narnet</v>
      </c>
      <c r="MC26" s="30">
        <f ca="1"/>
        <v>0</v>
      </c>
      <c r="MD26" s="13"/>
      <c r="ME26" s="13"/>
      <c r="MG26" s="29">
        <f ca="1"/>
        <v>24</v>
      </c>
      <c r="MH26" s="30" t="str">
        <f ca="1"/>
        <v>Narnet</v>
      </c>
      <c r="MI26" s="30" t="e" vm="19">
        <f ca="1"/>
        <v>#VALUE!</v>
      </c>
      <c r="MJ26" s="30" t="e">
        <f ca="1"/>
        <v>#VALUE!</v>
      </c>
      <c r="MK26" s="13"/>
      <c r="ML26" s="30">
        <f ca="1"/>
        <v>0</v>
      </c>
      <c r="MN26" s="27">
        <f ca="1"/>
        <v>24</v>
      </c>
      <c r="MO26" s="30" t="str">
        <f ca="1"/>
        <v>Narnet</v>
      </c>
      <c r="MP26" s="30">
        <f ca="1"/>
        <v>0</v>
      </c>
      <c r="MQ26" s="13"/>
      <c r="MR26" s="13"/>
      <c r="MS26" s="1"/>
      <c r="MT26" s="29">
        <f ca="1"/>
        <v>24</v>
      </c>
      <c r="MU26" s="30" t="str">
        <f ca="1"/>
        <v>Narnet</v>
      </c>
      <c r="MV26" s="30" t="e" vm="19">
        <f ca="1"/>
        <v>#VALUE!</v>
      </c>
      <c r="MW26" s="30" t="e">
        <f ca="1"/>
        <v>#VALUE!</v>
      </c>
      <c r="MX26" s="13"/>
      <c r="MY26" s="30">
        <f ca="1"/>
        <v>0</v>
      </c>
      <c r="NA26" s="27">
        <f ca="1"/>
        <v>24</v>
      </c>
      <c r="NB26" s="30" t="str">
        <f ca="1"/>
        <v>Narnet</v>
      </c>
      <c r="NC26" s="30">
        <f ca="1"/>
        <v>0</v>
      </c>
      <c r="ND26" s="13"/>
      <c r="NE26" s="13"/>
      <c r="NG26" s="29">
        <f ca="1"/>
        <v>24</v>
      </c>
      <c r="NH26" s="30" t="str">
        <f ca="1"/>
        <v>Narnet</v>
      </c>
      <c r="NI26" s="30" t="e" vm="19">
        <f ca="1"/>
        <v>#VALUE!</v>
      </c>
      <c r="NJ26" s="30" t="e">
        <f ca="1"/>
        <v>#VALUE!</v>
      </c>
      <c r="NK26" s="13"/>
      <c r="NL26" s="30">
        <f ca="1"/>
        <v>0</v>
      </c>
      <c r="NN26" s="27">
        <f ca="1"/>
        <v>24</v>
      </c>
      <c r="NO26" s="30" t="str">
        <f ca="1"/>
        <v>Narnet</v>
      </c>
      <c r="NP26" s="30">
        <f ca="1"/>
        <v>0</v>
      </c>
      <c r="NQ26" s="13"/>
      <c r="NR26" s="13"/>
      <c r="NT26" s="29">
        <f ca="1"/>
        <v>24</v>
      </c>
      <c r="NU26" s="30" t="str">
        <f ca="1"/>
        <v>Narnet</v>
      </c>
      <c r="NV26" s="30" t="e" vm="19">
        <f ca="1"/>
        <v>#VALUE!</v>
      </c>
      <c r="NW26" s="30" t="e">
        <f ca="1"/>
        <v>#VALUE!</v>
      </c>
      <c r="NX26" s="13"/>
      <c r="NY26" s="30">
        <f ca="1"/>
        <v>0</v>
      </c>
      <c r="OA26" s="27">
        <f ca="1"/>
        <v>24</v>
      </c>
      <c r="OB26" s="30" t="str">
        <f ca="1"/>
        <v>Narnet</v>
      </c>
      <c r="OC26" s="30">
        <f ca="1"/>
        <v>0</v>
      </c>
      <c r="OD26" s="13"/>
      <c r="OE26" s="13"/>
      <c r="OG26" s="29">
        <f ca="1"/>
        <v>24</v>
      </c>
      <c r="OH26" s="30" t="str">
        <f ca="1"/>
        <v>Narnet</v>
      </c>
      <c r="OI26" s="30" t="e" vm="19">
        <f ca="1"/>
        <v>#VALUE!</v>
      </c>
      <c r="OJ26" s="30" t="e">
        <f ca="1"/>
        <v>#VALUE!</v>
      </c>
      <c r="OK26" s="13"/>
      <c r="OL26" s="30">
        <f ca="1"/>
        <v>0</v>
      </c>
      <c r="ON26" s="27">
        <f ca="1"/>
        <v>24</v>
      </c>
      <c r="OO26" s="30" t="str">
        <f ca="1"/>
        <v>Narnet</v>
      </c>
      <c r="OP26" s="30">
        <f ca="1"/>
        <v>0</v>
      </c>
      <c r="OQ26" s="13"/>
      <c r="OR26" s="13"/>
      <c r="OT26" s="29">
        <f ca="1"/>
        <v>24</v>
      </c>
      <c r="OU26" s="30" t="str">
        <f ca="1"/>
        <v>Narnet</v>
      </c>
      <c r="OV26" s="30" t="e" vm="19">
        <f ca="1"/>
        <v>#VALUE!</v>
      </c>
      <c r="OW26" s="30" t="e">
        <f ca="1"/>
        <v>#VALUE!</v>
      </c>
      <c r="OX26" s="13"/>
      <c r="OY26" s="30">
        <f ca="1"/>
        <v>0</v>
      </c>
      <c r="PA26" s="27">
        <f ca="1"/>
        <v>24</v>
      </c>
      <c r="PB26" s="30" t="str">
        <f ca="1"/>
        <v>Narnet</v>
      </c>
      <c r="PC26" s="30">
        <f ca="1"/>
        <v>0</v>
      </c>
      <c r="PD26" s="13"/>
      <c r="PE26" s="13"/>
      <c r="PG26" s="29">
        <f ca="1"/>
        <v>24</v>
      </c>
      <c r="PH26" s="30" t="str">
        <f ca="1"/>
        <v>Narnet</v>
      </c>
      <c r="PI26" s="30" t="e" vm="19">
        <f ca="1"/>
        <v>#VALUE!</v>
      </c>
      <c r="PJ26" s="30" t="e">
        <f ca="1"/>
        <v>#VALUE!</v>
      </c>
      <c r="PK26" s="13"/>
      <c r="PL26" s="30">
        <f ca="1"/>
        <v>0</v>
      </c>
      <c r="PN26" s="27">
        <f ca="1"/>
        <v>24</v>
      </c>
      <c r="PO26" s="30" t="str">
        <f ca="1"/>
        <v>Narnet</v>
      </c>
      <c r="PP26" s="30">
        <f ca="1"/>
        <v>0</v>
      </c>
      <c r="PQ26" s="13"/>
      <c r="PR26" s="13"/>
      <c r="PT26" s="29">
        <f ca="1"/>
        <v>24</v>
      </c>
      <c r="PU26" s="30" t="str">
        <f ca="1"/>
        <v>Narnet</v>
      </c>
      <c r="PV26" s="30" t="e" vm="19">
        <f ca="1"/>
        <v>#VALUE!</v>
      </c>
      <c r="PW26" s="30" t="e">
        <f ca="1"/>
        <v>#VALUE!</v>
      </c>
      <c r="PX26" s="13"/>
      <c r="PY26" s="30">
        <f ca="1"/>
        <v>0</v>
      </c>
      <c r="QA26" s="27">
        <f ca="1"/>
        <v>24</v>
      </c>
      <c r="QB26" s="30" t="str">
        <f ca="1"/>
        <v>Narnet</v>
      </c>
      <c r="QC26" s="30">
        <f ca="1"/>
        <v>0</v>
      </c>
      <c r="QD26" s="13"/>
      <c r="QE26" s="13"/>
      <c r="QG26" s="29">
        <f ca="1"/>
        <v>24</v>
      </c>
      <c r="QH26" s="30" t="str">
        <f ca="1"/>
        <v>Narnet</v>
      </c>
      <c r="QI26" s="30" t="e" vm="19">
        <f ca="1"/>
        <v>#VALUE!</v>
      </c>
      <c r="QJ26" s="30" t="e">
        <f ca="1"/>
        <v>#VALUE!</v>
      </c>
      <c r="QK26" s="13"/>
      <c r="QL26" s="30">
        <f ca="1"/>
        <v>0</v>
      </c>
      <c r="QN26" s="27">
        <f ca="1"/>
        <v>24</v>
      </c>
      <c r="QO26" s="30" t="str">
        <f ca="1"/>
        <v>Narnet</v>
      </c>
      <c r="QP26" s="30">
        <f ca="1"/>
        <v>0</v>
      </c>
      <c r="QQ26" s="13"/>
      <c r="QR26" s="13"/>
      <c r="QT26" s="29">
        <f ca="1"/>
        <v>24</v>
      </c>
      <c r="QU26" s="30" t="str">
        <f ca="1"/>
        <v>Narnet</v>
      </c>
      <c r="QV26" s="30" t="e" vm="19">
        <f ca="1"/>
        <v>#VALUE!</v>
      </c>
      <c r="QW26" s="30" t="e">
        <f ca="1"/>
        <v>#VALUE!</v>
      </c>
      <c r="QX26" s="13"/>
      <c r="QY26" s="30">
        <f ca="1"/>
        <v>0</v>
      </c>
      <c r="RA26" s="27">
        <f ca="1"/>
        <v>24</v>
      </c>
      <c r="RB26" s="30" t="str">
        <f ca="1"/>
        <v>Narnet</v>
      </c>
      <c r="RC26" s="30">
        <f ca="1"/>
        <v>0</v>
      </c>
      <c r="RD26" s="13"/>
      <c r="RE26" s="13"/>
      <c r="RG26" s="29">
        <f ca="1"/>
        <v>24</v>
      </c>
      <c r="RH26" s="30" t="str">
        <f ca="1"/>
        <v>Narnet</v>
      </c>
      <c r="RI26" s="30" t="e" vm="19">
        <f ca="1"/>
        <v>#VALUE!</v>
      </c>
      <c r="RJ26" s="30" t="e">
        <f ca="1"/>
        <v>#VALUE!</v>
      </c>
      <c r="RK26" s="13"/>
      <c r="RL26" s="30">
        <f ca="1"/>
        <v>0</v>
      </c>
      <c r="RN26" s="27">
        <f ca="1"/>
        <v>24</v>
      </c>
      <c r="RO26" s="30" t="str">
        <f ca="1"/>
        <v>Narnet</v>
      </c>
      <c r="RP26" s="30">
        <f ca="1"/>
        <v>0</v>
      </c>
      <c r="RQ26" s="13"/>
      <c r="RR26" s="13"/>
      <c r="RT26" s="29">
        <f ca="1"/>
        <v>24</v>
      </c>
      <c r="RU26" s="30" t="str">
        <f ca="1"/>
        <v>Narnet</v>
      </c>
      <c r="RV26" s="30" t="e" vm="19">
        <f ca="1"/>
        <v>#VALUE!</v>
      </c>
      <c r="RW26" s="30" t="e">
        <f ca="1"/>
        <v>#VALUE!</v>
      </c>
      <c r="RX26" s="13"/>
      <c r="RY26" s="30">
        <f ca="1"/>
        <v>0</v>
      </c>
      <c r="SA26" s="27">
        <f ca="1"/>
        <v>24</v>
      </c>
      <c r="SB26" s="30" t="str">
        <f ca="1"/>
        <v>Narnet</v>
      </c>
      <c r="SC26" s="30">
        <f ca="1"/>
        <v>0</v>
      </c>
      <c r="SD26" s="13"/>
      <c r="SE26" s="13"/>
      <c r="SG26" s="29">
        <f ca="1"/>
        <v>24</v>
      </c>
      <c r="SH26" s="30" t="str">
        <f ca="1"/>
        <v>Narnet</v>
      </c>
      <c r="SI26" s="30" t="e" vm="19">
        <f ca="1"/>
        <v>#VALUE!</v>
      </c>
      <c r="SJ26" s="30" t="e">
        <f ca="1"/>
        <v>#VALUE!</v>
      </c>
      <c r="SK26" s="13"/>
      <c r="SL26" s="30">
        <f ca="1"/>
        <v>0</v>
      </c>
      <c r="SN26" s="27">
        <f ca="1"/>
        <v>24</v>
      </c>
      <c r="SO26" s="30" t="str">
        <f ca="1"/>
        <v>Narnet</v>
      </c>
      <c r="SP26" s="30">
        <f ca="1"/>
        <v>0</v>
      </c>
      <c r="SQ26" s="13"/>
      <c r="SR26" s="13"/>
      <c r="ST26" s="29">
        <f ca="1"/>
        <v>24</v>
      </c>
      <c r="SU26" s="30" t="str">
        <f ca="1"/>
        <v>Narnet</v>
      </c>
      <c r="SV26" s="30" t="e" vm="19">
        <f ca="1"/>
        <v>#VALUE!</v>
      </c>
      <c r="SW26" s="30" t="e">
        <f ca="1"/>
        <v>#VALUE!</v>
      </c>
      <c r="SX26" s="13"/>
      <c r="SY26" s="30">
        <f ca="1"/>
        <v>0</v>
      </c>
      <c r="TA26" s="29">
        <f ca="1"/>
        <v>24</v>
      </c>
      <c r="TB26" s="30" t="str">
        <f ca="1"/>
        <v>Narnet</v>
      </c>
      <c r="TC26" s="30" t="e" vm="19">
        <f ca="1"/>
        <v>#VALUE!</v>
      </c>
      <c r="TD26" s="30">
        <f ca="1"/>
        <v>90</v>
      </c>
    </row>
  </sheetData>
  <sheetProtection selectLockedCells="1"/>
  <mergeCells count="121">
    <mergeCell ref="SK1:SL1"/>
    <mergeCell ref="SN1:SR1"/>
    <mergeCell ref="ST1:SW1"/>
    <mergeCell ref="SX1:SY1"/>
    <mergeCell ref="RN1:RR1"/>
    <mergeCell ref="RT1:RW1"/>
    <mergeCell ref="RX1:RY1"/>
    <mergeCell ref="SA1:SE1"/>
    <mergeCell ref="SG1:SJ1"/>
    <mergeCell ref="RA1:RE1"/>
    <mergeCell ref="RG1:RJ1"/>
    <mergeCell ref="RK1:RL1"/>
    <mergeCell ref="QA1:QE1"/>
    <mergeCell ref="QG1:QJ1"/>
    <mergeCell ref="QK1:QL1"/>
    <mergeCell ref="QN1:QR1"/>
    <mergeCell ref="QT1:QW1"/>
    <mergeCell ref="QX1:QY1"/>
    <mergeCell ref="PG1:PJ1"/>
    <mergeCell ref="PK1:PL1"/>
    <mergeCell ref="PN1:PR1"/>
    <mergeCell ref="PT1:PW1"/>
    <mergeCell ref="OK1:OL1"/>
    <mergeCell ref="ON1:OR1"/>
    <mergeCell ref="OT1:OW1"/>
    <mergeCell ref="OX1:OY1"/>
    <mergeCell ref="PA1:PE1"/>
    <mergeCell ref="NN1:NR1"/>
    <mergeCell ref="NT1:NW1"/>
    <mergeCell ref="NX1:NY1"/>
    <mergeCell ref="OA1:OE1"/>
    <mergeCell ref="OG1:OJ1"/>
    <mergeCell ref="MT1:MW1"/>
    <mergeCell ref="MX1:MY1"/>
    <mergeCell ref="NA1:NE1"/>
    <mergeCell ref="NG1:NJ1"/>
    <mergeCell ref="NK1:NL1"/>
    <mergeCell ref="LX1:LY1"/>
    <mergeCell ref="MA1:ME1"/>
    <mergeCell ref="MG1:MJ1"/>
    <mergeCell ref="MK1:ML1"/>
    <mergeCell ref="MN1:MR1"/>
    <mergeCell ref="LA1:LE1"/>
    <mergeCell ref="LG1:LJ1"/>
    <mergeCell ref="LK1:LL1"/>
    <mergeCell ref="LN1:LR1"/>
    <mergeCell ref="LT1:LW1"/>
    <mergeCell ref="KA1:KE1"/>
    <mergeCell ref="KG1:KJ1"/>
    <mergeCell ref="KN1:KR1"/>
    <mergeCell ref="KT1:KW1"/>
    <mergeCell ref="KX1:KY1"/>
    <mergeCell ref="JG1:JJ1"/>
    <mergeCell ref="JK1:JL1"/>
    <mergeCell ref="JN1:JR1"/>
    <mergeCell ref="JT1:JW1"/>
    <mergeCell ref="JX1:JY1"/>
    <mergeCell ref="IK1:IL1"/>
    <mergeCell ref="IN1:IR1"/>
    <mergeCell ref="IT1:IW1"/>
    <mergeCell ref="IX1:IY1"/>
    <mergeCell ref="JA1:JE1"/>
    <mergeCell ref="HN1:HR1"/>
    <mergeCell ref="HT1:HW1"/>
    <mergeCell ref="HX1:HY1"/>
    <mergeCell ref="IA1:IE1"/>
    <mergeCell ref="IG1:IJ1"/>
    <mergeCell ref="GT1:GW1"/>
    <mergeCell ref="GX1:GY1"/>
    <mergeCell ref="HA1:HE1"/>
    <mergeCell ref="HG1:HJ1"/>
    <mergeCell ref="HK1:HL1"/>
    <mergeCell ref="FX1:FY1"/>
    <mergeCell ref="GA1:GE1"/>
    <mergeCell ref="GG1:GJ1"/>
    <mergeCell ref="GK1:GL1"/>
    <mergeCell ref="GN1:GR1"/>
    <mergeCell ref="FA1:FE1"/>
    <mergeCell ref="FG1:FJ1"/>
    <mergeCell ref="FK1:FL1"/>
    <mergeCell ref="FN1:FR1"/>
    <mergeCell ref="FT1:FW1"/>
    <mergeCell ref="EA1:EE1"/>
    <mergeCell ref="EG1:EJ1"/>
    <mergeCell ref="EK1:EL1"/>
    <mergeCell ref="EN1:ER1"/>
    <mergeCell ref="ET1:EW1"/>
    <mergeCell ref="AT1:AW1"/>
    <mergeCell ref="DN1:DR1"/>
    <mergeCell ref="DT1:DW1"/>
    <mergeCell ref="DX1:DY1"/>
    <mergeCell ref="DA1:DE1"/>
    <mergeCell ref="DG1:DJ1"/>
    <mergeCell ref="DK1:DL1"/>
    <mergeCell ref="CN1:CR1"/>
    <mergeCell ref="CT1:CW1"/>
    <mergeCell ref="CX1:CY1"/>
    <mergeCell ref="G1:J1"/>
    <mergeCell ref="A1:E1"/>
    <mergeCell ref="PX1:PY1"/>
    <mergeCell ref="EX1:EY1"/>
    <mergeCell ref="N1:R1"/>
    <mergeCell ref="T1:W1"/>
    <mergeCell ref="X1:Y1"/>
    <mergeCell ref="K1:L1"/>
    <mergeCell ref="TA1:TD1"/>
    <mergeCell ref="KK1:KL1"/>
    <mergeCell ref="AX1:AY1"/>
    <mergeCell ref="BA1:BE1"/>
    <mergeCell ref="BG1:BJ1"/>
    <mergeCell ref="BK1:BL1"/>
    <mergeCell ref="BN1:BR1"/>
    <mergeCell ref="BT1:BW1"/>
    <mergeCell ref="BX1:BY1"/>
    <mergeCell ref="CA1:CE1"/>
    <mergeCell ref="CG1:CJ1"/>
    <mergeCell ref="CK1:CL1"/>
    <mergeCell ref="AA1:AE1"/>
    <mergeCell ref="AG1:AJ1"/>
    <mergeCell ref="AK1:AL1"/>
    <mergeCell ref="AN1:AR1"/>
  </mergeCells>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E9D37-B737-4668-8133-7BA3F205CE11}">
  <sheetPr codeName="Sheet5">
    <tabColor rgb="FFFFFF00"/>
  </sheetPr>
  <dimension ref="B2:CV67"/>
  <sheetViews>
    <sheetView workbookViewId="0">
      <selection activeCell="B2" sqref="B2:E2"/>
    </sheetView>
  </sheetViews>
  <sheetFormatPr defaultRowHeight="12.75"/>
  <cols>
    <col min="1" max="1" width="2.7109375" style="2" customWidth="1"/>
    <col min="2" max="2" width="3.28515625" style="4" bestFit="1" customWidth="1"/>
    <col min="3" max="3" width="25.7109375" style="4" bestFit="1" customWidth="1"/>
    <col min="4" max="4" width="5.7109375" style="4" customWidth="1"/>
    <col min="5" max="5" width="9.28515625" style="5" bestFit="1" customWidth="1"/>
    <col min="6" max="6" width="5.7109375" style="2" customWidth="1"/>
    <col min="7" max="7" width="3.28515625" style="2" bestFit="1" customWidth="1"/>
    <col min="8" max="8" width="25.7109375" style="2" bestFit="1" customWidth="1"/>
    <col min="9" max="9" width="5.7109375" style="2" customWidth="1"/>
    <col min="10" max="10" width="9.28515625" style="2" bestFit="1" customWidth="1"/>
    <col min="11" max="11" width="5.7109375" style="2" customWidth="1"/>
    <col min="12" max="12" width="3.28515625" style="2" bestFit="1" customWidth="1"/>
    <col min="13" max="13" width="25.7109375" style="2" bestFit="1" customWidth="1"/>
    <col min="14" max="14" width="5.7109375" style="2" customWidth="1"/>
    <col min="15" max="15" width="9.28515625" style="2" bestFit="1" customWidth="1"/>
    <col min="16" max="16" width="5.7109375" style="2" customWidth="1"/>
    <col min="17" max="17" width="3.28515625" style="2" bestFit="1" customWidth="1"/>
    <col min="18" max="18" width="25.7109375" style="2" bestFit="1" customWidth="1"/>
    <col min="19" max="19" width="5.7109375" style="2" customWidth="1"/>
    <col min="20" max="20" width="9.28515625" style="2" bestFit="1" customWidth="1"/>
    <col min="21" max="21" width="5.7109375" style="2" customWidth="1"/>
    <col min="22" max="22" width="3.28515625" style="2" bestFit="1" customWidth="1"/>
    <col min="23" max="23" width="25.7109375" style="2" bestFit="1" customWidth="1"/>
    <col min="24" max="24" width="5.7109375" style="2" customWidth="1"/>
    <col min="25" max="25" width="9.28515625" style="2" bestFit="1" customWidth="1"/>
    <col min="26" max="26" width="5.7109375" style="2" customWidth="1"/>
    <col min="27" max="27" width="3.28515625" style="2" bestFit="1" customWidth="1"/>
    <col min="28" max="28" width="25.7109375" style="2" bestFit="1" customWidth="1"/>
    <col min="29" max="29" width="5.7109375" style="2" customWidth="1"/>
    <col min="30" max="30" width="9.28515625" style="2" bestFit="1" customWidth="1"/>
    <col min="31" max="31" width="5.7109375" style="2" customWidth="1"/>
    <col min="32" max="32" width="3.28515625" style="2" bestFit="1" customWidth="1"/>
    <col min="33" max="33" width="25.7109375" style="2" bestFit="1" customWidth="1"/>
    <col min="34" max="34" width="5.7109375" style="2" customWidth="1"/>
    <col min="35" max="35" width="9.28515625" style="2" bestFit="1" customWidth="1"/>
    <col min="36" max="36" width="5.7109375" style="2" customWidth="1"/>
    <col min="37" max="37" width="3.28515625" style="2" bestFit="1" customWidth="1"/>
    <col min="38" max="38" width="25.7109375" style="2" bestFit="1" customWidth="1"/>
    <col min="39" max="39" width="5.7109375" style="2" customWidth="1"/>
    <col min="40" max="40" width="9.28515625" style="2" bestFit="1" customWidth="1"/>
    <col min="41" max="41" width="5.7109375" style="2" customWidth="1"/>
    <col min="42" max="42" width="3.28515625" style="2" bestFit="1" customWidth="1"/>
    <col min="43" max="43" width="25.7109375" style="2" bestFit="1" customWidth="1"/>
    <col min="44" max="44" width="5.7109375" style="2" customWidth="1"/>
    <col min="45" max="45" width="9.28515625" style="2" bestFit="1" customWidth="1"/>
    <col min="46" max="46" width="5.7109375" style="2" customWidth="1"/>
    <col min="47" max="47" width="3.28515625" style="2" bestFit="1" customWidth="1"/>
    <col min="48" max="48" width="25.7109375" style="2" bestFit="1" customWidth="1"/>
    <col min="49" max="49" width="5.7109375" style="2" customWidth="1"/>
    <col min="50" max="50" width="9.28515625" style="2" bestFit="1" customWidth="1"/>
    <col min="51" max="51" width="5.7109375" style="2" customWidth="1"/>
    <col min="52" max="52" width="3.28515625" style="2" bestFit="1" customWidth="1"/>
    <col min="53" max="53" width="25.7109375" style="2" bestFit="1" customWidth="1"/>
    <col min="54" max="54" width="5.7109375" style="2" customWidth="1"/>
    <col min="55" max="55" width="9.28515625" style="2" bestFit="1" customWidth="1"/>
    <col min="56" max="56" width="5.7109375" style="2" customWidth="1"/>
    <col min="57" max="57" width="3.28515625" style="2" bestFit="1" customWidth="1"/>
    <col min="58" max="58" width="25.7109375" style="2" bestFit="1" customWidth="1"/>
    <col min="59" max="59" width="5.7109375" style="2" customWidth="1"/>
    <col min="60" max="60" width="9.28515625" style="2" bestFit="1" customWidth="1"/>
    <col min="61" max="61" width="5.7109375" style="2" customWidth="1"/>
    <col min="62" max="62" width="3.28515625" style="2" bestFit="1" customWidth="1"/>
    <col min="63" max="63" width="25.7109375" style="2" bestFit="1" customWidth="1"/>
    <col min="64" max="64" width="5.7109375" style="2" customWidth="1"/>
    <col min="65" max="65" width="9.28515625" style="2" bestFit="1" customWidth="1"/>
    <col min="66" max="66" width="5.7109375" style="2" customWidth="1"/>
    <col min="67" max="67" width="3.28515625" style="2" bestFit="1" customWidth="1"/>
    <col min="68" max="68" width="25.7109375" style="2" bestFit="1" customWidth="1"/>
    <col min="69" max="69" width="5.7109375" style="2" customWidth="1"/>
    <col min="70" max="70" width="9.28515625" style="2" bestFit="1" customWidth="1"/>
    <col min="71" max="71" width="5.7109375" style="2" customWidth="1"/>
    <col min="72" max="72" width="3.28515625" style="2" bestFit="1" customWidth="1"/>
    <col min="73" max="73" width="25.7109375" style="2" bestFit="1" customWidth="1"/>
    <col min="74" max="74" width="5.7109375" style="2" customWidth="1"/>
    <col min="75" max="75" width="9.28515625" style="2" bestFit="1" customWidth="1"/>
    <col min="76" max="76" width="5.7109375" style="2" customWidth="1"/>
    <col min="77" max="77" width="3.28515625" style="2" bestFit="1" customWidth="1"/>
    <col min="78" max="78" width="25.7109375" style="2" bestFit="1" customWidth="1"/>
    <col min="79" max="79" width="5.7109375" style="2" customWidth="1"/>
    <col min="80" max="80" width="9.28515625" style="2" bestFit="1" customWidth="1"/>
    <col min="81" max="81" width="5.7109375" style="2" customWidth="1"/>
    <col min="82" max="82" width="3.28515625" style="2" bestFit="1" customWidth="1"/>
    <col min="83" max="83" width="25.7109375" style="2" bestFit="1" customWidth="1"/>
    <col min="84" max="84" width="5.7109375" style="2" customWidth="1"/>
    <col min="85" max="85" width="9.28515625" style="2" bestFit="1" customWidth="1"/>
    <col min="86" max="86" width="5.7109375" style="2" customWidth="1"/>
    <col min="87" max="87" width="3.28515625" style="2" bestFit="1" customWidth="1"/>
    <col min="88" max="88" width="25.7109375" style="2" bestFit="1" customWidth="1"/>
    <col min="89" max="89" width="5.7109375" style="2" customWidth="1"/>
    <col min="90" max="90" width="9.28515625" style="2" bestFit="1" customWidth="1"/>
    <col min="91" max="91" width="5.7109375" style="2" customWidth="1"/>
    <col min="92" max="92" width="3.28515625" style="2" bestFit="1" customWidth="1"/>
    <col min="93" max="93" width="25.7109375" style="2" bestFit="1" customWidth="1"/>
    <col min="94" max="94" width="5.7109375" style="2" customWidth="1"/>
    <col min="95" max="95" width="9.28515625" style="2" bestFit="1" customWidth="1"/>
    <col min="96" max="96" width="5.7109375" style="2" customWidth="1"/>
    <col min="97" max="97" width="3.28515625" style="2" bestFit="1" customWidth="1"/>
    <col min="98" max="98" width="25.7109375" style="2" bestFit="1" customWidth="1"/>
    <col min="99" max="99" width="5.7109375" style="2" customWidth="1"/>
    <col min="100" max="100" width="9.28515625" style="2" bestFit="1" customWidth="1"/>
    <col min="101" max="16384" width="9.140625" style="2"/>
  </cols>
  <sheetData>
    <row r="2" spans="2:100" ht="13.5" customHeight="1">
      <c r="B2" s="66" t="s">
        <v>311</v>
      </c>
      <c r="C2" s="66"/>
      <c r="D2" s="66"/>
      <c r="E2" s="66"/>
      <c r="G2" s="67" t="s">
        <v>312</v>
      </c>
      <c r="H2" s="68"/>
      <c r="I2" s="68"/>
      <c r="J2" s="68"/>
      <c r="L2" s="67" t="s">
        <v>313</v>
      </c>
      <c r="M2" s="68"/>
      <c r="N2" s="68"/>
      <c r="O2" s="68"/>
      <c r="Q2" s="67" t="s">
        <v>314</v>
      </c>
      <c r="R2" s="68"/>
      <c r="S2" s="68"/>
      <c r="T2" s="68"/>
      <c r="V2" s="67" t="s">
        <v>315</v>
      </c>
      <c r="W2" s="68"/>
      <c r="X2" s="68"/>
      <c r="Y2" s="68"/>
      <c r="AA2" s="67" t="s">
        <v>316</v>
      </c>
      <c r="AB2" s="68"/>
      <c r="AC2" s="68"/>
      <c r="AD2" s="68"/>
      <c r="AF2" s="67" t="s">
        <v>317</v>
      </c>
      <c r="AG2" s="68"/>
      <c r="AH2" s="68"/>
      <c r="AI2" s="68"/>
      <c r="AK2" s="67" t="s">
        <v>318</v>
      </c>
      <c r="AL2" s="68"/>
      <c r="AM2" s="68"/>
      <c r="AN2" s="68"/>
      <c r="AP2" s="67" t="s">
        <v>319</v>
      </c>
      <c r="AQ2" s="68"/>
      <c r="AR2" s="68"/>
      <c r="AS2" s="68"/>
      <c r="AU2" s="67" t="s">
        <v>245</v>
      </c>
      <c r="AV2" s="68"/>
      <c r="AW2" s="68"/>
      <c r="AX2" s="68"/>
      <c r="AZ2" s="67" t="s">
        <v>320</v>
      </c>
      <c r="BA2" s="68"/>
      <c r="BB2" s="68"/>
      <c r="BC2" s="68"/>
      <c r="BE2" s="67" t="s">
        <v>321</v>
      </c>
      <c r="BF2" s="68"/>
      <c r="BG2" s="68"/>
      <c r="BH2" s="68"/>
      <c r="BJ2" s="67" t="s">
        <v>322</v>
      </c>
      <c r="BK2" s="68"/>
      <c r="BL2" s="68"/>
      <c r="BM2" s="68"/>
      <c r="BO2" s="67" t="s">
        <v>323</v>
      </c>
      <c r="BP2" s="68"/>
      <c r="BQ2" s="68"/>
      <c r="BR2" s="68"/>
      <c r="BT2" s="67" t="s">
        <v>324</v>
      </c>
      <c r="BU2" s="68"/>
      <c r="BV2" s="68"/>
      <c r="BW2" s="68"/>
      <c r="BY2" s="67" t="s">
        <v>325</v>
      </c>
      <c r="BZ2" s="68"/>
      <c r="CA2" s="68"/>
      <c r="CB2" s="68"/>
      <c r="CD2" s="67" t="s">
        <v>326</v>
      </c>
      <c r="CE2" s="68"/>
      <c r="CF2" s="68"/>
      <c r="CG2" s="68"/>
      <c r="CI2" s="67" t="s">
        <v>327</v>
      </c>
      <c r="CJ2" s="68"/>
      <c r="CK2" s="68"/>
      <c r="CL2" s="68"/>
      <c r="CN2" s="67" t="s">
        <v>328</v>
      </c>
      <c r="CO2" s="68"/>
      <c r="CP2" s="68"/>
      <c r="CQ2" s="68"/>
      <c r="CS2" s="67" t="s">
        <v>329</v>
      </c>
      <c r="CT2" s="68"/>
      <c r="CU2" s="68"/>
      <c r="CV2" s="68"/>
    </row>
    <row r="3" spans="2:100">
      <c r="B3" s="29" t="s">
        <v>0</v>
      </c>
      <c r="C3" s="29" t="s">
        <v>1</v>
      </c>
      <c r="D3" s="29"/>
      <c r="E3" s="29" t="s">
        <v>221</v>
      </c>
      <c r="G3" s="6" t="s">
        <v>0</v>
      </c>
      <c r="H3" s="6" t="s">
        <v>1</v>
      </c>
      <c r="I3" s="6"/>
      <c r="J3" s="6" t="s">
        <v>221</v>
      </c>
      <c r="L3" s="6" t="s">
        <v>0</v>
      </c>
      <c r="M3" s="6" t="s">
        <v>1</v>
      </c>
      <c r="N3" s="6"/>
      <c r="O3" s="6" t="s">
        <v>221</v>
      </c>
      <c r="Q3" s="6" t="s">
        <v>0</v>
      </c>
      <c r="R3" s="6" t="s">
        <v>1</v>
      </c>
      <c r="S3" s="6"/>
      <c r="T3" s="6" t="s">
        <v>221</v>
      </c>
      <c r="V3" s="6" t="s">
        <v>0</v>
      </c>
      <c r="W3" s="6" t="s">
        <v>1</v>
      </c>
      <c r="X3" s="6"/>
      <c r="Y3" s="6" t="s">
        <v>221</v>
      </c>
      <c r="AA3" s="6" t="s">
        <v>0</v>
      </c>
      <c r="AB3" s="6" t="s">
        <v>1</v>
      </c>
      <c r="AC3" s="6"/>
      <c r="AD3" s="6" t="s">
        <v>221</v>
      </c>
      <c r="AF3" s="6" t="s">
        <v>0</v>
      </c>
      <c r="AG3" s="6" t="s">
        <v>1</v>
      </c>
      <c r="AH3" s="6"/>
      <c r="AI3" s="6" t="s">
        <v>221</v>
      </c>
      <c r="AK3" s="6" t="s">
        <v>0</v>
      </c>
      <c r="AL3" s="6" t="s">
        <v>1</v>
      </c>
      <c r="AM3" s="6"/>
      <c r="AN3" s="6" t="s">
        <v>221</v>
      </c>
      <c r="AP3" s="6" t="s">
        <v>0</v>
      </c>
      <c r="AQ3" s="6" t="s">
        <v>1</v>
      </c>
      <c r="AR3" s="6"/>
      <c r="AS3" s="6" t="s">
        <v>221</v>
      </c>
      <c r="AU3" s="6" t="s">
        <v>0</v>
      </c>
      <c r="AV3" s="6" t="s">
        <v>1</v>
      </c>
      <c r="AW3" s="6"/>
      <c r="AX3" s="6" t="s">
        <v>221</v>
      </c>
      <c r="AZ3" s="6" t="s">
        <v>0</v>
      </c>
      <c r="BA3" s="6" t="s">
        <v>1</v>
      </c>
      <c r="BB3" s="6"/>
      <c r="BC3" s="6" t="s">
        <v>221</v>
      </c>
      <c r="BE3" s="6" t="s">
        <v>0</v>
      </c>
      <c r="BF3" s="6" t="s">
        <v>1</v>
      </c>
      <c r="BG3" s="6"/>
      <c r="BH3" s="6" t="s">
        <v>221</v>
      </c>
      <c r="BJ3" s="6" t="s">
        <v>0</v>
      </c>
      <c r="BK3" s="6" t="s">
        <v>1</v>
      </c>
      <c r="BL3" s="6"/>
      <c r="BM3" s="6" t="s">
        <v>221</v>
      </c>
      <c r="BO3" s="6" t="s">
        <v>0</v>
      </c>
      <c r="BP3" s="6" t="s">
        <v>1</v>
      </c>
      <c r="BQ3" s="6"/>
      <c r="BR3" s="6" t="s">
        <v>221</v>
      </c>
      <c r="BT3" s="6" t="s">
        <v>0</v>
      </c>
      <c r="BU3" s="6" t="s">
        <v>1</v>
      </c>
      <c r="BV3" s="6"/>
      <c r="BW3" s="6" t="s">
        <v>221</v>
      </c>
      <c r="BY3" s="6" t="s">
        <v>0</v>
      </c>
      <c r="BZ3" s="6" t="s">
        <v>1</v>
      </c>
      <c r="CA3" s="6"/>
      <c r="CB3" s="6" t="s">
        <v>221</v>
      </c>
      <c r="CD3" s="6" t="s">
        <v>0</v>
      </c>
      <c r="CE3" s="6" t="s">
        <v>1</v>
      </c>
      <c r="CF3" s="6"/>
      <c r="CG3" s="6" t="s">
        <v>221</v>
      </c>
      <c r="CI3" s="6" t="s">
        <v>0</v>
      </c>
      <c r="CJ3" s="6" t="s">
        <v>1</v>
      </c>
      <c r="CK3" s="6"/>
      <c r="CL3" s="6" t="s">
        <v>221</v>
      </c>
      <c r="CN3" s="6" t="s">
        <v>0</v>
      </c>
      <c r="CO3" s="6" t="s">
        <v>1</v>
      </c>
      <c r="CP3" s="6"/>
      <c r="CQ3" s="6" t="s">
        <v>221</v>
      </c>
      <c r="CS3" s="6" t="s">
        <v>0</v>
      </c>
      <c r="CT3" s="6" t="s">
        <v>1</v>
      </c>
      <c r="CU3" s="6"/>
      <c r="CV3" s="6" t="s">
        <v>221</v>
      </c>
    </row>
    <row r="4" spans="2:100">
      <c r="B4" s="13" cm="1">
        <f t="array" aca="1" ref="B4:B50" ca="1">_xlfn.SEQUENCE(ROWS(_xlfn.ANCHORARRAY(C4)))</f>
        <v>1</v>
      </c>
      <c r="C4" s="13" t="str" cm="1">
        <f t="array" aca="1" ref="C4:C50" ca="1">_xlfn.XLOOKUP(_xlfn.SORTBY(_xlfn.ANCHORARRAY('TT Qualifications'!$F2),_xlfn.ANCHORARRAY('TT Qualifications'!AA2)),Registration[Nickname],Registration[Name])</f>
        <v>Jonathan Toole-Charignon</v>
      </c>
      <c r="D4" s="13" t="e" cm="1" vm="14">
        <f t="array" aca="1" ref="D4:D50" ca="1">_xlfn.XLOOKUP(_xlfn.ANCHORARRAY(C4),Registration[Name],_FV(Registration[Country],"image"))</f>
        <v>#VALUE!</v>
      </c>
      <c r="E4" s="13" t="e" cm="1">
        <f t="array" aca="1" ref="E4:E50" ca="1">SUBSTITUTE(SUBSTITUTE(TEXT(_xlfn._xlws.SORT(_xlfn.ANCHORARRAY('TT Qualifications'!AA2)),"mm:ss,00"),":","'"),",","""")</f>
        <v>#VALUE!</v>
      </c>
      <c r="G4" s="13" cm="1">
        <f t="array" aca="1" ref="G4:G50" ca="1">_xlfn.SEQUENCE(ROWS(_xlfn.ANCHORARRAY(H4)))</f>
        <v>1</v>
      </c>
      <c r="H4" s="13" t="str" cm="1">
        <f t="array" aca="1" ref="H4:H50" ca="1">_xlfn.XLOOKUP(_xlfn.SORTBY(_xlfn.ANCHORARRAY('TT Qualifications'!$F2),_xlfn.ANCHORARRAY('TT Qualifications'!AB2)),Registration[Nickname],Registration[Name])</f>
        <v>Guillaume Leviach</v>
      </c>
      <c r="I4" s="13" t="e" cm="1" vm="15">
        <f t="array" aca="1" ref="I4:I50" ca="1">_xlfn.XLOOKUP(_xlfn.ANCHORARRAY(H4),Registration[Name],_FV(Registration[Country],"image"))</f>
        <v>#VALUE!</v>
      </c>
      <c r="J4" s="13" t="e" cm="1">
        <f t="array" aca="1" ref="J4:J50" ca="1">SUBSTITUTE(SUBSTITUTE(TEXT(_xlfn._xlws.SORT(_xlfn.ANCHORARRAY('TT Qualifications'!AB2)),"mm:ss,00"),":","'"),",","""")</f>
        <v>#VALUE!</v>
      </c>
      <c r="L4" s="13" cm="1">
        <f t="array" aca="1" ref="L4:L50" ca="1">_xlfn.SEQUENCE(ROWS(_xlfn.ANCHORARRAY(M4)))</f>
        <v>1</v>
      </c>
      <c r="M4" s="13" t="str" cm="1">
        <f t="array" aca="1" ref="M4:M50" ca="1">_xlfn.XLOOKUP(_xlfn.SORTBY(_xlfn.ANCHORARRAY('TT Qualifications'!$F2),_xlfn.ANCHORARRAY('TT Qualifications'!AC2)),Registration[Nickname],Registration[Name])</f>
        <v>Karel van Duijvenboden</v>
      </c>
      <c r="N4" s="13" t="e" cm="1" vm="12">
        <f t="array" aca="1" ref="N4:N50" ca="1">_xlfn.XLOOKUP(_xlfn.ANCHORARRAY(M4),Registration[Name],_FV(Registration[Country],"image"))</f>
        <v>#VALUE!</v>
      </c>
      <c r="O4" s="13" t="e" cm="1">
        <f t="array" aca="1" ref="O4:O50" ca="1">SUBSTITUTE(SUBSTITUTE(TEXT(_xlfn._xlws.SORT(_xlfn.ANCHORARRAY('TT Qualifications'!AC2)),"mm:ss,00"),":","'"),",","""")</f>
        <v>#VALUE!</v>
      </c>
      <c r="Q4" s="13" cm="1">
        <f t="array" aca="1" ref="Q4:Q50" ca="1">_xlfn.SEQUENCE(ROWS(_xlfn.ANCHORARRAY(R4)))</f>
        <v>1</v>
      </c>
      <c r="R4" s="13" t="str" cm="1">
        <f t="array" aca="1" ref="R4:R50" ca="1">_xlfn.XLOOKUP(_xlfn.SORTBY(_xlfn.ANCHORARRAY('TT Qualifications'!$F2),_xlfn.ANCHORARRAY('TT Qualifications'!AD2)),Registration[Nickname],Registration[Name])</f>
        <v>Karel van Duijvenboden</v>
      </c>
      <c r="S4" s="13" t="e" cm="1" vm="12">
        <f t="array" aca="1" ref="S4:S50" ca="1">_xlfn.XLOOKUP(_xlfn.ANCHORARRAY(R4),Registration[Name],_FV(Registration[Country],"image"))</f>
        <v>#VALUE!</v>
      </c>
      <c r="T4" s="13" t="e" cm="1">
        <f t="array" aca="1" ref="T4:T50" ca="1">SUBSTITUTE(SUBSTITUTE(TEXT(_xlfn._xlws.SORT(_xlfn.ANCHORARRAY('TT Qualifications'!AD2)),"mm:ss,00"),":","'"),",","""")</f>
        <v>#VALUE!</v>
      </c>
      <c r="V4" s="13" cm="1">
        <f t="array" aca="1" ref="V4:V50" ca="1">_xlfn.SEQUENCE(ROWS(_xlfn.ANCHORARRAY(W4)))</f>
        <v>1</v>
      </c>
      <c r="W4" s="13" t="str" cm="1">
        <f t="array" aca="1" ref="W4:W50" ca="1">_xlfn.XLOOKUP(_xlfn.SORTBY(_xlfn.ANCHORARRAY('TT Qualifications'!$F2),_xlfn.ANCHORARRAY('TT Qualifications'!AE2)),Registration[Nickname],Registration[Name])</f>
        <v>Karel van Duijvenboden</v>
      </c>
      <c r="X4" s="13" t="e" cm="1" vm="12">
        <f t="array" aca="1" ref="X4:X50" ca="1">_xlfn.XLOOKUP(_xlfn.ANCHORARRAY(W4),Registration[Name],_FV(Registration[Country],"image"))</f>
        <v>#VALUE!</v>
      </c>
      <c r="Y4" s="13" t="e" cm="1">
        <f t="array" aca="1" ref="Y4:Y50" ca="1">SUBSTITUTE(SUBSTITUTE(TEXT(_xlfn._xlws.SORT(_xlfn.ANCHORARRAY('TT Qualifications'!AE2)),"mm:ss,00"),":","'"),",","""")</f>
        <v>#VALUE!</v>
      </c>
      <c r="AA4" s="13" cm="1">
        <f t="array" aca="1" ref="AA4:AA50" ca="1">_xlfn.SEQUENCE(ROWS(_xlfn.ANCHORARRAY(AB4)))</f>
        <v>1</v>
      </c>
      <c r="AB4" s="13" t="str" cm="1">
        <f t="array" aca="1" ref="AB4:AB50" ca="1">_xlfn.XLOOKUP(_xlfn.SORTBY(_xlfn.ANCHORARRAY('TT Qualifications'!$F2),_xlfn.ANCHORARRAY('TT Qualifications'!AF2)),Registration[Nickname],Registration[Name])</f>
        <v>Jerome Coiffard</v>
      </c>
      <c r="AC4" s="13" t="e" cm="1" vm="15">
        <f t="array" aca="1" ref="AC4:AC50" ca="1">_xlfn.XLOOKUP(_xlfn.ANCHORARRAY(AB4),Registration[Name],_FV(Registration[Country],"image"))</f>
        <v>#VALUE!</v>
      </c>
      <c r="AD4" s="13" t="e" cm="1">
        <f t="array" aca="1" ref="AD4:AD50" ca="1">SUBSTITUTE(SUBSTITUTE(TEXT(_xlfn._xlws.SORT(_xlfn.ANCHORARRAY('TT Qualifications'!AF2)),"mm:ss,00"),":","'"),",","""")</f>
        <v>#VALUE!</v>
      </c>
      <c r="AF4" s="13" cm="1">
        <f t="array" aca="1" ref="AF4:AF50" ca="1">_xlfn.SEQUENCE(ROWS(_xlfn.ANCHORARRAY(AG4)))</f>
        <v>1</v>
      </c>
      <c r="AG4" s="13" t="str" cm="1">
        <f t="array" aca="1" ref="AG4:AG50" ca="1">_xlfn.XLOOKUP(_xlfn.SORTBY(_xlfn.ANCHORARRAY('TT Qualifications'!$F2),_xlfn.ANCHORARRAY('TT Qualifications'!AG2)),Registration[Nickname],Registration[Name])</f>
        <v>Karel van Duijvenboden</v>
      </c>
      <c r="AH4" s="13" t="e" cm="1" vm="12">
        <f t="array" aca="1" ref="AH4:AH50" ca="1">_xlfn.XLOOKUP(_xlfn.ANCHORARRAY(AG4),Registration[Name],_FV(Registration[Country],"image"))</f>
        <v>#VALUE!</v>
      </c>
      <c r="AI4" s="13" t="e" cm="1">
        <f t="array" aca="1" ref="AI4:AI50" ca="1">SUBSTITUTE(SUBSTITUTE(TEXT(_xlfn._xlws.SORT(_xlfn.ANCHORARRAY('TT Qualifications'!AG2)),"mm:ss,00"),":","'"),",","""")</f>
        <v>#VALUE!</v>
      </c>
      <c r="AK4" s="13" cm="1">
        <f t="array" aca="1" ref="AK4:AK50" ca="1">_xlfn.SEQUENCE(ROWS(_xlfn.ANCHORARRAY(AL4)))</f>
        <v>1</v>
      </c>
      <c r="AL4" s="13" t="str" cm="1">
        <f t="array" aca="1" ref="AL4:AL50" ca="1">_xlfn.XLOOKUP(_xlfn.SORTBY(_xlfn.ANCHORARRAY('TT Qualifications'!$F2),_xlfn.ANCHORARRAY('TT Qualifications'!AH2)),Registration[Nickname],Registration[Name])</f>
        <v>Karel van Duijvenboden</v>
      </c>
      <c r="AM4" s="13" t="e" cm="1" vm="12">
        <f t="array" aca="1" ref="AM4:AM50" ca="1">_xlfn.XLOOKUP(_xlfn.ANCHORARRAY(AL4),Registration[Name],_FV(Registration[Country],"image"))</f>
        <v>#VALUE!</v>
      </c>
      <c r="AN4" s="13" t="e" cm="1">
        <f t="array" aca="1" ref="AN4:AN50" ca="1">SUBSTITUTE(SUBSTITUTE(TEXT(_xlfn._xlws.SORT(_xlfn.ANCHORARRAY('TT Qualifications'!AH2)),"mm:ss,00"),":","'"),",","""")</f>
        <v>#VALUE!</v>
      </c>
      <c r="AP4" s="13" cm="1">
        <f t="array" aca="1" ref="AP4:AP50" ca="1">_xlfn.SEQUENCE(ROWS(_xlfn.ANCHORARRAY(AQ4)))</f>
        <v>1</v>
      </c>
      <c r="AQ4" s="13" t="str" cm="1">
        <f t="array" aca="1" ref="AQ4:AQ50" ca="1">_xlfn.XLOOKUP(_xlfn.SORTBY(_xlfn.ANCHORARRAY('TT Qualifications'!$F2),_xlfn.ANCHORARRAY('TT Qualifications'!AI2)),Registration[Nickname],Registration[Name])</f>
        <v>Karel van Duijvenboden</v>
      </c>
      <c r="AR4" s="13" t="e" cm="1" vm="12">
        <f t="array" aca="1" ref="AR4:AR50" ca="1">_xlfn.XLOOKUP(_xlfn.ANCHORARRAY(AQ4),Registration[Name],_FV(Registration[Country],"image"))</f>
        <v>#VALUE!</v>
      </c>
      <c r="AS4" s="13" t="e" cm="1">
        <f t="array" aca="1" ref="AS4:AS50" ca="1">SUBSTITUTE(SUBSTITUTE(TEXT(_xlfn._xlws.SORT(_xlfn.ANCHORARRAY('TT Qualifications'!AI2)),"mm:ss,00"),":","'"),",","""")</f>
        <v>#VALUE!</v>
      </c>
      <c r="AU4" s="13" cm="1">
        <f t="array" aca="1" ref="AU4:AU50" ca="1">_xlfn.SEQUENCE(ROWS(_xlfn.ANCHORARRAY(AV4)))</f>
        <v>1</v>
      </c>
      <c r="AV4" s="13" t="str" cm="1">
        <f t="array" aca="1" ref="AV4:AV50" ca="1">_xlfn.XLOOKUP(_xlfn.SORTBY(_xlfn.ANCHORARRAY('TT Qualifications'!$F2),_xlfn.ANCHORARRAY('TT Qualifications'!AJ2)),Registration[Nickname],Registration[Name])</f>
        <v>Takashi Ogasawara</v>
      </c>
      <c r="AW4" s="13" t="e" cm="1" vm="16">
        <f t="array" aca="1" ref="AW4:AW50" ca="1">_xlfn.XLOOKUP(_xlfn.ANCHORARRAY(AV4),Registration[Name],_FV(Registration[Country],"image"))</f>
        <v>#VALUE!</v>
      </c>
      <c r="AX4" s="13" t="e" cm="1">
        <f t="array" aca="1" ref="AX4:AX50" ca="1">SUBSTITUTE(SUBSTITUTE(TEXT(_xlfn._xlws.SORT(_xlfn.ANCHORARRAY('TT Qualifications'!AJ2)),"mm:ss,00"),":","'"),",","""")</f>
        <v>#VALUE!</v>
      </c>
      <c r="AZ4" s="13" cm="1">
        <f t="array" aca="1" ref="AZ4:AZ50" ca="1">_xlfn.SEQUENCE(ROWS(_xlfn.ANCHORARRAY(BA4)))</f>
        <v>1</v>
      </c>
      <c r="BA4" s="13" t="str" cm="1">
        <f t="array" aca="1" ref="BA4:BA50" ca="1">_xlfn.XLOOKUP(_xlfn.SORTBY(_xlfn.ANCHORARRAY('TT Qualifications'!$F2),_xlfn.ANCHORARRAY('TT Qualifications'!AK2)),Registration[Nickname],Registration[Name])</f>
        <v>Sami Cetin</v>
      </c>
      <c r="BB4" s="13" t="e" cm="1" vm="13">
        <f t="array" aca="1" ref="BB4:BB50" ca="1">_xlfn.XLOOKUP(_xlfn.ANCHORARRAY(BA4),Registration[Name],_FV(Registration[Country],"image"))</f>
        <v>#VALUE!</v>
      </c>
      <c r="BC4" s="13" t="e" cm="1">
        <f t="array" aca="1" ref="BC4:BC50" ca="1">SUBSTITUTE(SUBSTITUTE(TEXT(_xlfn._xlws.SORT(_xlfn.ANCHORARRAY('TT Qualifications'!AK2)),"mm:ss,00"),":","'"),",","""")</f>
        <v>#VALUE!</v>
      </c>
      <c r="BE4" s="13" cm="1">
        <f t="array" aca="1" ref="BE4:BE50" ca="1">_xlfn.SEQUENCE(ROWS(_xlfn.ANCHORARRAY(BF4)))</f>
        <v>1</v>
      </c>
      <c r="BF4" s="13" t="str" cm="1">
        <f t="array" aca="1" ref="BF4:BF50" ca="1">_xlfn.XLOOKUP(_xlfn.SORTBY(_xlfn.ANCHORARRAY('TT Qualifications'!$F2),_xlfn.ANCHORARRAY('TT Qualifications'!AL2)),Registration[Nickname],Registration[Name])</f>
        <v>Karel van Duijvenboden</v>
      </c>
      <c r="BG4" s="13" t="e" cm="1" vm="12">
        <f t="array" aca="1" ref="BG4:BG50" ca="1">_xlfn.XLOOKUP(_xlfn.ANCHORARRAY(BF4),Registration[Name],_FV(Registration[Country],"image"))</f>
        <v>#VALUE!</v>
      </c>
      <c r="BH4" s="13" t="e" cm="1">
        <f t="array" aca="1" ref="BH4:BH50" ca="1">SUBSTITUTE(SUBSTITUTE(TEXT(_xlfn._xlws.SORT(_xlfn.ANCHORARRAY('TT Qualifications'!AL2)),"mm:ss,00"),":","'"),",","""")</f>
        <v>#VALUE!</v>
      </c>
      <c r="BJ4" s="13" cm="1">
        <f t="array" aca="1" ref="BJ4:BJ50" ca="1">_xlfn.SEQUENCE(ROWS(_xlfn.ANCHORARRAY(BK4)))</f>
        <v>1</v>
      </c>
      <c r="BK4" s="13" t="str" cm="1">
        <f t="array" aca="1" ref="BK4:BK50" ca="1">_xlfn.XLOOKUP(_xlfn.SORTBY(_xlfn.ANCHORARRAY('TT Qualifications'!$F2),_xlfn.ANCHORARRAY('TT Qualifications'!AM2)),Registration[Nickname],Registration[Name])</f>
        <v>Takashi Ogasawara</v>
      </c>
      <c r="BL4" s="13" t="e" cm="1" vm="16">
        <f t="array" aca="1" ref="BL4:BL50" ca="1">_xlfn.XLOOKUP(_xlfn.ANCHORARRAY(BK4),Registration[Name],_FV(Registration[Country],"image"))</f>
        <v>#VALUE!</v>
      </c>
      <c r="BM4" s="13" t="e" cm="1">
        <f t="array" aca="1" ref="BM4:BM50" ca="1">SUBSTITUTE(SUBSTITUTE(TEXT(_xlfn._xlws.SORT(_xlfn.ANCHORARRAY('TT Qualifications'!AM2)),"mm:ss,00"),":","'"),",","""")</f>
        <v>#VALUE!</v>
      </c>
      <c r="BO4" s="13" cm="1">
        <f t="array" aca="1" ref="BO4:BO50" ca="1">_xlfn.SEQUENCE(ROWS(_xlfn.ANCHORARRAY(BP4)))</f>
        <v>1</v>
      </c>
      <c r="BP4" s="13" t="str" cm="1">
        <f t="array" aca="1" ref="BP4:BP50" ca="1">_xlfn.XLOOKUP(_xlfn.SORTBY(_xlfn.ANCHORARRAY('TT Qualifications'!$F2),_xlfn.ANCHORARRAY('TT Qualifications'!AN2)),Registration[Nickname],Registration[Name])</f>
        <v>Sami Cetin</v>
      </c>
      <c r="BQ4" s="13" t="e" cm="1" vm="13">
        <f t="array" aca="1" ref="BQ4:BQ50" ca="1">_xlfn.XLOOKUP(_xlfn.ANCHORARRAY(BP4),Registration[Name],_FV(Registration[Country],"image"))</f>
        <v>#VALUE!</v>
      </c>
      <c r="BR4" s="13" t="e" cm="1">
        <f t="array" aca="1" ref="BR4:BR50" ca="1">SUBSTITUTE(SUBSTITUTE(TEXT(_xlfn._xlws.SORT(_xlfn.ANCHORARRAY('TT Qualifications'!AN2)),"mm:ss,00"),":","'"),",","""")</f>
        <v>#VALUE!</v>
      </c>
      <c r="BT4" s="13" cm="1">
        <f t="array" aca="1" ref="BT4:BT50" ca="1">_xlfn.SEQUENCE(ROWS(_xlfn.ANCHORARRAY(BU4)))</f>
        <v>1</v>
      </c>
      <c r="BU4" s="13" t="str" cm="1">
        <f t="array" aca="1" ref="BU4:BU50" ca="1">_xlfn.XLOOKUP(_xlfn.SORTBY(_xlfn.ANCHORARRAY('TT Qualifications'!$F2),_xlfn.ANCHORARRAY('TT Qualifications'!AO2)),Registration[Nickname],Registration[Name])</f>
        <v>Guillaume Leviach</v>
      </c>
      <c r="BV4" s="13" t="e" cm="1" vm="15">
        <f t="array" aca="1" ref="BV4:BV50" ca="1">_xlfn.XLOOKUP(_xlfn.ANCHORARRAY(BU4),Registration[Name],_FV(Registration[Country],"image"))</f>
        <v>#VALUE!</v>
      </c>
      <c r="BW4" s="13" t="e" cm="1">
        <f t="array" aca="1" ref="BW4:BW50" ca="1">SUBSTITUTE(SUBSTITUTE(TEXT(_xlfn._xlws.SORT(_xlfn.ANCHORARRAY('TT Qualifications'!AO2)),"mm:ss,00"),":","'"),",","""")</f>
        <v>#VALUE!</v>
      </c>
      <c r="BY4" s="13" cm="1">
        <f t="array" aca="1" ref="BY4:BY50" ca="1">_xlfn.SEQUENCE(ROWS(_xlfn.ANCHORARRAY(BZ4)))</f>
        <v>1</v>
      </c>
      <c r="BZ4" s="13" t="str" cm="1">
        <f t="array" aca="1" ref="BZ4:BZ50" ca="1">_xlfn.XLOOKUP(_xlfn.SORTBY(_xlfn.ANCHORARRAY('TT Qualifications'!$F2),_xlfn.ANCHORARRAY('TT Qualifications'!AP2)),Registration[Nickname],Registration[Name])</f>
        <v>Karel van Duijvenboden</v>
      </c>
      <c r="CA4" s="13" t="e" cm="1" vm="12">
        <f t="array" aca="1" ref="CA4:CA50" ca="1">_xlfn.XLOOKUP(_xlfn.ANCHORARRAY(BZ4),Registration[Name],_FV(Registration[Country],"image"))</f>
        <v>#VALUE!</v>
      </c>
      <c r="CB4" s="13" t="e" cm="1">
        <f t="array" aca="1" ref="CB4:CB50" ca="1">SUBSTITUTE(SUBSTITUTE(TEXT(_xlfn._xlws.SORT(_xlfn.ANCHORARRAY('TT Qualifications'!AP2)),"mm:ss,00"),":","'"),",","""")</f>
        <v>#VALUE!</v>
      </c>
      <c r="CD4" s="13" cm="1">
        <f t="array" aca="1" ref="CD4:CD50" ca="1">_xlfn.SEQUENCE(ROWS(_xlfn.ANCHORARRAY(CE4)))</f>
        <v>1</v>
      </c>
      <c r="CE4" s="13" t="str" cm="1">
        <f t="array" aca="1" ref="CE4:CE50" ca="1">_xlfn.XLOOKUP(_xlfn.SORTBY(_xlfn.ANCHORARRAY('TT Qualifications'!$F2),_xlfn.ANCHORARRAY('TT Qualifications'!AQ2)),Registration[Nickname],Registration[Name])</f>
        <v>Karel van Duijvenboden</v>
      </c>
      <c r="CF4" s="13" t="e" cm="1" vm="12">
        <f t="array" aca="1" ref="CF4:CF50" ca="1">_xlfn.XLOOKUP(_xlfn.ANCHORARRAY(CE4),Registration[Name],_FV(Registration[Country],"image"))</f>
        <v>#VALUE!</v>
      </c>
      <c r="CG4" s="13" t="e" cm="1">
        <f t="array" aca="1" ref="CG4:CG50" ca="1">SUBSTITUTE(SUBSTITUTE(TEXT(_xlfn._xlws.SORT(_xlfn.ANCHORARRAY('TT Qualifications'!AQ2)),"mm:ss,00"),":","'"),",","""")</f>
        <v>#VALUE!</v>
      </c>
      <c r="CI4" s="13" cm="1">
        <f t="array" aca="1" ref="CI4:CI50" ca="1">_xlfn.SEQUENCE(ROWS(_xlfn.ANCHORARRAY(CJ4)))</f>
        <v>1</v>
      </c>
      <c r="CJ4" s="13" t="str" cm="1">
        <f t="array" aca="1" ref="CJ4:CJ50" ca="1">_xlfn.XLOOKUP(_xlfn.SORTBY(_xlfn.ANCHORARRAY('TT Qualifications'!$F2),_xlfn.ANCHORARRAY('TT Qualifications'!AR2)),Registration[Nickname],Registration[Name])</f>
        <v>Guillaume Leviach</v>
      </c>
      <c r="CK4" s="13" t="e" cm="1" vm="15">
        <f t="array" aca="1" ref="CK4:CK50" ca="1">_xlfn.XLOOKUP(_xlfn.ANCHORARRAY(CJ4),Registration[Name],_FV(Registration[Country],"image"))</f>
        <v>#VALUE!</v>
      </c>
      <c r="CL4" s="13" t="e" cm="1">
        <f t="array" aca="1" ref="CL4:CL50" ca="1">SUBSTITUTE(SUBSTITUTE(TEXT(_xlfn._xlws.SORT(_xlfn.ANCHORARRAY('TT Qualifications'!AR2)),"mm:ss,00"),":","'"),",","""")</f>
        <v>#VALUE!</v>
      </c>
      <c r="CN4" s="13" cm="1">
        <f t="array" aca="1" ref="CN4:CN50" ca="1">_xlfn.SEQUENCE(ROWS(_xlfn.ANCHORARRAY(CO4)))</f>
        <v>1</v>
      </c>
      <c r="CO4" s="13" t="str" cm="1">
        <f t="array" aca="1" ref="CO4:CO50" ca="1">_xlfn.XLOOKUP(_xlfn.SORTBY(_xlfn.ANCHORARRAY('TT Qualifications'!$F2),_xlfn.ANCHORARRAY('TT Qualifications'!AS2)),Registration[Nickname],Registration[Name])</f>
        <v>Sami Cetin</v>
      </c>
      <c r="CP4" s="13" t="e" cm="1" vm="13">
        <f t="array" aca="1" ref="CP4:CP50" ca="1">_xlfn.XLOOKUP(_xlfn.ANCHORARRAY(CO4),Registration[Name],_FV(Registration[Country],"image"))</f>
        <v>#VALUE!</v>
      </c>
      <c r="CQ4" s="13" t="e" cm="1">
        <f t="array" aca="1" ref="CQ4:CQ50" ca="1">SUBSTITUTE(SUBSTITUTE(TEXT(_xlfn._xlws.SORT(_xlfn.ANCHORARRAY('TT Qualifications'!AS2)),"mm:ss,00"),":","'"),",","""")</f>
        <v>#VALUE!</v>
      </c>
      <c r="CS4" s="13" cm="1">
        <f t="array" aca="1" ref="CS4:CS50" ca="1">_xlfn.SEQUENCE(ROWS(_xlfn.ANCHORARRAY(CT4)))</f>
        <v>1</v>
      </c>
      <c r="CT4" s="13" t="str" cm="1">
        <f t="array" aca="1" ref="CT4:CT50" ca="1">_xlfn.XLOOKUP(_xlfn.SORTBY(_xlfn.ANCHORARRAY('TT Qualifications'!$F2),_xlfn.ANCHORARRAY('TT Qualifications'!AT2)),Registration[Nickname],Registration[Name])</f>
        <v>Guillaume Leviach</v>
      </c>
      <c r="CU4" s="13" t="e" cm="1" vm="15">
        <f t="array" aca="1" ref="CU4:CU50" ca="1">_xlfn.XLOOKUP(_xlfn.ANCHORARRAY(CT4),Registration[Name],_FV(Registration[Country],"image"))</f>
        <v>#VALUE!</v>
      </c>
      <c r="CV4" s="13" t="e" cm="1">
        <f t="array" aca="1" ref="CV4:CV50" ca="1">SUBSTITUTE(SUBSTITUTE(TEXT(_xlfn._xlws.SORT(_xlfn.ANCHORARRAY('TT Qualifications'!AT2)),"mm:ss,00"),":","'"),",","""")</f>
        <v>#VALUE!</v>
      </c>
    </row>
    <row r="5" spans="2:100">
      <c r="B5" s="13">
        <f ca="1"/>
        <v>2</v>
      </c>
      <c r="C5" s="13" t="str">
        <f ca="1"/>
        <v>Sami Cetin</v>
      </c>
      <c r="D5" s="13" t="e" vm="13">
        <f ca="1"/>
        <v>#VALUE!</v>
      </c>
      <c r="E5" s="13" t="e">
        <f ca="1"/>
        <v>#VALUE!</v>
      </c>
      <c r="G5" s="13">
        <f ca="1"/>
        <v>2</v>
      </c>
      <c r="H5" s="13" t="str">
        <f ca="1"/>
        <v>Jerome Coiffard</v>
      </c>
      <c r="I5" s="13" t="e" vm="15">
        <f ca="1"/>
        <v>#VALUE!</v>
      </c>
      <c r="J5" s="13" t="e">
        <f ca="1"/>
        <v>#VALUE!</v>
      </c>
      <c r="L5" s="13">
        <f ca="1"/>
        <v>2</v>
      </c>
      <c r="M5" s="13" t="str">
        <f ca="1"/>
        <v>Guillaume Leviach</v>
      </c>
      <c r="N5" s="13" t="e" vm="15">
        <f ca="1"/>
        <v>#VALUE!</v>
      </c>
      <c r="O5" s="13" t="e">
        <f ca="1"/>
        <v>#VALUE!</v>
      </c>
      <c r="Q5" s="13">
        <f ca="1"/>
        <v>2</v>
      </c>
      <c r="R5" s="13" t="str">
        <f ca="1"/>
        <v>Jonathan Toole-Charignon</v>
      </c>
      <c r="S5" s="13" t="e" vm="14">
        <f ca="1"/>
        <v>#VALUE!</v>
      </c>
      <c r="T5" s="13" t="e">
        <f ca="1"/>
        <v>#VALUE!</v>
      </c>
      <c r="V5" s="13">
        <f ca="1"/>
        <v>2</v>
      </c>
      <c r="W5" s="13" t="str">
        <f ca="1"/>
        <v>Guillaume Leviach</v>
      </c>
      <c r="X5" s="13" t="e" vm="15">
        <f ca="1"/>
        <v>#VALUE!</v>
      </c>
      <c r="Y5" s="13" t="e">
        <f ca="1"/>
        <v>#VALUE!</v>
      </c>
      <c r="AA5" s="13">
        <f ca="1"/>
        <v>2</v>
      </c>
      <c r="AB5" s="13" t="str">
        <f ca="1"/>
        <v>Guillaume Leviach</v>
      </c>
      <c r="AC5" s="13" t="e" vm="15">
        <f ca="1"/>
        <v>#VALUE!</v>
      </c>
      <c r="AD5" s="13" t="e">
        <f ca="1"/>
        <v>#VALUE!</v>
      </c>
      <c r="AF5" s="13">
        <f ca="1"/>
        <v>2</v>
      </c>
      <c r="AG5" s="13" t="str">
        <f ca="1"/>
        <v>Sami Cetin</v>
      </c>
      <c r="AH5" s="13" t="e" vm="13">
        <f ca="1"/>
        <v>#VALUE!</v>
      </c>
      <c r="AI5" s="13" t="e">
        <f ca="1"/>
        <v>#VALUE!</v>
      </c>
      <c r="AK5" s="13">
        <f ca="1"/>
        <v>2</v>
      </c>
      <c r="AL5" s="13" t="str">
        <f ca="1"/>
        <v>Guillaume Leviach</v>
      </c>
      <c r="AM5" s="13" t="e" vm="15">
        <f ca="1"/>
        <v>#VALUE!</v>
      </c>
      <c r="AN5" s="13" t="e">
        <f ca="1"/>
        <v>#VALUE!</v>
      </c>
      <c r="AP5" s="13">
        <f ca="1"/>
        <v>2</v>
      </c>
      <c r="AQ5" s="13" t="str">
        <f ca="1"/>
        <v>Sophie Jarmouni</v>
      </c>
      <c r="AR5" s="13" t="e" vm="17">
        <f ca="1"/>
        <v>#VALUE!</v>
      </c>
      <c r="AS5" s="13" t="e">
        <f ca="1"/>
        <v>#VALUE!</v>
      </c>
      <c r="AU5" s="13">
        <f ca="1"/>
        <v>2</v>
      </c>
      <c r="AV5" s="13" t="str">
        <f ca="1"/>
        <v>Guillaume Leviach</v>
      </c>
      <c r="AW5" s="13" t="e" vm="15">
        <f ca="1"/>
        <v>#VALUE!</v>
      </c>
      <c r="AX5" s="13" t="e">
        <f ca="1"/>
        <v>#VALUE!</v>
      </c>
      <c r="AZ5" s="13">
        <f ca="1"/>
        <v>2</v>
      </c>
      <c r="BA5" s="13" t="str">
        <f ca="1"/>
        <v>Guillaume Leviach</v>
      </c>
      <c r="BB5" s="13" t="e" vm="15">
        <f ca="1"/>
        <v>#VALUE!</v>
      </c>
      <c r="BC5" s="13" t="e">
        <f ca="1"/>
        <v>#VALUE!</v>
      </c>
      <c r="BE5" s="13">
        <f ca="1"/>
        <v>2</v>
      </c>
      <c r="BF5" s="13" t="str">
        <f ca="1"/>
        <v>Guillaume Leviach</v>
      </c>
      <c r="BG5" s="13" t="e" vm="15">
        <f ca="1"/>
        <v>#VALUE!</v>
      </c>
      <c r="BH5" s="13" t="e">
        <f ca="1"/>
        <v>#VALUE!</v>
      </c>
      <c r="BJ5" s="13">
        <f ca="1"/>
        <v>2</v>
      </c>
      <c r="BK5" s="13" t="str">
        <f ca="1"/>
        <v>Karel van Duijvenboden</v>
      </c>
      <c r="BL5" s="13" t="e" vm="12">
        <f ca="1"/>
        <v>#VALUE!</v>
      </c>
      <c r="BM5" s="13" t="e">
        <f ca="1"/>
        <v>#VALUE!</v>
      </c>
      <c r="BO5" s="13">
        <f ca="1"/>
        <v>2</v>
      </c>
      <c r="BP5" s="13" t="str">
        <f ca="1"/>
        <v>Hiroki Matsumoto</v>
      </c>
      <c r="BQ5" s="13" t="e" vm="16">
        <f ca="1"/>
        <v>#VALUE!</v>
      </c>
      <c r="BR5" s="13" t="e">
        <f ca="1"/>
        <v>#VALUE!</v>
      </c>
      <c r="BT5" s="13">
        <f ca="1"/>
        <v>2</v>
      </c>
      <c r="BU5" s="13" t="str">
        <f ca="1"/>
        <v>Jonathan Toole-Charignon</v>
      </c>
      <c r="BV5" s="13" t="e" vm="14">
        <f ca="1"/>
        <v>#VALUE!</v>
      </c>
      <c r="BW5" s="13" t="e">
        <f ca="1"/>
        <v>#VALUE!</v>
      </c>
      <c r="BY5" s="13">
        <f ca="1"/>
        <v>2</v>
      </c>
      <c r="BZ5" s="13" t="str">
        <f ca="1"/>
        <v>Takashi Ogasawara</v>
      </c>
      <c r="CA5" s="13" t="e" vm="16">
        <f ca="1"/>
        <v>#VALUE!</v>
      </c>
      <c r="CB5" s="13" t="e">
        <f ca="1"/>
        <v>#VALUE!</v>
      </c>
      <c r="CD5" s="13">
        <f ca="1"/>
        <v>2</v>
      </c>
      <c r="CE5" s="13" t="str">
        <f ca="1"/>
        <v>Jonathan Toole-Charignon</v>
      </c>
      <c r="CF5" s="13" t="e" vm="14">
        <f ca="1"/>
        <v>#VALUE!</v>
      </c>
      <c r="CG5" s="13" t="e">
        <f ca="1"/>
        <v>#VALUE!</v>
      </c>
      <c r="CI5" s="13">
        <f ca="1"/>
        <v>2</v>
      </c>
      <c r="CJ5" s="13" t="str">
        <f ca="1"/>
        <v>Karel van Duijvenboden</v>
      </c>
      <c r="CK5" s="13" t="e" vm="12">
        <f ca="1"/>
        <v>#VALUE!</v>
      </c>
      <c r="CL5" s="13" t="e">
        <f ca="1"/>
        <v>#VALUE!</v>
      </c>
      <c r="CN5" s="13">
        <f ca="1"/>
        <v>2</v>
      </c>
      <c r="CO5" s="13" t="str">
        <f ca="1"/>
        <v>Karel van Duijvenboden</v>
      </c>
      <c r="CP5" s="13" t="e" vm="12">
        <f ca="1"/>
        <v>#VALUE!</v>
      </c>
      <c r="CQ5" s="13" t="e">
        <f ca="1"/>
        <v>#VALUE!</v>
      </c>
      <c r="CS5" s="13">
        <f ca="1"/>
        <v>2</v>
      </c>
      <c r="CT5" s="13" t="str">
        <f ca="1"/>
        <v>Karel van Duijvenboden</v>
      </c>
      <c r="CU5" s="13" t="e" vm="12">
        <f ca="1"/>
        <v>#VALUE!</v>
      </c>
      <c r="CV5" s="13" t="e">
        <f ca="1"/>
        <v>#VALUE!</v>
      </c>
    </row>
    <row r="6" spans="2:100">
      <c r="B6" s="13">
        <f ca="1"/>
        <v>3</v>
      </c>
      <c r="C6" s="13" t="str">
        <f ca="1"/>
        <v>Guillaume Leviach</v>
      </c>
      <c r="D6" s="13" t="e" vm="15">
        <f ca="1"/>
        <v>#VALUE!</v>
      </c>
      <c r="E6" s="13" t="e">
        <f ca="1"/>
        <v>#VALUE!</v>
      </c>
      <c r="G6" s="13">
        <f ca="1"/>
        <v>3</v>
      </c>
      <c r="H6" s="13" t="str">
        <f ca="1"/>
        <v>Jonathan Toole-Charignon</v>
      </c>
      <c r="I6" s="13" t="e" vm="14">
        <f ca="1"/>
        <v>#VALUE!</v>
      </c>
      <c r="J6" s="13" t="e">
        <f ca="1"/>
        <v>#VALUE!</v>
      </c>
      <c r="L6" s="13">
        <f ca="1"/>
        <v>3</v>
      </c>
      <c r="M6" s="13" t="str">
        <f ca="1"/>
        <v>Jonathan Toole-Charignon</v>
      </c>
      <c r="N6" s="13" t="e" vm="14">
        <f ca="1"/>
        <v>#VALUE!</v>
      </c>
      <c r="O6" s="13" t="e">
        <f ca="1"/>
        <v>#VALUE!</v>
      </c>
      <c r="Q6" s="13">
        <f ca="1"/>
        <v>3</v>
      </c>
      <c r="R6" s="13" t="str">
        <f ca="1"/>
        <v>Sophie Jarmouni</v>
      </c>
      <c r="S6" s="13" t="e" vm="17">
        <f ca="1"/>
        <v>#VALUE!</v>
      </c>
      <c r="T6" s="13" t="e">
        <f ca="1"/>
        <v>#VALUE!</v>
      </c>
      <c r="V6" s="13">
        <f ca="1"/>
        <v>3</v>
      </c>
      <c r="W6" s="13" t="str">
        <f ca="1"/>
        <v>Jonathan Toole-Charignon</v>
      </c>
      <c r="X6" s="13" t="e" vm="14">
        <f ca="1"/>
        <v>#VALUE!</v>
      </c>
      <c r="Y6" s="13" t="e">
        <f ca="1"/>
        <v>#VALUE!</v>
      </c>
      <c r="AA6" s="13">
        <f ca="1"/>
        <v>3</v>
      </c>
      <c r="AB6" s="13" t="str">
        <f ca="1"/>
        <v>Takashi Ogasawara</v>
      </c>
      <c r="AC6" s="13" t="e" vm="16">
        <f ca="1"/>
        <v>#VALUE!</v>
      </c>
      <c r="AD6" s="13" t="e">
        <f ca="1"/>
        <v>#VALUE!</v>
      </c>
      <c r="AF6" s="13">
        <f ca="1"/>
        <v>3</v>
      </c>
      <c r="AG6" s="13" t="str">
        <f ca="1"/>
        <v>Jonathan Toole-Charignon</v>
      </c>
      <c r="AH6" s="13" t="e" vm="14">
        <f ca="1"/>
        <v>#VALUE!</v>
      </c>
      <c r="AI6" s="13" t="e">
        <f ca="1"/>
        <v>#VALUE!</v>
      </c>
      <c r="AK6" s="13">
        <f ca="1"/>
        <v>3</v>
      </c>
      <c r="AL6" s="13" t="str">
        <f ca="1"/>
        <v>Jerome Coiffard</v>
      </c>
      <c r="AM6" s="13" t="e" vm="15">
        <f ca="1"/>
        <v>#VALUE!</v>
      </c>
      <c r="AN6" s="13" t="e">
        <f ca="1"/>
        <v>#VALUE!</v>
      </c>
      <c r="AP6" s="13">
        <f ca="1"/>
        <v>3</v>
      </c>
      <c r="AQ6" s="13" t="str">
        <f ca="1"/>
        <v>Takashi Ogasawara</v>
      </c>
      <c r="AR6" s="13" t="e" vm="16">
        <f ca="1"/>
        <v>#VALUE!</v>
      </c>
      <c r="AS6" s="13" t="e">
        <f ca="1"/>
        <v>#VALUE!</v>
      </c>
      <c r="AU6" s="13">
        <f ca="1"/>
        <v>3</v>
      </c>
      <c r="AV6" s="13" t="str">
        <f ca="1"/>
        <v>Karel van Duijvenboden</v>
      </c>
      <c r="AW6" s="13" t="e" vm="12">
        <f ca="1"/>
        <v>#VALUE!</v>
      </c>
      <c r="AX6" s="13" t="e">
        <f ca="1"/>
        <v>#VALUE!</v>
      </c>
      <c r="AZ6" s="13">
        <f ca="1"/>
        <v>3</v>
      </c>
      <c r="BA6" s="13" t="str">
        <f ca="1"/>
        <v>Karel van Duijvenboden</v>
      </c>
      <c r="BB6" s="13" t="e" vm="12">
        <f ca="1"/>
        <v>#VALUE!</v>
      </c>
      <c r="BC6" s="13" t="e">
        <f ca="1"/>
        <v>#VALUE!</v>
      </c>
      <c r="BE6" s="13">
        <f ca="1"/>
        <v>3</v>
      </c>
      <c r="BF6" s="13" t="str">
        <f ca="1"/>
        <v>Jerome Coiffard</v>
      </c>
      <c r="BG6" s="13" t="e" vm="15">
        <f ca="1"/>
        <v>#VALUE!</v>
      </c>
      <c r="BH6" s="13" t="e">
        <f ca="1"/>
        <v>#VALUE!</v>
      </c>
      <c r="BJ6" s="13">
        <f ca="1"/>
        <v>3</v>
      </c>
      <c r="BK6" s="13" t="str">
        <f ca="1"/>
        <v>Hiroki Matsumoto</v>
      </c>
      <c r="BL6" s="13" t="e" vm="16">
        <f ca="1"/>
        <v>#VALUE!</v>
      </c>
      <c r="BM6" s="13" t="e">
        <f ca="1"/>
        <v>#VALUE!</v>
      </c>
      <c r="BO6" s="13">
        <f ca="1"/>
        <v>3</v>
      </c>
      <c r="BP6" s="13" t="str">
        <f ca="1"/>
        <v>Jonathan Toole-Charignon</v>
      </c>
      <c r="BQ6" s="13" t="e" vm="14">
        <f ca="1"/>
        <v>#VALUE!</v>
      </c>
      <c r="BR6" s="13" t="e">
        <f ca="1"/>
        <v>#VALUE!</v>
      </c>
      <c r="BT6" s="13">
        <f ca="1"/>
        <v>3</v>
      </c>
      <c r="BU6" s="13" t="str">
        <f ca="1"/>
        <v>Sami Cetin</v>
      </c>
      <c r="BV6" s="13" t="e" vm="13">
        <f ca="1"/>
        <v>#VALUE!</v>
      </c>
      <c r="BW6" s="13" t="e">
        <f ca="1"/>
        <v>#VALUE!</v>
      </c>
      <c r="BY6" s="13">
        <f ca="1"/>
        <v>3</v>
      </c>
      <c r="BZ6" s="13" t="str">
        <f ca="1"/>
        <v>Jerome Coiffard</v>
      </c>
      <c r="CA6" s="13" t="e" vm="15">
        <f ca="1"/>
        <v>#VALUE!</v>
      </c>
      <c r="CB6" s="13" t="e">
        <f ca="1"/>
        <v>#VALUE!</v>
      </c>
      <c r="CD6" s="13">
        <f ca="1"/>
        <v>3</v>
      </c>
      <c r="CE6" s="13" t="str">
        <f ca="1"/>
        <v>Jerome Coiffard</v>
      </c>
      <c r="CF6" s="13" t="e" vm="15">
        <f ca="1"/>
        <v>#VALUE!</v>
      </c>
      <c r="CG6" s="13" t="e">
        <f ca="1"/>
        <v>#VALUE!</v>
      </c>
      <c r="CI6" s="13">
        <f ca="1"/>
        <v>3</v>
      </c>
      <c r="CJ6" s="13" t="str">
        <f ca="1"/>
        <v>Sami Cetin</v>
      </c>
      <c r="CK6" s="13" t="e" vm="13">
        <f ca="1"/>
        <v>#VALUE!</v>
      </c>
      <c r="CL6" s="13" t="e">
        <f ca="1"/>
        <v>#VALUE!</v>
      </c>
      <c r="CN6" s="13">
        <f ca="1"/>
        <v>3</v>
      </c>
      <c r="CO6" s="13" t="str">
        <f ca="1"/>
        <v>Jonathan Toole-Charignon</v>
      </c>
      <c r="CP6" s="13" t="e" vm="14">
        <f ca="1"/>
        <v>#VALUE!</v>
      </c>
      <c r="CQ6" s="13" t="e">
        <f ca="1"/>
        <v>#VALUE!</v>
      </c>
      <c r="CS6" s="13">
        <f ca="1"/>
        <v>3</v>
      </c>
      <c r="CT6" s="13" t="str">
        <f ca="1"/>
        <v>Sami Cetin</v>
      </c>
      <c r="CU6" s="13" t="e" vm="13">
        <f ca="1"/>
        <v>#VALUE!</v>
      </c>
      <c r="CV6" s="13" t="e">
        <f ca="1"/>
        <v>#VALUE!</v>
      </c>
    </row>
    <row r="7" spans="2:100">
      <c r="B7" s="13">
        <f ca="1"/>
        <v>4</v>
      </c>
      <c r="C7" s="13" t="str">
        <f ca="1"/>
        <v>Jerome Coiffard</v>
      </c>
      <c r="D7" s="13" t="e" vm="15">
        <f ca="1"/>
        <v>#VALUE!</v>
      </c>
      <c r="E7" s="13" t="e">
        <f ca="1"/>
        <v>#VALUE!</v>
      </c>
      <c r="G7" s="13">
        <f ca="1"/>
        <v>4</v>
      </c>
      <c r="H7" s="13" t="str">
        <f ca="1"/>
        <v>Karel van Duijvenboden</v>
      </c>
      <c r="I7" s="13" t="e" vm="12">
        <f ca="1"/>
        <v>#VALUE!</v>
      </c>
      <c r="J7" s="13" t="e">
        <f ca="1"/>
        <v>#VALUE!</v>
      </c>
      <c r="L7" s="13">
        <f ca="1"/>
        <v>4</v>
      </c>
      <c r="M7" s="13" t="str">
        <f ca="1"/>
        <v>Hiroki Matsumoto</v>
      </c>
      <c r="N7" s="13" t="e" vm="16">
        <f ca="1"/>
        <v>#VALUE!</v>
      </c>
      <c r="O7" s="13" t="e">
        <f ca="1"/>
        <v>#VALUE!</v>
      </c>
      <c r="Q7" s="13">
        <f ca="1"/>
        <v>4</v>
      </c>
      <c r="R7" s="13" t="str">
        <f ca="1"/>
        <v>Hiroki Matsumoto</v>
      </c>
      <c r="S7" s="13" t="e" vm="16">
        <f ca="1"/>
        <v>#VALUE!</v>
      </c>
      <c r="T7" s="13" t="e">
        <f ca="1"/>
        <v>#VALUE!</v>
      </c>
      <c r="V7" s="13">
        <f ca="1"/>
        <v>4</v>
      </c>
      <c r="W7" s="13" t="str">
        <f ca="1"/>
        <v>Sami Cetin</v>
      </c>
      <c r="X7" s="13" t="e" vm="13">
        <f ca="1"/>
        <v>#VALUE!</v>
      </c>
      <c r="Y7" s="13" t="e">
        <f ca="1"/>
        <v>#VALUE!</v>
      </c>
      <c r="AA7" s="13">
        <f ca="1"/>
        <v>4</v>
      </c>
      <c r="AB7" s="13" t="str">
        <f ca="1"/>
        <v>Sami Cetin</v>
      </c>
      <c r="AC7" s="13" t="e" vm="13">
        <f ca="1"/>
        <v>#VALUE!</v>
      </c>
      <c r="AD7" s="13" t="e">
        <f ca="1"/>
        <v>#VALUE!</v>
      </c>
      <c r="AF7" s="13">
        <f ca="1"/>
        <v>4</v>
      </c>
      <c r="AG7" s="13" t="str">
        <f ca="1"/>
        <v>Jerome Coiffard</v>
      </c>
      <c r="AH7" s="13" t="e" vm="15">
        <f ca="1"/>
        <v>#VALUE!</v>
      </c>
      <c r="AI7" s="13" t="e">
        <f ca="1"/>
        <v>#VALUE!</v>
      </c>
      <c r="AK7" s="13">
        <f ca="1"/>
        <v>4</v>
      </c>
      <c r="AL7" s="13" t="str">
        <f ca="1"/>
        <v>Sami Cetin</v>
      </c>
      <c r="AM7" s="13" t="e" vm="13">
        <f ca="1"/>
        <v>#VALUE!</v>
      </c>
      <c r="AN7" s="13" t="e">
        <f ca="1"/>
        <v>#VALUE!</v>
      </c>
      <c r="AP7" s="13">
        <f ca="1"/>
        <v>4</v>
      </c>
      <c r="AQ7" s="13" t="str">
        <f ca="1"/>
        <v>Jonathan Toole-Charignon</v>
      </c>
      <c r="AR7" s="13" t="e" vm="14">
        <f ca="1"/>
        <v>#VALUE!</v>
      </c>
      <c r="AS7" s="13" t="e">
        <f ca="1"/>
        <v>#VALUE!</v>
      </c>
      <c r="AU7" s="13">
        <f ca="1"/>
        <v>4</v>
      </c>
      <c r="AV7" s="13" t="str">
        <f ca="1"/>
        <v>Jerome Coiffard</v>
      </c>
      <c r="AW7" s="13" t="e" vm="15">
        <f ca="1"/>
        <v>#VALUE!</v>
      </c>
      <c r="AX7" s="13" t="e">
        <f ca="1"/>
        <v>#VALUE!</v>
      </c>
      <c r="AZ7" s="13">
        <f ca="1"/>
        <v>4</v>
      </c>
      <c r="BA7" s="13" t="str">
        <f ca="1"/>
        <v>Jonathan Toole-Charignon</v>
      </c>
      <c r="BB7" s="13" t="e" vm="14">
        <f ca="1"/>
        <v>#VALUE!</v>
      </c>
      <c r="BC7" s="13" t="e">
        <f ca="1"/>
        <v>#VALUE!</v>
      </c>
      <c r="BE7" s="13">
        <f ca="1"/>
        <v>4</v>
      </c>
      <c r="BF7" s="13" t="str">
        <f ca="1"/>
        <v>Sami Cetin</v>
      </c>
      <c r="BG7" s="13" t="e" vm="13">
        <f ca="1"/>
        <v>#VALUE!</v>
      </c>
      <c r="BH7" s="13" t="e">
        <f ca="1"/>
        <v>#VALUE!</v>
      </c>
      <c r="BJ7" s="13">
        <f ca="1"/>
        <v>4</v>
      </c>
      <c r="BK7" s="13" t="str">
        <f ca="1"/>
        <v>Leyla Hasso</v>
      </c>
      <c r="BL7" s="13" t="e" vm="13">
        <f ca="1"/>
        <v>#VALUE!</v>
      </c>
      <c r="BM7" s="13" t="e">
        <f ca="1"/>
        <v>#VALUE!</v>
      </c>
      <c r="BO7" s="13">
        <f ca="1"/>
        <v>4</v>
      </c>
      <c r="BP7" s="13" t="str">
        <f ca="1"/>
        <v>David Moll</v>
      </c>
      <c r="BQ7" s="13" t="e" vm="13">
        <f ca="1"/>
        <v>#VALUE!</v>
      </c>
      <c r="BR7" s="13" t="e">
        <f ca="1"/>
        <v>#VALUE!</v>
      </c>
      <c r="BT7" s="13">
        <f ca="1"/>
        <v>4</v>
      </c>
      <c r="BU7" s="13" t="str">
        <f ca="1"/>
        <v>Jerome Coiffard</v>
      </c>
      <c r="BV7" s="13" t="e" vm="15">
        <f ca="1"/>
        <v>#VALUE!</v>
      </c>
      <c r="BW7" s="13" t="e">
        <f ca="1"/>
        <v>#VALUE!</v>
      </c>
      <c r="BY7" s="13">
        <f ca="1"/>
        <v>4</v>
      </c>
      <c r="BZ7" s="13" t="str">
        <f ca="1"/>
        <v>Guillaume Leviach</v>
      </c>
      <c r="CA7" s="13" t="e" vm="15">
        <f ca="1"/>
        <v>#VALUE!</v>
      </c>
      <c r="CB7" s="13" t="e">
        <f ca="1"/>
        <v>#VALUE!</v>
      </c>
      <c r="CD7" s="13">
        <f ca="1"/>
        <v>4</v>
      </c>
      <c r="CE7" s="13" t="str">
        <f ca="1"/>
        <v>Sami Cetin</v>
      </c>
      <c r="CF7" s="13" t="e" vm="13">
        <f ca="1"/>
        <v>#VALUE!</v>
      </c>
      <c r="CG7" s="13" t="e">
        <f ca="1"/>
        <v>#VALUE!</v>
      </c>
      <c r="CI7" s="13">
        <f ca="1"/>
        <v>4</v>
      </c>
      <c r="CJ7" s="13" t="str">
        <f ca="1"/>
        <v>Jonathan Toole-Charignon</v>
      </c>
      <c r="CK7" s="13" t="e" vm="14">
        <f ca="1"/>
        <v>#VALUE!</v>
      </c>
      <c r="CL7" s="13" t="e">
        <f ca="1"/>
        <v>#VALUE!</v>
      </c>
      <c r="CN7" s="13">
        <f ca="1"/>
        <v>4</v>
      </c>
      <c r="CO7" s="13" t="str">
        <f ca="1"/>
        <v>Takashi Ogasawara</v>
      </c>
      <c r="CP7" s="13" t="e" vm="16">
        <f ca="1"/>
        <v>#VALUE!</v>
      </c>
      <c r="CQ7" s="13" t="e">
        <f ca="1"/>
        <v>#VALUE!</v>
      </c>
      <c r="CS7" s="13">
        <f ca="1"/>
        <v>4</v>
      </c>
      <c r="CT7" s="13" t="str">
        <f ca="1"/>
        <v>Jonathan Toole-Charignon</v>
      </c>
      <c r="CU7" s="13" t="e" vm="14">
        <f ca="1"/>
        <v>#VALUE!</v>
      </c>
      <c r="CV7" s="13" t="e">
        <f ca="1"/>
        <v>#VALUE!</v>
      </c>
    </row>
    <row r="8" spans="2:100">
      <c r="B8" s="13">
        <f ca="1"/>
        <v>5</v>
      </c>
      <c r="C8" s="13" t="str">
        <f ca="1"/>
        <v>David Moll</v>
      </c>
      <c r="D8" s="13" t="e" vm="13">
        <f ca="1"/>
        <v>#VALUE!</v>
      </c>
      <c r="E8" s="13" t="e">
        <f ca="1"/>
        <v>#VALUE!</v>
      </c>
      <c r="G8" s="13">
        <f ca="1"/>
        <v>5</v>
      </c>
      <c r="H8" s="13" t="str">
        <f ca="1"/>
        <v>Sami Cetin</v>
      </c>
      <c r="I8" s="13" t="e" vm="13">
        <f ca="1"/>
        <v>#VALUE!</v>
      </c>
      <c r="J8" s="13" t="e">
        <f ca="1"/>
        <v>#VALUE!</v>
      </c>
      <c r="L8" s="13">
        <f ca="1"/>
        <v>5</v>
      </c>
      <c r="M8" s="13" t="str">
        <f ca="1"/>
        <v>Sami Cetin</v>
      </c>
      <c r="N8" s="13" t="e" vm="13">
        <f ca="1"/>
        <v>#VALUE!</v>
      </c>
      <c r="O8" s="13" t="e">
        <f ca="1"/>
        <v>#VALUE!</v>
      </c>
      <c r="Q8" s="13">
        <f ca="1"/>
        <v>5</v>
      </c>
      <c r="R8" s="13" t="str">
        <f ca="1"/>
        <v>Takashi Ogasawara</v>
      </c>
      <c r="S8" s="13" t="e" vm="16">
        <f ca="1"/>
        <v>#VALUE!</v>
      </c>
      <c r="T8" s="13" t="e">
        <f ca="1"/>
        <v>#VALUE!</v>
      </c>
      <c r="V8" s="13">
        <f ca="1"/>
        <v>5</v>
      </c>
      <c r="W8" s="13" t="str">
        <f ca="1"/>
        <v>Mike Hulscher</v>
      </c>
      <c r="X8" s="13" t="e" vm="12">
        <f ca="1"/>
        <v>#VALUE!</v>
      </c>
      <c r="Y8" s="13" t="e">
        <f ca="1"/>
        <v>#VALUE!</v>
      </c>
      <c r="AA8" s="13">
        <f ca="1"/>
        <v>5</v>
      </c>
      <c r="AB8" s="13" t="str">
        <f ca="1"/>
        <v>Jonathan Toole-Charignon</v>
      </c>
      <c r="AC8" s="13" t="e" vm="14">
        <f ca="1"/>
        <v>#VALUE!</v>
      </c>
      <c r="AD8" s="13" t="e">
        <f ca="1"/>
        <v>#VALUE!</v>
      </c>
      <c r="AF8" s="13">
        <f ca="1"/>
        <v>5</v>
      </c>
      <c r="AG8" s="13" t="str">
        <f ca="1"/>
        <v>Takashi Ogasawara</v>
      </c>
      <c r="AH8" s="13" t="e" vm="16">
        <f ca="1"/>
        <v>#VALUE!</v>
      </c>
      <c r="AI8" s="13" t="e">
        <f ca="1"/>
        <v>#VALUE!</v>
      </c>
      <c r="AK8" s="13">
        <f ca="1"/>
        <v>5</v>
      </c>
      <c r="AL8" s="13" t="str">
        <f ca="1"/>
        <v>Takashi Ogasawara</v>
      </c>
      <c r="AM8" s="13" t="e" vm="16">
        <f ca="1"/>
        <v>#VALUE!</v>
      </c>
      <c r="AN8" s="13" t="e">
        <f ca="1"/>
        <v>#VALUE!</v>
      </c>
      <c r="AP8" s="13">
        <f ca="1"/>
        <v>5</v>
      </c>
      <c r="AQ8" s="13" t="str">
        <f ca="1"/>
        <v>Sami Cetin</v>
      </c>
      <c r="AR8" s="13" t="e" vm="13">
        <f ca="1"/>
        <v>#VALUE!</v>
      </c>
      <c r="AS8" s="13" t="e">
        <f ca="1"/>
        <v>#VALUE!</v>
      </c>
      <c r="AU8" s="13">
        <f ca="1"/>
        <v>5</v>
      </c>
      <c r="AV8" s="13" t="str">
        <f ca="1"/>
        <v>Geoffrey Label</v>
      </c>
      <c r="AW8" s="13" t="e" vm="15">
        <f ca="1"/>
        <v>#VALUE!</v>
      </c>
      <c r="AX8" s="13" t="e">
        <f ca="1"/>
        <v>#VALUE!</v>
      </c>
      <c r="AZ8" s="13">
        <f ca="1"/>
        <v>5</v>
      </c>
      <c r="BA8" s="13" t="str">
        <f ca="1"/>
        <v>Hiroki Matsumoto</v>
      </c>
      <c r="BB8" s="13" t="e" vm="16">
        <f ca="1"/>
        <v>#VALUE!</v>
      </c>
      <c r="BC8" s="13" t="e">
        <f ca="1"/>
        <v>#VALUE!</v>
      </c>
      <c r="BE8" s="13">
        <f ca="1"/>
        <v>5</v>
      </c>
      <c r="BF8" s="13" t="str">
        <f ca="1"/>
        <v>Jonathan Toole-Charignon</v>
      </c>
      <c r="BG8" s="13" t="e" vm="14">
        <f ca="1"/>
        <v>#VALUE!</v>
      </c>
      <c r="BH8" s="13" t="e">
        <f ca="1"/>
        <v>#VALUE!</v>
      </c>
      <c r="BJ8" s="13">
        <f ca="1"/>
        <v>5</v>
      </c>
      <c r="BK8" s="13" t="str">
        <f ca="1"/>
        <v>Jonathan Toole-Charignon</v>
      </c>
      <c r="BL8" s="13" t="e" vm="14">
        <f ca="1"/>
        <v>#VALUE!</v>
      </c>
      <c r="BM8" s="13" t="e">
        <f ca="1"/>
        <v>#VALUE!</v>
      </c>
      <c r="BO8" s="13">
        <f ca="1"/>
        <v>5</v>
      </c>
      <c r="BP8" s="13" t="str">
        <f ca="1"/>
        <v>Karel van Duijvenboden</v>
      </c>
      <c r="BQ8" s="13" t="e" vm="12">
        <f ca="1"/>
        <v>#VALUE!</v>
      </c>
      <c r="BR8" s="13" t="e">
        <f ca="1"/>
        <v>#VALUE!</v>
      </c>
      <c r="BT8" s="13">
        <f ca="1"/>
        <v>5</v>
      </c>
      <c r="BU8" s="13" t="str">
        <f ca="1"/>
        <v>Mike Hulscher</v>
      </c>
      <c r="BV8" s="13" t="e" vm="12">
        <f ca="1"/>
        <v>#VALUE!</v>
      </c>
      <c r="BW8" s="13" t="e">
        <f ca="1"/>
        <v>#VALUE!</v>
      </c>
      <c r="BY8" s="13">
        <f ca="1"/>
        <v>5</v>
      </c>
      <c r="BZ8" s="13" t="str">
        <f ca="1"/>
        <v>Jonathan Toole-Charignon</v>
      </c>
      <c r="CA8" s="13" t="e" vm="14">
        <f ca="1"/>
        <v>#VALUE!</v>
      </c>
      <c r="CB8" s="13" t="e">
        <f ca="1"/>
        <v>#VALUE!</v>
      </c>
      <c r="CD8" s="13">
        <f ca="1"/>
        <v>5</v>
      </c>
      <c r="CE8" s="13" t="str">
        <f ca="1"/>
        <v>Leyla Hasso</v>
      </c>
      <c r="CF8" s="13" t="e" vm="13">
        <f ca="1"/>
        <v>#VALUE!</v>
      </c>
      <c r="CG8" s="13" t="e">
        <f ca="1"/>
        <v>#VALUE!</v>
      </c>
      <c r="CI8" s="13">
        <f ca="1"/>
        <v>5</v>
      </c>
      <c r="CJ8" s="13" t="str">
        <f ca="1"/>
        <v>Takashi Ogasawara</v>
      </c>
      <c r="CK8" s="13" t="e" vm="16">
        <f ca="1"/>
        <v>#VALUE!</v>
      </c>
      <c r="CL8" s="13" t="e">
        <f ca="1"/>
        <v>#VALUE!</v>
      </c>
      <c r="CN8" s="13">
        <f ca="1"/>
        <v>5</v>
      </c>
      <c r="CO8" s="13" t="str">
        <f ca="1"/>
        <v>Sophie Jarmouni</v>
      </c>
      <c r="CP8" s="13" t="e" vm="17">
        <f ca="1"/>
        <v>#VALUE!</v>
      </c>
      <c r="CQ8" s="13" t="e">
        <f ca="1"/>
        <v>#VALUE!</v>
      </c>
      <c r="CS8" s="13">
        <f ca="1"/>
        <v>5</v>
      </c>
      <c r="CT8" s="13" t="str">
        <f ca="1"/>
        <v>Hiroki Matsumoto</v>
      </c>
      <c r="CU8" s="13" t="e" vm="16">
        <f ca="1"/>
        <v>#VALUE!</v>
      </c>
      <c r="CV8" s="13" t="e">
        <f ca="1"/>
        <v>#VALUE!</v>
      </c>
    </row>
    <row r="9" spans="2:100">
      <c r="B9" s="13">
        <f ca="1"/>
        <v>6</v>
      </c>
      <c r="C9" s="13" t="str">
        <f ca="1"/>
        <v>Takashi Ogasawara</v>
      </c>
      <c r="D9" s="13" t="e" vm="16">
        <f ca="1"/>
        <v>#VALUE!</v>
      </c>
      <c r="E9" s="13" t="e">
        <f ca="1"/>
        <v>#VALUE!</v>
      </c>
      <c r="G9" s="13">
        <f ca="1"/>
        <v>6</v>
      </c>
      <c r="H9" s="13" t="str">
        <f ca="1"/>
        <v>Sophie Jarmouni</v>
      </c>
      <c r="I9" s="13" t="e" vm="17">
        <f ca="1"/>
        <v>#VALUE!</v>
      </c>
      <c r="J9" s="13" t="e">
        <f ca="1"/>
        <v>#VALUE!</v>
      </c>
      <c r="L9" s="13">
        <f ca="1"/>
        <v>6</v>
      </c>
      <c r="M9" s="13" t="str">
        <f ca="1"/>
        <v>Jerome Coiffard</v>
      </c>
      <c r="N9" s="13" t="e" vm="15">
        <f ca="1"/>
        <v>#VALUE!</v>
      </c>
      <c r="O9" s="13" t="e">
        <f ca="1"/>
        <v>#VALUE!</v>
      </c>
      <c r="Q9" s="13">
        <f ca="1"/>
        <v>6</v>
      </c>
      <c r="R9" s="13" t="str">
        <f ca="1"/>
        <v>Sami Cetin</v>
      </c>
      <c r="S9" s="13" t="e" vm="13">
        <f ca="1"/>
        <v>#VALUE!</v>
      </c>
      <c r="T9" s="13" t="e">
        <f ca="1"/>
        <v>#VALUE!</v>
      </c>
      <c r="V9" s="13">
        <f ca="1"/>
        <v>6</v>
      </c>
      <c r="W9" s="13" t="str">
        <f ca="1"/>
        <v>Michael Sumner</v>
      </c>
      <c r="X9" s="13" t="e" vm="18">
        <f ca="1"/>
        <v>#VALUE!</v>
      </c>
      <c r="Y9" s="13" t="e">
        <f ca="1"/>
        <v>#VALUE!</v>
      </c>
      <c r="AA9" s="13">
        <f ca="1"/>
        <v>6</v>
      </c>
      <c r="AB9" s="13" t="str">
        <f ca="1"/>
        <v>Leyla Hasso</v>
      </c>
      <c r="AC9" s="13" t="e" vm="13">
        <f ca="1"/>
        <v>#VALUE!</v>
      </c>
      <c r="AD9" s="13" t="e">
        <f ca="1"/>
        <v>#VALUE!</v>
      </c>
      <c r="AF9" s="13">
        <f ca="1"/>
        <v>6</v>
      </c>
      <c r="AG9" s="13" t="str">
        <f ca="1"/>
        <v>Sophie Jarmouni</v>
      </c>
      <c r="AH9" s="13" t="e" vm="17">
        <f ca="1"/>
        <v>#VALUE!</v>
      </c>
      <c r="AI9" s="13" t="e">
        <f ca="1"/>
        <v>#VALUE!</v>
      </c>
      <c r="AK9" s="13">
        <f ca="1"/>
        <v>6</v>
      </c>
      <c r="AL9" s="13" t="str">
        <f ca="1"/>
        <v>Hiroki Matsumoto</v>
      </c>
      <c r="AM9" s="13" t="e" vm="16">
        <f ca="1"/>
        <v>#VALUE!</v>
      </c>
      <c r="AN9" s="13" t="e">
        <f ca="1"/>
        <v>#VALUE!</v>
      </c>
      <c r="AP9" s="13">
        <f ca="1"/>
        <v>6</v>
      </c>
      <c r="AQ9" s="13" t="str">
        <f ca="1"/>
        <v>Guillaume Leviach</v>
      </c>
      <c r="AR9" s="13" t="e" vm="15">
        <f ca="1"/>
        <v>#VALUE!</v>
      </c>
      <c r="AS9" s="13" t="e">
        <f ca="1"/>
        <v>#VALUE!</v>
      </c>
      <c r="AU9" s="13">
        <f ca="1"/>
        <v>6</v>
      </c>
      <c r="AV9" s="13" t="str">
        <f ca="1"/>
        <v>David Moll</v>
      </c>
      <c r="AW9" s="13" t="e" vm="13">
        <f ca="1"/>
        <v>#VALUE!</v>
      </c>
      <c r="AX9" s="13" t="e">
        <f ca="1"/>
        <v>#VALUE!</v>
      </c>
      <c r="AZ9" s="13">
        <f ca="1"/>
        <v>6</v>
      </c>
      <c r="BA9" s="13" t="str">
        <f ca="1"/>
        <v>Sophie Jarmouni</v>
      </c>
      <c r="BB9" s="13" t="e" vm="17">
        <f ca="1"/>
        <v>#VALUE!</v>
      </c>
      <c r="BC9" s="13" t="e">
        <f ca="1"/>
        <v>#VALUE!</v>
      </c>
      <c r="BE9" s="13">
        <f ca="1"/>
        <v>6</v>
      </c>
      <c r="BF9" s="13" t="str">
        <f ca="1"/>
        <v>Takashi Ogasawara</v>
      </c>
      <c r="BG9" s="13" t="e" vm="16">
        <f ca="1"/>
        <v>#VALUE!</v>
      </c>
      <c r="BH9" s="13" t="e">
        <f ca="1"/>
        <v>#VALUE!</v>
      </c>
      <c r="BJ9" s="13">
        <f ca="1"/>
        <v>6</v>
      </c>
      <c r="BK9" s="13" t="str">
        <f ca="1"/>
        <v>Sami Cetin</v>
      </c>
      <c r="BL9" s="13" t="e" vm="13">
        <f ca="1"/>
        <v>#VALUE!</v>
      </c>
      <c r="BM9" s="13" t="e">
        <f ca="1"/>
        <v>#VALUE!</v>
      </c>
      <c r="BO9" s="13">
        <f ca="1"/>
        <v>6</v>
      </c>
      <c r="BP9" s="13" t="str">
        <f ca="1"/>
        <v>Takashi Ogasawara</v>
      </c>
      <c r="BQ9" s="13" t="e" vm="16">
        <f ca="1"/>
        <v>#VALUE!</v>
      </c>
      <c r="BR9" s="13" t="e">
        <f ca="1"/>
        <v>#VALUE!</v>
      </c>
      <c r="BT9" s="13">
        <f ca="1"/>
        <v>6</v>
      </c>
      <c r="BU9" s="13" t="str">
        <f ca="1"/>
        <v>Takashi Ogasawara</v>
      </c>
      <c r="BV9" s="13" t="e" vm="16">
        <f ca="1"/>
        <v>#VALUE!</v>
      </c>
      <c r="BW9" s="13" t="e">
        <f ca="1"/>
        <v>#VALUE!</v>
      </c>
      <c r="BY9" s="13">
        <f ca="1"/>
        <v>6</v>
      </c>
      <c r="BZ9" s="13" t="str">
        <f ca="1"/>
        <v>Geoffrey Label</v>
      </c>
      <c r="CA9" s="13" t="e" vm="15">
        <f ca="1"/>
        <v>#VALUE!</v>
      </c>
      <c r="CB9" s="13" t="e">
        <f ca="1"/>
        <v>#VALUE!</v>
      </c>
      <c r="CD9" s="13">
        <f ca="1"/>
        <v>6</v>
      </c>
      <c r="CE9" s="13" t="str">
        <f ca="1"/>
        <v>Takashi Ogasawara</v>
      </c>
      <c r="CF9" s="13" t="e" vm="16">
        <f ca="1"/>
        <v>#VALUE!</v>
      </c>
      <c r="CG9" s="13" t="e">
        <f ca="1"/>
        <v>#VALUE!</v>
      </c>
      <c r="CI9" s="13">
        <f ca="1"/>
        <v>6</v>
      </c>
      <c r="CJ9" s="13" t="str">
        <f ca="1"/>
        <v>Sophie Jarmouni</v>
      </c>
      <c r="CK9" s="13" t="e" vm="17">
        <f ca="1"/>
        <v>#VALUE!</v>
      </c>
      <c r="CL9" s="13" t="e">
        <f ca="1"/>
        <v>#VALUE!</v>
      </c>
      <c r="CN9" s="13">
        <f ca="1"/>
        <v>6</v>
      </c>
      <c r="CO9" s="13" t="str">
        <f ca="1"/>
        <v>David Moll</v>
      </c>
      <c r="CP9" s="13" t="e" vm="13">
        <f ca="1"/>
        <v>#VALUE!</v>
      </c>
      <c r="CQ9" s="13" t="e">
        <f ca="1"/>
        <v>#VALUE!</v>
      </c>
      <c r="CS9" s="13">
        <f ca="1"/>
        <v>6</v>
      </c>
      <c r="CT9" s="13" t="str">
        <f ca="1"/>
        <v>Mike Hulscher</v>
      </c>
      <c r="CU9" s="13" t="e" vm="12">
        <f ca="1"/>
        <v>#VALUE!</v>
      </c>
      <c r="CV9" s="13" t="e">
        <f ca="1"/>
        <v>#VALUE!</v>
      </c>
    </row>
    <row r="10" spans="2:100">
      <c r="B10" s="13">
        <f ca="1"/>
        <v>7</v>
      </c>
      <c r="C10" s="13" t="str">
        <f ca="1"/>
        <v>Sophie Jarmouni</v>
      </c>
      <c r="D10" s="13" t="e" vm="17">
        <f ca="1"/>
        <v>#VALUE!</v>
      </c>
      <c r="E10" s="13" t="e">
        <f ca="1"/>
        <v>#VALUE!</v>
      </c>
      <c r="G10" s="13">
        <f ca="1"/>
        <v>7</v>
      </c>
      <c r="H10" s="13" t="str">
        <f ca="1"/>
        <v>Geoffrey Label</v>
      </c>
      <c r="I10" s="13" t="e" vm="15">
        <f ca="1"/>
        <v>#VALUE!</v>
      </c>
      <c r="J10" s="13" t="e">
        <f ca="1"/>
        <v>#VALUE!</v>
      </c>
      <c r="L10" s="13">
        <f ca="1"/>
        <v>7</v>
      </c>
      <c r="M10" s="13" t="str">
        <f ca="1"/>
        <v>Sophie Jarmouni</v>
      </c>
      <c r="N10" s="13" t="e" vm="17">
        <f ca="1"/>
        <v>#VALUE!</v>
      </c>
      <c r="O10" s="13" t="e">
        <f ca="1"/>
        <v>#VALUE!</v>
      </c>
      <c r="Q10" s="13">
        <f ca="1"/>
        <v>7</v>
      </c>
      <c r="R10" s="13" t="str">
        <f ca="1"/>
        <v>Leyla Hasso</v>
      </c>
      <c r="S10" s="13" t="e" vm="13">
        <f ca="1"/>
        <v>#VALUE!</v>
      </c>
      <c r="T10" s="13" t="e">
        <f ca="1"/>
        <v>#VALUE!</v>
      </c>
      <c r="V10" s="13">
        <f ca="1"/>
        <v>7</v>
      </c>
      <c r="W10" s="13" t="str">
        <f ca="1"/>
        <v>Hiroki Matsumoto</v>
      </c>
      <c r="X10" s="13" t="e" vm="16">
        <f ca="1"/>
        <v>#VALUE!</v>
      </c>
      <c r="Y10" s="13" t="e">
        <f ca="1"/>
        <v>#VALUE!</v>
      </c>
      <c r="AA10" s="13">
        <f ca="1"/>
        <v>7</v>
      </c>
      <c r="AB10" s="13" t="str">
        <f ca="1"/>
        <v>Hiroki Matsumoto</v>
      </c>
      <c r="AC10" s="13" t="e" vm="16">
        <f ca="1"/>
        <v>#VALUE!</v>
      </c>
      <c r="AD10" s="13" t="e">
        <f ca="1"/>
        <v>#VALUE!</v>
      </c>
      <c r="AF10" s="13">
        <f ca="1"/>
        <v>7</v>
      </c>
      <c r="AG10" s="13" t="str">
        <f ca="1"/>
        <v>Mike Hulscher</v>
      </c>
      <c r="AH10" s="13" t="e" vm="12">
        <f ca="1"/>
        <v>#VALUE!</v>
      </c>
      <c r="AI10" s="13" t="e">
        <f ca="1"/>
        <v>#VALUE!</v>
      </c>
      <c r="AK10" s="13">
        <f ca="1"/>
        <v>7</v>
      </c>
      <c r="AL10" s="13" t="str">
        <f ca="1"/>
        <v>David Moll</v>
      </c>
      <c r="AM10" s="13" t="e" vm="13">
        <f ca="1"/>
        <v>#VALUE!</v>
      </c>
      <c r="AN10" s="13" t="e">
        <f ca="1"/>
        <v>#VALUE!</v>
      </c>
      <c r="AP10" s="13">
        <f ca="1"/>
        <v>7</v>
      </c>
      <c r="AQ10" s="13" t="str">
        <f ca="1"/>
        <v>Geoffrey Label</v>
      </c>
      <c r="AR10" s="13" t="e" vm="15">
        <f ca="1"/>
        <v>#VALUE!</v>
      </c>
      <c r="AS10" s="13" t="e">
        <f ca="1"/>
        <v>#VALUE!</v>
      </c>
      <c r="AU10" s="13">
        <f ca="1"/>
        <v>7</v>
      </c>
      <c r="AV10" s="13" t="str">
        <f ca="1"/>
        <v>Hiroki Matsumoto</v>
      </c>
      <c r="AW10" s="13" t="e" vm="16">
        <f ca="1"/>
        <v>#VALUE!</v>
      </c>
      <c r="AX10" s="13" t="e">
        <f ca="1"/>
        <v>#VALUE!</v>
      </c>
      <c r="AZ10" s="13">
        <f ca="1"/>
        <v>7</v>
      </c>
      <c r="BA10" s="13" t="str">
        <f ca="1"/>
        <v>Takashi Ogasawara</v>
      </c>
      <c r="BB10" s="13" t="e" vm="16">
        <f ca="1"/>
        <v>#VALUE!</v>
      </c>
      <c r="BC10" s="13" t="e">
        <f ca="1"/>
        <v>#VALUE!</v>
      </c>
      <c r="BE10" s="13">
        <f ca="1"/>
        <v>7</v>
      </c>
      <c r="BF10" s="13" t="str">
        <f ca="1"/>
        <v>Hiroki Matsumoto</v>
      </c>
      <c r="BG10" s="13" t="e" vm="16">
        <f ca="1"/>
        <v>#VALUE!</v>
      </c>
      <c r="BH10" s="13" t="e">
        <f ca="1"/>
        <v>#VALUE!</v>
      </c>
      <c r="BJ10" s="13">
        <f ca="1"/>
        <v>7</v>
      </c>
      <c r="BK10" s="13" t="str">
        <f ca="1"/>
        <v>Geoffrey Label</v>
      </c>
      <c r="BL10" s="13" t="e" vm="15">
        <f ca="1"/>
        <v>#VALUE!</v>
      </c>
      <c r="BM10" s="13" t="e">
        <f ca="1"/>
        <v>#VALUE!</v>
      </c>
      <c r="BO10" s="13">
        <f ca="1"/>
        <v>7</v>
      </c>
      <c r="BP10" s="13" t="str">
        <f ca="1"/>
        <v>Guillaume Leviach</v>
      </c>
      <c r="BQ10" s="13" t="e" vm="15">
        <f ca="1"/>
        <v>#VALUE!</v>
      </c>
      <c r="BR10" s="13" t="e">
        <f ca="1"/>
        <v>#VALUE!</v>
      </c>
      <c r="BT10" s="13">
        <f ca="1"/>
        <v>7</v>
      </c>
      <c r="BU10" s="13" t="str">
        <f ca="1"/>
        <v>Sophie Jarmouni</v>
      </c>
      <c r="BV10" s="13" t="e" vm="17">
        <f ca="1"/>
        <v>#VALUE!</v>
      </c>
      <c r="BW10" s="13" t="e">
        <f ca="1"/>
        <v>#VALUE!</v>
      </c>
      <c r="BY10" s="13">
        <f ca="1"/>
        <v>7</v>
      </c>
      <c r="BZ10" s="13" t="str">
        <f ca="1"/>
        <v>Leyla Hasso</v>
      </c>
      <c r="CA10" s="13" t="e" vm="13">
        <f ca="1"/>
        <v>#VALUE!</v>
      </c>
      <c r="CB10" s="13" t="e">
        <f ca="1"/>
        <v>#VALUE!</v>
      </c>
      <c r="CD10" s="13">
        <f ca="1"/>
        <v>7</v>
      </c>
      <c r="CE10" s="13" t="str">
        <f ca="1"/>
        <v>Franck Adam</v>
      </c>
      <c r="CF10" s="13" t="e" vm="15">
        <f ca="1"/>
        <v>#VALUE!</v>
      </c>
      <c r="CG10" s="13" t="e">
        <f ca="1"/>
        <v>#VALUE!</v>
      </c>
      <c r="CI10" s="13">
        <f ca="1"/>
        <v>7</v>
      </c>
      <c r="CJ10" s="13" t="str">
        <f ca="1"/>
        <v>Hiroki Matsumoto</v>
      </c>
      <c r="CK10" s="13" t="e" vm="16">
        <f ca="1"/>
        <v>#VALUE!</v>
      </c>
      <c r="CL10" s="13" t="e">
        <f ca="1"/>
        <v>#VALUE!</v>
      </c>
      <c r="CN10" s="13">
        <f ca="1"/>
        <v>7</v>
      </c>
      <c r="CO10" s="13" t="str">
        <f ca="1"/>
        <v>Geoffrey Label</v>
      </c>
      <c r="CP10" s="13" t="e" vm="15">
        <f ca="1"/>
        <v>#VALUE!</v>
      </c>
      <c r="CQ10" s="13" t="e">
        <f ca="1"/>
        <v>#VALUE!</v>
      </c>
      <c r="CS10" s="13">
        <f ca="1"/>
        <v>7</v>
      </c>
      <c r="CT10" s="13" t="str">
        <f ca="1"/>
        <v>Leyla Hasso</v>
      </c>
      <c r="CU10" s="13" t="e" vm="13">
        <f ca="1"/>
        <v>#VALUE!</v>
      </c>
      <c r="CV10" s="13" t="e">
        <f ca="1"/>
        <v>#VALUE!</v>
      </c>
    </row>
    <row r="11" spans="2:100">
      <c r="B11" s="13">
        <f ca="1"/>
        <v>8</v>
      </c>
      <c r="C11" s="13" t="str">
        <f ca="1"/>
        <v>Karel van Duijvenboden</v>
      </c>
      <c r="D11" s="13" t="e" vm="12">
        <f ca="1"/>
        <v>#VALUE!</v>
      </c>
      <c r="E11" s="13" t="e">
        <f ca="1"/>
        <v>#VALUE!</v>
      </c>
      <c r="G11" s="13">
        <f ca="1"/>
        <v>8</v>
      </c>
      <c r="H11" s="13" t="str">
        <f ca="1"/>
        <v>Leyla Hasso</v>
      </c>
      <c r="I11" s="13" t="e" vm="13">
        <f ca="1"/>
        <v>#VALUE!</v>
      </c>
      <c r="J11" s="13" t="e">
        <f ca="1"/>
        <v>#VALUE!</v>
      </c>
      <c r="L11" s="13">
        <f ca="1"/>
        <v>8</v>
      </c>
      <c r="M11" s="13" t="str">
        <f ca="1"/>
        <v>David Moll</v>
      </c>
      <c r="N11" s="13" t="e" vm="13">
        <f ca="1"/>
        <v>#VALUE!</v>
      </c>
      <c r="O11" s="13" t="e">
        <f ca="1"/>
        <v>#VALUE!</v>
      </c>
      <c r="Q11" s="13">
        <f ca="1"/>
        <v>8</v>
      </c>
      <c r="R11" s="13" t="str">
        <f ca="1"/>
        <v>Julien Thomas</v>
      </c>
      <c r="S11" s="13" t="e" vm="15">
        <f ca="1"/>
        <v>#VALUE!</v>
      </c>
      <c r="T11" s="13" t="e">
        <f ca="1"/>
        <v>#VALUE!</v>
      </c>
      <c r="V11" s="13">
        <f ca="1"/>
        <v>8</v>
      </c>
      <c r="W11" s="13" t="str">
        <f ca="1"/>
        <v>Leyla Hasso</v>
      </c>
      <c r="X11" s="13" t="e" vm="13">
        <f ca="1"/>
        <v>#VALUE!</v>
      </c>
      <c r="Y11" s="13" t="e">
        <f ca="1"/>
        <v>#VALUE!</v>
      </c>
      <c r="AA11" s="13">
        <f ca="1"/>
        <v>8</v>
      </c>
      <c r="AB11" s="13" t="str">
        <f ca="1"/>
        <v>Karel van Duijvenboden</v>
      </c>
      <c r="AC11" s="13" t="e" vm="12">
        <f ca="1"/>
        <v>#VALUE!</v>
      </c>
      <c r="AD11" s="13" t="e">
        <f ca="1"/>
        <v>#VALUE!</v>
      </c>
      <c r="AF11" s="13">
        <f ca="1"/>
        <v>8</v>
      </c>
      <c r="AG11" s="13" t="str">
        <f ca="1"/>
        <v>Leyla Hasso</v>
      </c>
      <c r="AH11" s="13" t="e" vm="13">
        <f ca="1"/>
        <v>#VALUE!</v>
      </c>
      <c r="AI11" s="13" t="e">
        <f ca="1"/>
        <v>#VALUE!</v>
      </c>
      <c r="AK11" s="13">
        <f ca="1"/>
        <v>8</v>
      </c>
      <c r="AL11" s="13" t="str">
        <f ca="1"/>
        <v>Mike Hulscher</v>
      </c>
      <c r="AM11" s="13" t="e" vm="12">
        <f ca="1"/>
        <v>#VALUE!</v>
      </c>
      <c r="AN11" s="13" t="e">
        <f ca="1"/>
        <v>#VALUE!</v>
      </c>
      <c r="AP11" s="13">
        <f ca="1"/>
        <v>8</v>
      </c>
      <c r="AQ11" s="13" t="str">
        <f ca="1"/>
        <v>Mike Hulscher</v>
      </c>
      <c r="AR11" s="13" t="e" vm="12">
        <f ca="1"/>
        <v>#VALUE!</v>
      </c>
      <c r="AS11" s="13" t="e">
        <f ca="1"/>
        <v>#VALUE!</v>
      </c>
      <c r="AU11" s="13">
        <f ca="1"/>
        <v>8</v>
      </c>
      <c r="AV11" s="13" t="str">
        <f ca="1"/>
        <v>Sami Cetin</v>
      </c>
      <c r="AW11" s="13" t="e" vm="13">
        <f ca="1"/>
        <v>#VALUE!</v>
      </c>
      <c r="AX11" s="13" t="e">
        <f ca="1"/>
        <v>#VALUE!</v>
      </c>
      <c r="AZ11" s="13">
        <f ca="1"/>
        <v>8</v>
      </c>
      <c r="BA11" s="13" t="str">
        <f ca="1"/>
        <v>Mike Hulscher</v>
      </c>
      <c r="BB11" s="13" t="e" vm="12">
        <f ca="1"/>
        <v>#VALUE!</v>
      </c>
      <c r="BC11" s="13" t="e">
        <f ca="1"/>
        <v>#VALUE!</v>
      </c>
      <c r="BE11" s="13">
        <f ca="1"/>
        <v>8</v>
      </c>
      <c r="BF11" s="13" t="str">
        <f ca="1"/>
        <v>Leyla Hasso</v>
      </c>
      <c r="BG11" s="13" t="e" vm="13">
        <f ca="1"/>
        <v>#VALUE!</v>
      </c>
      <c r="BH11" s="13" t="e">
        <f ca="1"/>
        <v>#VALUE!</v>
      </c>
      <c r="BJ11" s="13">
        <f ca="1"/>
        <v>8</v>
      </c>
      <c r="BK11" s="13" t="str">
        <f ca="1"/>
        <v>Sophie Jarmouni</v>
      </c>
      <c r="BL11" s="13" t="e" vm="17">
        <f ca="1"/>
        <v>#VALUE!</v>
      </c>
      <c r="BM11" s="13" t="e">
        <f ca="1"/>
        <v>#VALUE!</v>
      </c>
      <c r="BO11" s="13">
        <f ca="1"/>
        <v>8</v>
      </c>
      <c r="BP11" s="13" t="str">
        <f ca="1"/>
        <v>Mike Hulscher</v>
      </c>
      <c r="BQ11" s="13" t="e" vm="12">
        <f ca="1"/>
        <v>#VALUE!</v>
      </c>
      <c r="BR11" s="13" t="e">
        <f ca="1"/>
        <v>#VALUE!</v>
      </c>
      <c r="BT11" s="13">
        <f ca="1"/>
        <v>8</v>
      </c>
      <c r="BU11" s="13" t="str">
        <f ca="1"/>
        <v>Karel van Duijvenboden</v>
      </c>
      <c r="BV11" s="13" t="e" vm="12">
        <f ca="1"/>
        <v>#VALUE!</v>
      </c>
      <c r="BW11" s="13" t="e">
        <f ca="1"/>
        <v>#VALUE!</v>
      </c>
      <c r="BY11" s="13">
        <f ca="1"/>
        <v>8</v>
      </c>
      <c r="BZ11" s="13" t="str">
        <f ca="1"/>
        <v>Sami Cetin</v>
      </c>
      <c r="CA11" s="13" t="e" vm="13">
        <f ca="1"/>
        <v>#VALUE!</v>
      </c>
      <c r="CB11" s="13" t="e">
        <f ca="1"/>
        <v>#VALUE!</v>
      </c>
      <c r="CD11" s="13">
        <f ca="1"/>
        <v>8</v>
      </c>
      <c r="CE11" s="13" t="str">
        <f ca="1"/>
        <v>Sophie Jarmouni</v>
      </c>
      <c r="CF11" s="13" t="e" vm="17">
        <f ca="1"/>
        <v>#VALUE!</v>
      </c>
      <c r="CG11" s="13" t="e">
        <f ca="1"/>
        <v>#VALUE!</v>
      </c>
      <c r="CI11" s="13">
        <f ca="1"/>
        <v>8</v>
      </c>
      <c r="CJ11" s="13" t="str">
        <f ca="1"/>
        <v>Michael Sumner</v>
      </c>
      <c r="CK11" s="13" t="e" vm="18">
        <f ca="1"/>
        <v>#VALUE!</v>
      </c>
      <c r="CL11" s="13" t="e">
        <f ca="1"/>
        <v>#VALUE!</v>
      </c>
      <c r="CN11" s="13">
        <f ca="1"/>
        <v>8</v>
      </c>
      <c r="CO11" s="13" t="str">
        <f ca="1"/>
        <v>Jerome Coiffard</v>
      </c>
      <c r="CP11" s="13" t="e" vm="15">
        <f ca="1"/>
        <v>#VALUE!</v>
      </c>
      <c r="CQ11" s="13" t="e">
        <f ca="1"/>
        <v>#VALUE!</v>
      </c>
      <c r="CS11" s="13">
        <f ca="1"/>
        <v>8</v>
      </c>
      <c r="CT11" s="13" t="str">
        <f ca="1"/>
        <v>Geoffrey Label</v>
      </c>
      <c r="CU11" s="13" t="e" vm="15">
        <f ca="1"/>
        <v>#VALUE!</v>
      </c>
      <c r="CV11" s="13" t="e">
        <f ca="1"/>
        <v>#VALUE!</v>
      </c>
    </row>
    <row r="12" spans="2:100">
      <c r="B12" s="13">
        <f ca="1"/>
        <v>9</v>
      </c>
      <c r="C12" s="13" t="str">
        <f ca="1"/>
        <v>Mike Hulscher</v>
      </c>
      <c r="D12" s="13" t="e" vm="12">
        <f ca="1"/>
        <v>#VALUE!</v>
      </c>
      <c r="E12" s="13" t="e">
        <f ca="1"/>
        <v>#VALUE!</v>
      </c>
      <c r="G12" s="13">
        <f ca="1"/>
        <v>9</v>
      </c>
      <c r="H12" s="13" t="str">
        <f ca="1"/>
        <v>Hiroki Matsumoto</v>
      </c>
      <c r="I12" s="13" t="e" vm="16">
        <f ca="1"/>
        <v>#VALUE!</v>
      </c>
      <c r="J12" s="13" t="e">
        <f ca="1"/>
        <v>#VALUE!</v>
      </c>
      <c r="L12" s="13">
        <f ca="1"/>
        <v>9</v>
      </c>
      <c r="M12" s="13" t="str">
        <f ca="1"/>
        <v>Leyla Hasso</v>
      </c>
      <c r="N12" s="13" t="e" vm="13">
        <f ca="1"/>
        <v>#VALUE!</v>
      </c>
      <c r="O12" s="13" t="e">
        <f ca="1"/>
        <v>#VALUE!</v>
      </c>
      <c r="Q12" s="13">
        <f ca="1"/>
        <v>9</v>
      </c>
      <c r="R12" s="13" t="str">
        <f ca="1"/>
        <v>Guillaume Leviach</v>
      </c>
      <c r="S12" s="13" t="e" vm="15">
        <f ca="1"/>
        <v>#VALUE!</v>
      </c>
      <c r="T12" s="13" t="e">
        <f ca="1"/>
        <v>#VALUE!</v>
      </c>
      <c r="V12" s="13">
        <f ca="1"/>
        <v>9</v>
      </c>
      <c r="W12" s="13" t="str">
        <f ca="1"/>
        <v>Sophie Jarmouni</v>
      </c>
      <c r="X12" s="13" t="e" vm="17">
        <f ca="1"/>
        <v>#VALUE!</v>
      </c>
      <c r="Y12" s="13" t="e">
        <f ca="1"/>
        <v>#VALUE!</v>
      </c>
      <c r="AA12" s="13">
        <f ca="1"/>
        <v>9</v>
      </c>
      <c r="AB12" s="13" t="str">
        <f ca="1"/>
        <v>Mike Hulscher</v>
      </c>
      <c r="AC12" s="13" t="e" vm="12">
        <f ca="1"/>
        <v>#VALUE!</v>
      </c>
      <c r="AD12" s="13" t="e">
        <f ca="1"/>
        <v>#VALUE!</v>
      </c>
      <c r="AF12" s="13">
        <f ca="1"/>
        <v>9</v>
      </c>
      <c r="AG12" s="13" t="str">
        <f ca="1"/>
        <v>Daisuke Kashima</v>
      </c>
      <c r="AH12" s="13" t="e" vm="16">
        <f ca="1"/>
        <v>#VALUE!</v>
      </c>
      <c r="AI12" s="13" t="e">
        <f ca="1"/>
        <v>#VALUE!</v>
      </c>
      <c r="AK12" s="13">
        <f ca="1"/>
        <v>9</v>
      </c>
      <c r="AL12" s="13" t="str">
        <f ca="1"/>
        <v>Sophie Jarmouni</v>
      </c>
      <c r="AM12" s="13" t="e" vm="17">
        <f ca="1"/>
        <v>#VALUE!</v>
      </c>
      <c r="AN12" s="13" t="e">
        <f ca="1"/>
        <v>#VALUE!</v>
      </c>
      <c r="AP12" s="13">
        <f ca="1"/>
        <v>9</v>
      </c>
      <c r="AQ12" s="13" t="str">
        <f ca="1"/>
        <v>Chris Clark</v>
      </c>
      <c r="AR12" s="13" t="e" vm="13">
        <f ca="1"/>
        <v>#VALUE!</v>
      </c>
      <c r="AS12" s="13" t="e">
        <f ca="1"/>
        <v>#VALUE!</v>
      </c>
      <c r="AU12" s="13">
        <f ca="1"/>
        <v>9</v>
      </c>
      <c r="AV12" s="13" t="str">
        <f ca="1"/>
        <v>Jonathan Toole-Charignon</v>
      </c>
      <c r="AW12" s="13" t="e" vm="14">
        <f ca="1"/>
        <v>#VALUE!</v>
      </c>
      <c r="AX12" s="13" t="e">
        <f ca="1"/>
        <v>#VALUE!</v>
      </c>
      <c r="AZ12" s="13">
        <f ca="1"/>
        <v>9</v>
      </c>
      <c r="BA12" s="13" t="str">
        <f ca="1"/>
        <v>Leyla Hasso</v>
      </c>
      <c r="BB12" s="13" t="e" vm="13">
        <f ca="1"/>
        <v>#VALUE!</v>
      </c>
      <c r="BC12" s="13" t="e">
        <f ca="1"/>
        <v>#VALUE!</v>
      </c>
      <c r="BE12" s="13">
        <f ca="1"/>
        <v>9</v>
      </c>
      <c r="BF12" s="13" t="str">
        <f ca="1"/>
        <v>Mike Hulscher</v>
      </c>
      <c r="BG12" s="13" t="e" vm="12">
        <f ca="1"/>
        <v>#VALUE!</v>
      </c>
      <c r="BH12" s="13" t="e">
        <f ca="1"/>
        <v>#VALUE!</v>
      </c>
      <c r="BJ12" s="13">
        <f ca="1"/>
        <v>9</v>
      </c>
      <c r="BK12" s="13" t="str">
        <f ca="1"/>
        <v>Guillaume Leviach</v>
      </c>
      <c r="BL12" s="13" t="e" vm="15">
        <f ca="1"/>
        <v>#VALUE!</v>
      </c>
      <c r="BM12" s="13" t="e">
        <f ca="1"/>
        <v>#VALUE!</v>
      </c>
      <c r="BO12" s="13">
        <f ca="1"/>
        <v>9</v>
      </c>
      <c r="BP12" s="13" t="str">
        <f ca="1"/>
        <v>Jerome Coiffard</v>
      </c>
      <c r="BQ12" s="13" t="e" vm="15">
        <f ca="1"/>
        <v>#VALUE!</v>
      </c>
      <c r="BR12" s="13" t="e">
        <f ca="1"/>
        <v>#VALUE!</v>
      </c>
      <c r="BT12" s="13">
        <f ca="1"/>
        <v>9</v>
      </c>
      <c r="BU12" s="13" t="str">
        <f ca="1"/>
        <v>Florian Chollet</v>
      </c>
      <c r="BV12" s="13" t="e" vm="15">
        <f ca="1"/>
        <v>#VALUE!</v>
      </c>
      <c r="BW12" s="13" t="e">
        <f ca="1"/>
        <v>#VALUE!</v>
      </c>
      <c r="BY12" s="13">
        <f ca="1"/>
        <v>9</v>
      </c>
      <c r="BZ12" s="13" t="str">
        <f ca="1"/>
        <v>David Moll</v>
      </c>
      <c r="CA12" s="13" t="e" vm="13">
        <f ca="1"/>
        <v>#VALUE!</v>
      </c>
      <c r="CB12" s="13" t="e">
        <f ca="1"/>
        <v>#VALUE!</v>
      </c>
      <c r="CD12" s="13">
        <f ca="1"/>
        <v>9</v>
      </c>
      <c r="CE12" s="13" t="str">
        <f ca="1"/>
        <v>David Moll</v>
      </c>
      <c r="CF12" s="13" t="e" vm="13">
        <f ca="1"/>
        <v>#VALUE!</v>
      </c>
      <c r="CG12" s="13" t="e">
        <f ca="1"/>
        <v>#VALUE!</v>
      </c>
      <c r="CI12" s="13">
        <f ca="1"/>
        <v>9</v>
      </c>
      <c r="CJ12" s="13" t="str">
        <f ca="1"/>
        <v>David Moll</v>
      </c>
      <c r="CK12" s="13" t="e" vm="13">
        <f ca="1"/>
        <v>#VALUE!</v>
      </c>
      <c r="CL12" s="13" t="e">
        <f ca="1"/>
        <v>#VALUE!</v>
      </c>
      <c r="CN12" s="13">
        <f ca="1"/>
        <v>9</v>
      </c>
      <c r="CO12" s="13" t="str">
        <f ca="1"/>
        <v>Mike Hulscher</v>
      </c>
      <c r="CP12" s="13" t="e" vm="12">
        <f ca="1"/>
        <v>#VALUE!</v>
      </c>
      <c r="CQ12" s="13" t="e">
        <f ca="1"/>
        <v>#VALUE!</v>
      </c>
      <c r="CS12" s="13">
        <f ca="1"/>
        <v>9</v>
      </c>
      <c r="CT12" s="13" t="str">
        <f ca="1"/>
        <v>Drew Blumfield</v>
      </c>
      <c r="CU12" s="13" t="e" vm="14">
        <f ca="1"/>
        <v>#VALUE!</v>
      </c>
      <c r="CV12" s="13" t="e">
        <f ca="1"/>
        <v>#VALUE!</v>
      </c>
    </row>
    <row r="13" spans="2:100">
      <c r="B13" s="13">
        <f ca="1"/>
        <v>10</v>
      </c>
      <c r="C13" s="13" t="str">
        <f ca="1"/>
        <v>Michael Sumner</v>
      </c>
      <c r="D13" s="13" t="e" vm="18">
        <f ca="1"/>
        <v>#VALUE!</v>
      </c>
      <c r="E13" s="13" t="e">
        <f ca="1"/>
        <v>#VALUE!</v>
      </c>
      <c r="G13" s="13">
        <f ca="1"/>
        <v>10</v>
      </c>
      <c r="H13" s="13" t="str">
        <f ca="1"/>
        <v>Mike Hulscher</v>
      </c>
      <c r="I13" s="13" t="e" vm="12">
        <f ca="1"/>
        <v>#VALUE!</v>
      </c>
      <c r="J13" s="13" t="e">
        <f ca="1"/>
        <v>#VALUE!</v>
      </c>
      <c r="L13" s="13">
        <f ca="1"/>
        <v>10</v>
      </c>
      <c r="M13" s="13" t="str">
        <f ca="1"/>
        <v>Geoffrey Label</v>
      </c>
      <c r="N13" s="13" t="e" vm="15">
        <f ca="1"/>
        <v>#VALUE!</v>
      </c>
      <c r="O13" s="13" t="e">
        <f ca="1"/>
        <v>#VALUE!</v>
      </c>
      <c r="Q13" s="13">
        <f ca="1"/>
        <v>10</v>
      </c>
      <c r="R13" s="13" t="str">
        <f ca="1"/>
        <v>David Moll</v>
      </c>
      <c r="S13" s="13" t="e" vm="13">
        <f ca="1"/>
        <v>#VALUE!</v>
      </c>
      <c r="T13" s="13" t="e">
        <f ca="1"/>
        <v>#VALUE!</v>
      </c>
      <c r="V13" s="13">
        <f ca="1"/>
        <v>10</v>
      </c>
      <c r="W13" s="13" t="str">
        <f ca="1"/>
        <v>Geoffrey Label</v>
      </c>
      <c r="X13" s="13" t="e" vm="15">
        <f ca="1"/>
        <v>#VALUE!</v>
      </c>
      <c r="Y13" s="13" t="e">
        <f ca="1"/>
        <v>#VALUE!</v>
      </c>
      <c r="AA13" s="13">
        <f ca="1"/>
        <v>10</v>
      </c>
      <c r="AB13" s="13" t="str">
        <f ca="1"/>
        <v>Michael Sumner</v>
      </c>
      <c r="AC13" s="13" t="e" vm="18">
        <f ca="1"/>
        <v>#VALUE!</v>
      </c>
      <c r="AD13" s="13" t="e">
        <f ca="1"/>
        <v>#VALUE!</v>
      </c>
      <c r="AF13" s="13">
        <f ca="1"/>
        <v>10</v>
      </c>
      <c r="AG13" s="13" t="str">
        <f ca="1"/>
        <v>David Moll</v>
      </c>
      <c r="AH13" s="13" t="e" vm="13">
        <f ca="1"/>
        <v>#VALUE!</v>
      </c>
      <c r="AI13" s="13" t="e">
        <f ca="1"/>
        <v>#VALUE!</v>
      </c>
      <c r="AK13" s="13">
        <f ca="1"/>
        <v>10</v>
      </c>
      <c r="AL13" s="13" t="str">
        <f ca="1"/>
        <v>Daisuke Kashima</v>
      </c>
      <c r="AM13" s="13" t="e" vm="16">
        <f ca="1"/>
        <v>#VALUE!</v>
      </c>
      <c r="AN13" s="13" t="e">
        <f ca="1"/>
        <v>#VALUE!</v>
      </c>
      <c r="AP13" s="13">
        <f ca="1"/>
        <v>10</v>
      </c>
      <c r="AQ13" s="13" t="str">
        <f ca="1"/>
        <v>Franck Adam</v>
      </c>
      <c r="AR13" s="13" t="e" vm="15">
        <f ca="1"/>
        <v>#VALUE!</v>
      </c>
      <c r="AS13" s="13" t="e">
        <f ca="1"/>
        <v>#VALUE!</v>
      </c>
      <c r="AU13" s="13">
        <f ca="1"/>
        <v>10</v>
      </c>
      <c r="AV13" s="13" t="str">
        <f ca="1"/>
        <v>Franck Adam</v>
      </c>
      <c r="AW13" s="13" t="e" vm="15">
        <f ca="1"/>
        <v>#VALUE!</v>
      </c>
      <c r="AX13" s="13" t="e">
        <f ca="1"/>
        <v>#VALUE!</v>
      </c>
      <c r="AZ13" s="13">
        <f ca="1"/>
        <v>10</v>
      </c>
      <c r="BA13" s="13" t="str">
        <f ca="1"/>
        <v>David Moll</v>
      </c>
      <c r="BB13" s="13" t="e" vm="13">
        <f ca="1"/>
        <v>#VALUE!</v>
      </c>
      <c r="BC13" s="13" t="e">
        <f ca="1"/>
        <v>#VALUE!</v>
      </c>
      <c r="BE13" s="13">
        <f ca="1"/>
        <v>10</v>
      </c>
      <c r="BF13" s="13" t="str">
        <f ca="1"/>
        <v>Sophie Jarmouni</v>
      </c>
      <c r="BG13" s="13" t="e" vm="17">
        <f ca="1"/>
        <v>#VALUE!</v>
      </c>
      <c r="BH13" s="13" t="e">
        <f ca="1"/>
        <v>#VALUE!</v>
      </c>
      <c r="BJ13" s="13">
        <f ca="1"/>
        <v>10</v>
      </c>
      <c r="BK13" s="13" t="str">
        <f ca="1"/>
        <v>David Moll</v>
      </c>
      <c r="BL13" s="13" t="e" vm="13">
        <f ca="1"/>
        <v>#VALUE!</v>
      </c>
      <c r="BM13" s="13" t="e">
        <f ca="1"/>
        <v>#VALUE!</v>
      </c>
      <c r="BO13" s="13">
        <f ca="1"/>
        <v>10</v>
      </c>
      <c r="BP13" s="13" t="str">
        <f ca="1"/>
        <v>Florian Chollet</v>
      </c>
      <c r="BQ13" s="13" t="e" vm="15">
        <f ca="1"/>
        <v>#VALUE!</v>
      </c>
      <c r="BR13" s="13" t="e">
        <f ca="1"/>
        <v>#VALUE!</v>
      </c>
      <c r="BT13" s="13">
        <f ca="1"/>
        <v>10</v>
      </c>
      <c r="BU13" s="13" t="str">
        <f ca="1"/>
        <v>Geoffrey Label</v>
      </c>
      <c r="BV13" s="13" t="e" vm="15">
        <f ca="1"/>
        <v>#VALUE!</v>
      </c>
      <c r="BW13" s="13" t="e">
        <f ca="1"/>
        <v>#VALUE!</v>
      </c>
      <c r="BY13" s="13">
        <f ca="1"/>
        <v>10</v>
      </c>
      <c r="BZ13" s="13" t="str">
        <f ca="1"/>
        <v>Sophie Jarmouni</v>
      </c>
      <c r="CA13" s="13" t="e" vm="17">
        <f ca="1"/>
        <v>#VALUE!</v>
      </c>
      <c r="CB13" s="13" t="e">
        <f ca="1"/>
        <v>#VALUE!</v>
      </c>
      <c r="CD13" s="13">
        <f ca="1"/>
        <v>10</v>
      </c>
      <c r="CE13" s="13" t="str">
        <f ca="1"/>
        <v>Mike Hulscher</v>
      </c>
      <c r="CF13" s="13" t="e" vm="12">
        <f ca="1"/>
        <v>#VALUE!</v>
      </c>
      <c r="CG13" s="13" t="e">
        <f ca="1"/>
        <v>#VALUE!</v>
      </c>
      <c r="CI13" s="13">
        <f ca="1"/>
        <v>10</v>
      </c>
      <c r="CJ13" s="13" t="str">
        <f ca="1"/>
        <v>Chris Clark</v>
      </c>
      <c r="CK13" s="13" t="e" vm="13">
        <f ca="1"/>
        <v>#VALUE!</v>
      </c>
      <c r="CL13" s="13" t="e">
        <f ca="1"/>
        <v>#VALUE!</v>
      </c>
      <c r="CN13" s="13">
        <f ca="1"/>
        <v>10</v>
      </c>
      <c r="CO13" s="13" t="str">
        <f ca="1"/>
        <v>Hiroki Matsumoto</v>
      </c>
      <c r="CP13" s="13" t="e" vm="16">
        <f ca="1"/>
        <v>#VALUE!</v>
      </c>
      <c r="CQ13" s="13" t="e">
        <f ca="1"/>
        <v>#VALUE!</v>
      </c>
      <c r="CS13" s="13">
        <f ca="1"/>
        <v>10</v>
      </c>
      <c r="CT13" s="13" t="str">
        <f ca="1"/>
        <v>Florian Chollet</v>
      </c>
      <c r="CU13" s="13" t="e" vm="15">
        <f ca="1"/>
        <v>#VALUE!</v>
      </c>
      <c r="CV13" s="13" t="e">
        <f ca="1"/>
        <v>#VALUE!</v>
      </c>
    </row>
    <row r="14" spans="2:100">
      <c r="B14" s="13">
        <f ca="1"/>
        <v>11</v>
      </c>
      <c r="C14" s="13" t="str">
        <f ca="1"/>
        <v>Leyla Hasso</v>
      </c>
      <c r="D14" s="13" t="e" vm="13">
        <f ca="1"/>
        <v>#VALUE!</v>
      </c>
      <c r="E14" s="13" t="e">
        <f ca="1"/>
        <v>#VALUE!</v>
      </c>
      <c r="G14" s="13">
        <f ca="1"/>
        <v>11</v>
      </c>
      <c r="H14" s="13" t="str">
        <f ca="1"/>
        <v>Franck Adam</v>
      </c>
      <c r="I14" s="13" t="e" vm="15">
        <f ca="1"/>
        <v>#VALUE!</v>
      </c>
      <c r="J14" s="13" t="e">
        <f ca="1"/>
        <v>#VALUE!</v>
      </c>
      <c r="L14" s="13">
        <f ca="1"/>
        <v>11</v>
      </c>
      <c r="M14" s="13" t="str">
        <f ca="1"/>
        <v>Thibault Terrasson</v>
      </c>
      <c r="N14" s="13" t="e" vm="15">
        <f ca="1"/>
        <v>#VALUE!</v>
      </c>
      <c r="O14" s="13" t="e">
        <f ca="1"/>
        <v>#VALUE!</v>
      </c>
      <c r="Q14" s="13">
        <f ca="1"/>
        <v>11</v>
      </c>
      <c r="R14" s="13" t="str">
        <f ca="1"/>
        <v>Mike Hulscher</v>
      </c>
      <c r="S14" s="13" t="e" vm="12">
        <f ca="1"/>
        <v>#VALUE!</v>
      </c>
      <c r="T14" s="13" t="e">
        <f ca="1"/>
        <v>#VALUE!</v>
      </c>
      <c r="V14" s="13">
        <f ca="1"/>
        <v>11</v>
      </c>
      <c r="W14" s="13" t="str">
        <f ca="1"/>
        <v>Florian Chollet</v>
      </c>
      <c r="X14" s="13" t="e" vm="15">
        <f ca="1"/>
        <v>#VALUE!</v>
      </c>
      <c r="Y14" s="13" t="e">
        <f ca="1"/>
        <v>#VALUE!</v>
      </c>
      <c r="AA14" s="13">
        <f ca="1"/>
        <v>11</v>
      </c>
      <c r="AB14" s="13" t="str">
        <f ca="1"/>
        <v>Sophie Jarmouni</v>
      </c>
      <c r="AC14" s="13" t="e" vm="17">
        <f ca="1"/>
        <v>#VALUE!</v>
      </c>
      <c r="AD14" s="13" t="e">
        <f ca="1"/>
        <v>#VALUE!</v>
      </c>
      <c r="AF14" s="13">
        <f ca="1"/>
        <v>11</v>
      </c>
      <c r="AG14" s="13" t="str">
        <f ca="1"/>
        <v>Florian Chollet</v>
      </c>
      <c r="AH14" s="13" t="e" vm="15">
        <f ca="1"/>
        <v>#VALUE!</v>
      </c>
      <c r="AI14" s="13" t="e">
        <f ca="1"/>
        <v>#VALUE!</v>
      </c>
      <c r="AK14" s="13">
        <f ca="1"/>
        <v>11</v>
      </c>
      <c r="AL14" s="13" t="str">
        <f ca="1"/>
        <v>Geoffrey Label</v>
      </c>
      <c r="AM14" s="13" t="e" vm="15">
        <f ca="1"/>
        <v>#VALUE!</v>
      </c>
      <c r="AN14" s="13" t="e">
        <f ca="1"/>
        <v>#VALUE!</v>
      </c>
      <c r="AP14" s="13">
        <f ca="1"/>
        <v>11</v>
      </c>
      <c r="AQ14" s="13" t="str">
        <f ca="1"/>
        <v>David Moll</v>
      </c>
      <c r="AR14" s="13" t="e" vm="13">
        <f ca="1"/>
        <v>#VALUE!</v>
      </c>
      <c r="AS14" s="13" t="e">
        <f ca="1"/>
        <v>#VALUE!</v>
      </c>
      <c r="AU14" s="13">
        <f ca="1"/>
        <v>11</v>
      </c>
      <c r="AV14" s="13" t="str">
        <f ca="1"/>
        <v>Leyla Hasso</v>
      </c>
      <c r="AW14" s="13" t="e" vm="13">
        <f ca="1"/>
        <v>#VALUE!</v>
      </c>
      <c r="AX14" s="13" t="e">
        <f ca="1"/>
        <v>#VALUE!</v>
      </c>
      <c r="AZ14" s="13">
        <f ca="1"/>
        <v>11</v>
      </c>
      <c r="BA14" s="13" t="str">
        <f ca="1"/>
        <v>Jerome Coiffard</v>
      </c>
      <c r="BB14" s="13" t="e" vm="15">
        <f ca="1"/>
        <v>#VALUE!</v>
      </c>
      <c r="BC14" s="13" t="e">
        <f ca="1"/>
        <v>#VALUE!</v>
      </c>
      <c r="BE14" s="13">
        <f ca="1"/>
        <v>11</v>
      </c>
      <c r="BF14" s="13" t="str">
        <f ca="1"/>
        <v>Geoffrey Label</v>
      </c>
      <c r="BG14" s="13" t="e" vm="15">
        <f ca="1"/>
        <v>#VALUE!</v>
      </c>
      <c r="BH14" s="13" t="e">
        <f ca="1"/>
        <v>#VALUE!</v>
      </c>
      <c r="BJ14" s="13">
        <f ca="1"/>
        <v>11</v>
      </c>
      <c r="BK14" s="13" t="str">
        <f ca="1"/>
        <v>Jerome Coiffard</v>
      </c>
      <c r="BL14" s="13" t="e" vm="15">
        <f ca="1"/>
        <v>#VALUE!</v>
      </c>
      <c r="BM14" s="13" t="e">
        <f ca="1"/>
        <v>#VALUE!</v>
      </c>
      <c r="BO14" s="13">
        <f ca="1"/>
        <v>11</v>
      </c>
      <c r="BP14" s="13" t="str">
        <f ca="1"/>
        <v>Sophie Jarmouni</v>
      </c>
      <c r="BQ14" s="13" t="e" vm="17">
        <f ca="1"/>
        <v>#VALUE!</v>
      </c>
      <c r="BR14" s="13" t="e">
        <f ca="1"/>
        <v>#VALUE!</v>
      </c>
      <c r="BT14" s="13">
        <f ca="1"/>
        <v>11</v>
      </c>
      <c r="BU14" s="13" t="str">
        <f ca="1"/>
        <v>Franck Adam</v>
      </c>
      <c r="BV14" s="13" t="e" vm="15">
        <f ca="1"/>
        <v>#VALUE!</v>
      </c>
      <c r="BW14" s="13" t="e">
        <f ca="1"/>
        <v>#VALUE!</v>
      </c>
      <c r="BY14" s="13">
        <f ca="1"/>
        <v>11</v>
      </c>
      <c r="BZ14" s="13" t="str">
        <f ca="1"/>
        <v>Mike Hulscher</v>
      </c>
      <c r="CA14" s="13" t="e" vm="12">
        <f ca="1"/>
        <v>#VALUE!</v>
      </c>
      <c r="CB14" s="13" t="e">
        <f ca="1"/>
        <v>#VALUE!</v>
      </c>
      <c r="CD14" s="13">
        <f ca="1"/>
        <v>11</v>
      </c>
      <c r="CE14" s="13" t="str">
        <f ca="1"/>
        <v>Hiroki Matsumoto</v>
      </c>
      <c r="CF14" s="13" t="e" vm="16">
        <f ca="1"/>
        <v>#VALUE!</v>
      </c>
      <c r="CG14" s="13" t="e">
        <f ca="1"/>
        <v>#VALUE!</v>
      </c>
      <c r="CI14" s="13">
        <f ca="1"/>
        <v>11</v>
      </c>
      <c r="CJ14" s="13" t="str">
        <f ca="1"/>
        <v>Daisuke Kashima</v>
      </c>
      <c r="CK14" s="13" t="e" vm="16">
        <f ca="1"/>
        <v>#VALUE!</v>
      </c>
      <c r="CL14" s="13" t="e">
        <f ca="1"/>
        <v>#VALUE!</v>
      </c>
      <c r="CN14" s="13">
        <f ca="1"/>
        <v>11</v>
      </c>
      <c r="CO14" s="13" t="str">
        <f ca="1"/>
        <v>Leyla Hasso</v>
      </c>
      <c r="CP14" s="13" t="e" vm="13">
        <f ca="1"/>
        <v>#VALUE!</v>
      </c>
      <c r="CQ14" s="13" t="e">
        <f ca="1"/>
        <v>#VALUE!</v>
      </c>
      <c r="CS14" s="13">
        <f ca="1"/>
        <v>11</v>
      </c>
      <c r="CT14" s="13" t="str">
        <f ca="1"/>
        <v>Edwin Peeters</v>
      </c>
      <c r="CU14" s="13" t="e" vm="12">
        <f ca="1"/>
        <v>#VALUE!</v>
      </c>
      <c r="CV14" s="13" t="e">
        <f ca="1"/>
        <v>#VALUE!</v>
      </c>
    </row>
    <row r="15" spans="2:100">
      <c r="B15" s="13">
        <f ca="1"/>
        <v>12</v>
      </c>
      <c r="C15" s="13" t="str">
        <f ca="1"/>
        <v>Thibault Terrasson</v>
      </c>
      <c r="D15" s="13" t="e" vm="15">
        <f ca="1"/>
        <v>#VALUE!</v>
      </c>
      <c r="E15" s="13" t="e">
        <f ca="1"/>
        <v>#VALUE!</v>
      </c>
      <c r="G15" s="13">
        <f ca="1"/>
        <v>12</v>
      </c>
      <c r="H15" s="13" t="str">
        <f ca="1"/>
        <v>Daisuke Kashima</v>
      </c>
      <c r="I15" s="13" t="e" vm="16">
        <f ca="1"/>
        <v>#VALUE!</v>
      </c>
      <c r="J15" s="13" t="e">
        <f ca="1"/>
        <v>#VALUE!</v>
      </c>
      <c r="L15" s="13">
        <f ca="1"/>
        <v>12</v>
      </c>
      <c r="M15" s="13" t="str">
        <f ca="1"/>
        <v>Florian Chollet</v>
      </c>
      <c r="N15" s="13" t="e" vm="15">
        <f ca="1"/>
        <v>#VALUE!</v>
      </c>
      <c r="O15" s="13" t="e">
        <f ca="1"/>
        <v>#VALUE!</v>
      </c>
      <c r="Q15" s="13">
        <f ca="1"/>
        <v>12</v>
      </c>
      <c r="R15" s="13" t="str">
        <f ca="1"/>
        <v>Daisuke Kashima</v>
      </c>
      <c r="S15" s="13" t="e" vm="16">
        <f ca="1"/>
        <v>#VALUE!</v>
      </c>
      <c r="T15" s="13" t="e">
        <f ca="1"/>
        <v>#VALUE!</v>
      </c>
      <c r="V15" s="13">
        <f ca="1"/>
        <v>12</v>
      </c>
      <c r="W15" s="13" t="str">
        <f ca="1"/>
        <v>Jerome Coiffard</v>
      </c>
      <c r="X15" s="13" t="e" vm="15">
        <f ca="1"/>
        <v>#VALUE!</v>
      </c>
      <c r="Y15" s="13" t="e">
        <f ca="1"/>
        <v>#VALUE!</v>
      </c>
      <c r="AA15" s="13">
        <f ca="1"/>
        <v>12</v>
      </c>
      <c r="AB15" s="13" t="str">
        <f ca="1"/>
        <v>David Moll</v>
      </c>
      <c r="AC15" s="13" t="e" vm="13">
        <f ca="1"/>
        <v>#VALUE!</v>
      </c>
      <c r="AD15" s="13" t="e">
        <f ca="1"/>
        <v>#VALUE!</v>
      </c>
      <c r="AF15" s="13">
        <f ca="1"/>
        <v>12</v>
      </c>
      <c r="AG15" s="13" t="str">
        <f ca="1"/>
        <v>Michael Sumner</v>
      </c>
      <c r="AH15" s="13" t="e" vm="18">
        <f ca="1"/>
        <v>#VALUE!</v>
      </c>
      <c r="AI15" s="13" t="e">
        <f ca="1"/>
        <v>#VALUE!</v>
      </c>
      <c r="AK15" s="13">
        <f ca="1"/>
        <v>12</v>
      </c>
      <c r="AL15" s="13" t="str">
        <f ca="1"/>
        <v>Franck Adam</v>
      </c>
      <c r="AM15" s="13" t="e" vm="15">
        <f ca="1"/>
        <v>#VALUE!</v>
      </c>
      <c r="AN15" s="13" t="e">
        <f ca="1"/>
        <v>#VALUE!</v>
      </c>
      <c r="AP15" s="13">
        <f ca="1"/>
        <v>12</v>
      </c>
      <c r="AQ15" s="13" t="str">
        <f ca="1"/>
        <v>Thibault Terrasson</v>
      </c>
      <c r="AR15" s="13" t="e" vm="15">
        <f ca="1"/>
        <v>#VALUE!</v>
      </c>
      <c r="AS15" s="13" t="e">
        <f ca="1"/>
        <v>#VALUE!</v>
      </c>
      <c r="AU15" s="13">
        <f ca="1"/>
        <v>12</v>
      </c>
      <c r="AV15" s="13" t="str">
        <f ca="1"/>
        <v>Sjors Rijsdam</v>
      </c>
      <c r="AW15" s="13" t="e" vm="12">
        <f ca="1"/>
        <v>#VALUE!</v>
      </c>
      <c r="AX15" s="13" t="e">
        <f ca="1"/>
        <v>#VALUE!</v>
      </c>
      <c r="AZ15" s="13">
        <f ca="1"/>
        <v>12</v>
      </c>
      <c r="BA15" s="13" t="str">
        <f ca="1"/>
        <v>Jeremy Edline</v>
      </c>
      <c r="BB15" s="13" t="e" vm="15">
        <f ca="1"/>
        <v>#VALUE!</v>
      </c>
      <c r="BC15" s="13" t="e">
        <f ca="1"/>
        <v>#VALUE!</v>
      </c>
      <c r="BE15" s="13">
        <f ca="1"/>
        <v>12</v>
      </c>
      <c r="BF15" s="13" t="str">
        <f ca="1"/>
        <v>David Moll</v>
      </c>
      <c r="BG15" s="13" t="e" vm="13">
        <f ca="1"/>
        <v>#VALUE!</v>
      </c>
      <c r="BH15" s="13" t="e">
        <f ca="1"/>
        <v>#VALUE!</v>
      </c>
      <c r="BJ15" s="13">
        <f ca="1"/>
        <v>12</v>
      </c>
      <c r="BK15" s="13" t="str">
        <f ca="1"/>
        <v>Mike Hulscher</v>
      </c>
      <c r="BL15" s="13" t="e" vm="12">
        <f ca="1"/>
        <v>#VALUE!</v>
      </c>
      <c r="BM15" s="13" t="e">
        <f ca="1"/>
        <v>#VALUE!</v>
      </c>
      <c r="BO15" s="13">
        <f ca="1"/>
        <v>12</v>
      </c>
      <c r="BP15" s="13" t="str">
        <f ca="1"/>
        <v>Djibril Aatif</v>
      </c>
      <c r="BQ15" s="13" t="e" vm="15">
        <f ca="1"/>
        <v>#VALUE!</v>
      </c>
      <c r="BR15" s="13" t="e">
        <f ca="1"/>
        <v>#VALUE!</v>
      </c>
      <c r="BT15" s="13">
        <f ca="1"/>
        <v>12</v>
      </c>
      <c r="BU15" s="13" t="str">
        <f ca="1"/>
        <v>Hiroki Matsumoto</v>
      </c>
      <c r="BV15" s="13" t="e" vm="16">
        <f ca="1"/>
        <v>#VALUE!</v>
      </c>
      <c r="BW15" s="13" t="e">
        <f ca="1"/>
        <v>#VALUE!</v>
      </c>
      <c r="BY15" s="13">
        <f ca="1"/>
        <v>12</v>
      </c>
      <c r="BZ15" s="13" t="str">
        <f ca="1"/>
        <v>Michael Sumner</v>
      </c>
      <c r="CA15" s="13" t="e" vm="18">
        <f ca="1"/>
        <v>#VALUE!</v>
      </c>
      <c r="CB15" s="13" t="e">
        <f ca="1"/>
        <v>#VALUE!</v>
      </c>
      <c r="CD15" s="13">
        <f ca="1"/>
        <v>12</v>
      </c>
      <c r="CE15" s="13" t="str">
        <f ca="1"/>
        <v>Guillaume Leviach</v>
      </c>
      <c r="CF15" s="13" t="e" vm="15">
        <f ca="1"/>
        <v>#VALUE!</v>
      </c>
      <c r="CG15" s="13" t="e">
        <f ca="1"/>
        <v>#VALUE!</v>
      </c>
      <c r="CI15" s="13">
        <f ca="1"/>
        <v>12</v>
      </c>
      <c r="CJ15" s="13" t="str">
        <f ca="1"/>
        <v>Leyla Hasso</v>
      </c>
      <c r="CK15" s="13" t="e" vm="13">
        <f ca="1"/>
        <v>#VALUE!</v>
      </c>
      <c r="CL15" s="13" t="e">
        <f ca="1"/>
        <v>#VALUE!</v>
      </c>
      <c r="CN15" s="13">
        <f ca="1"/>
        <v>12</v>
      </c>
      <c r="CO15" s="13" t="str">
        <f ca="1"/>
        <v>Florian Chollet</v>
      </c>
      <c r="CP15" s="13" t="e" vm="15">
        <f ca="1"/>
        <v>#VALUE!</v>
      </c>
      <c r="CQ15" s="13" t="e">
        <f ca="1"/>
        <v>#VALUE!</v>
      </c>
      <c r="CS15" s="13">
        <f ca="1"/>
        <v>12</v>
      </c>
      <c r="CT15" s="13" t="str">
        <f ca="1"/>
        <v>David Moll</v>
      </c>
      <c r="CU15" s="13" t="e" vm="13">
        <f ca="1"/>
        <v>#VALUE!</v>
      </c>
      <c r="CV15" s="13" t="e">
        <f ca="1"/>
        <v>#VALUE!</v>
      </c>
    </row>
    <row r="16" spans="2:100">
      <c r="B16" s="13">
        <f ca="1"/>
        <v>13</v>
      </c>
      <c r="C16" s="13" t="str">
        <f ca="1"/>
        <v>Julien Thomas</v>
      </c>
      <c r="D16" s="13" t="e" vm="15">
        <f ca="1"/>
        <v>#VALUE!</v>
      </c>
      <c r="E16" s="13" t="e">
        <f ca="1"/>
        <v>#VALUE!</v>
      </c>
      <c r="G16" s="13">
        <f ca="1"/>
        <v>13</v>
      </c>
      <c r="H16" s="13" t="str">
        <f ca="1"/>
        <v>Takashi Ogasawara</v>
      </c>
      <c r="I16" s="13" t="e" vm="16">
        <f ca="1"/>
        <v>#VALUE!</v>
      </c>
      <c r="J16" s="13" t="e">
        <f ca="1"/>
        <v>#VALUE!</v>
      </c>
      <c r="L16" s="13">
        <f ca="1"/>
        <v>13</v>
      </c>
      <c r="M16" s="13" t="str">
        <f ca="1"/>
        <v>Julien Thomas</v>
      </c>
      <c r="N16" s="13" t="e" vm="15">
        <f ca="1"/>
        <v>#VALUE!</v>
      </c>
      <c r="O16" s="13" t="e">
        <f ca="1"/>
        <v>#VALUE!</v>
      </c>
      <c r="Q16" s="13">
        <f ca="1"/>
        <v>13</v>
      </c>
      <c r="R16" s="13" t="str">
        <f ca="1"/>
        <v>Geoffrey Label</v>
      </c>
      <c r="S16" s="13" t="e" vm="15">
        <f ca="1"/>
        <v>#VALUE!</v>
      </c>
      <c r="T16" s="13" t="e">
        <f ca="1"/>
        <v>#VALUE!</v>
      </c>
      <c r="V16" s="13">
        <f ca="1"/>
        <v>13</v>
      </c>
      <c r="W16" s="13" t="str">
        <f ca="1"/>
        <v>Franck Adam</v>
      </c>
      <c r="X16" s="13" t="e" vm="15">
        <f ca="1"/>
        <v>#VALUE!</v>
      </c>
      <c r="Y16" s="13" t="e">
        <f ca="1"/>
        <v>#VALUE!</v>
      </c>
      <c r="AA16" s="13">
        <f ca="1"/>
        <v>13</v>
      </c>
      <c r="AB16" s="13" t="str">
        <f ca="1"/>
        <v>Daisuke Kashima</v>
      </c>
      <c r="AC16" s="13" t="e" vm="16">
        <f ca="1"/>
        <v>#VALUE!</v>
      </c>
      <c r="AD16" s="13" t="e">
        <f ca="1"/>
        <v>#VALUE!</v>
      </c>
      <c r="AF16" s="13">
        <f ca="1"/>
        <v>13</v>
      </c>
      <c r="AG16" s="13" t="str">
        <f ca="1"/>
        <v>Geoffrey Label</v>
      </c>
      <c r="AH16" s="13" t="e" vm="15">
        <f ca="1"/>
        <v>#VALUE!</v>
      </c>
      <c r="AI16" s="13" t="e">
        <f ca="1"/>
        <v>#VALUE!</v>
      </c>
      <c r="AK16" s="13">
        <f ca="1"/>
        <v>13</v>
      </c>
      <c r="AL16" s="13" t="str">
        <f ca="1"/>
        <v>Thibault Terrasson</v>
      </c>
      <c r="AM16" s="13" t="e" vm="15">
        <f ca="1"/>
        <v>#VALUE!</v>
      </c>
      <c r="AN16" s="13" t="e">
        <f ca="1"/>
        <v>#VALUE!</v>
      </c>
      <c r="AP16" s="13">
        <f ca="1"/>
        <v>13</v>
      </c>
      <c r="AQ16" s="13" t="str">
        <f ca="1"/>
        <v>Jeremy Edline</v>
      </c>
      <c r="AR16" s="13" t="e" vm="15">
        <f ca="1"/>
        <v>#VALUE!</v>
      </c>
      <c r="AS16" s="13" t="e">
        <f ca="1"/>
        <v>#VALUE!</v>
      </c>
      <c r="AU16" s="13">
        <f ca="1"/>
        <v>13</v>
      </c>
      <c r="AV16" s="13" t="str">
        <f ca="1"/>
        <v>Etienne Girondel</v>
      </c>
      <c r="AW16" s="13" t="e" vm="15">
        <f ca="1"/>
        <v>#VALUE!</v>
      </c>
      <c r="AX16" s="13" t="e">
        <f ca="1"/>
        <v>#VALUE!</v>
      </c>
      <c r="AZ16" s="13">
        <f ca="1"/>
        <v>13</v>
      </c>
      <c r="BA16" s="13" t="str">
        <f ca="1"/>
        <v>Florian Chollet</v>
      </c>
      <c r="BB16" s="13" t="e" vm="15">
        <f ca="1"/>
        <v>#VALUE!</v>
      </c>
      <c r="BC16" s="13" t="e">
        <f ca="1"/>
        <v>#VALUE!</v>
      </c>
      <c r="BE16" s="13">
        <f ca="1"/>
        <v>13</v>
      </c>
      <c r="BF16" s="13" t="str">
        <f ca="1"/>
        <v>Florian Chollet</v>
      </c>
      <c r="BG16" s="13" t="e" vm="15">
        <f ca="1"/>
        <v>#VALUE!</v>
      </c>
      <c r="BH16" s="13" t="e">
        <f ca="1"/>
        <v>#VALUE!</v>
      </c>
      <c r="BJ16" s="13">
        <f ca="1"/>
        <v>13</v>
      </c>
      <c r="BK16" s="13" t="str">
        <f ca="1"/>
        <v>Sjors Rijsdam</v>
      </c>
      <c r="BL16" s="13" t="e" vm="12">
        <f ca="1"/>
        <v>#VALUE!</v>
      </c>
      <c r="BM16" s="13" t="e">
        <f ca="1"/>
        <v>#VALUE!</v>
      </c>
      <c r="BO16" s="13">
        <f ca="1"/>
        <v>13</v>
      </c>
      <c r="BP16" s="13" t="str">
        <f ca="1"/>
        <v>Daniel Guemy</v>
      </c>
      <c r="BQ16" s="13" t="e" vm="15">
        <f ca="1"/>
        <v>#VALUE!</v>
      </c>
      <c r="BR16" s="13" t="e">
        <f ca="1"/>
        <v>#VALUE!</v>
      </c>
      <c r="BT16" s="13">
        <f ca="1"/>
        <v>13</v>
      </c>
      <c r="BU16" s="13" t="str">
        <f ca="1"/>
        <v>David Moll</v>
      </c>
      <c r="BV16" s="13" t="e" vm="13">
        <f ca="1"/>
        <v>#VALUE!</v>
      </c>
      <c r="BW16" s="13" t="e">
        <f ca="1"/>
        <v>#VALUE!</v>
      </c>
      <c r="BY16" s="13">
        <f ca="1"/>
        <v>13</v>
      </c>
      <c r="BZ16" s="13" t="str">
        <f ca="1"/>
        <v>Julien Thomas</v>
      </c>
      <c r="CA16" s="13" t="e" vm="15">
        <f ca="1"/>
        <v>#VALUE!</v>
      </c>
      <c r="CB16" s="13" t="e">
        <f ca="1"/>
        <v>#VALUE!</v>
      </c>
      <c r="CD16" s="13">
        <f ca="1"/>
        <v>13</v>
      </c>
      <c r="CE16" s="13" t="str">
        <f ca="1"/>
        <v>Thibault Terrasson</v>
      </c>
      <c r="CF16" s="13" t="e" vm="15">
        <f ca="1"/>
        <v>#VALUE!</v>
      </c>
      <c r="CG16" s="13" t="e">
        <f ca="1"/>
        <v>#VALUE!</v>
      </c>
      <c r="CI16" s="13">
        <f ca="1"/>
        <v>13</v>
      </c>
      <c r="CJ16" s="13" t="str">
        <f ca="1"/>
        <v>Geoffrey Label</v>
      </c>
      <c r="CK16" s="13" t="e" vm="15">
        <f ca="1"/>
        <v>#VALUE!</v>
      </c>
      <c r="CL16" s="13" t="e">
        <f ca="1"/>
        <v>#VALUE!</v>
      </c>
      <c r="CN16" s="13">
        <f ca="1"/>
        <v>13</v>
      </c>
      <c r="CO16" s="13" t="str">
        <f ca="1"/>
        <v>Michael Sumner</v>
      </c>
      <c r="CP16" s="13" t="e" vm="18">
        <f ca="1"/>
        <v>#VALUE!</v>
      </c>
      <c r="CQ16" s="13" t="e">
        <f ca="1"/>
        <v>#VALUE!</v>
      </c>
      <c r="CS16" s="13">
        <f ca="1"/>
        <v>13</v>
      </c>
      <c r="CT16" s="13" t="str">
        <f ca="1"/>
        <v>Julien Thomas</v>
      </c>
      <c r="CU16" s="13" t="e" vm="15">
        <f ca="1"/>
        <v>#VALUE!</v>
      </c>
      <c r="CV16" s="13" t="e">
        <f ca="1"/>
        <v>#VALUE!</v>
      </c>
    </row>
    <row r="17" spans="2:100">
      <c r="B17" s="13">
        <f ca="1"/>
        <v>14</v>
      </c>
      <c r="C17" s="13" t="str">
        <f ca="1"/>
        <v>Geoffrey Label</v>
      </c>
      <c r="D17" s="13" t="e" vm="15">
        <f ca="1"/>
        <v>#VALUE!</v>
      </c>
      <c r="E17" s="13" t="e">
        <f ca="1"/>
        <v>#VALUE!</v>
      </c>
      <c r="G17" s="13">
        <f ca="1"/>
        <v>14</v>
      </c>
      <c r="H17" s="13" t="str">
        <f ca="1"/>
        <v>Michael Sumner</v>
      </c>
      <c r="I17" s="13" t="e" vm="18">
        <f ca="1"/>
        <v>#VALUE!</v>
      </c>
      <c r="J17" s="13" t="e">
        <f ca="1"/>
        <v>#VALUE!</v>
      </c>
      <c r="L17" s="13">
        <f ca="1"/>
        <v>14</v>
      </c>
      <c r="M17" s="13" t="str">
        <f ca="1"/>
        <v>Djibril Aatif</v>
      </c>
      <c r="N17" s="13" t="e" vm="15">
        <f ca="1"/>
        <v>#VALUE!</v>
      </c>
      <c r="O17" s="13" t="e">
        <f ca="1"/>
        <v>#VALUE!</v>
      </c>
      <c r="Q17" s="13">
        <f ca="1"/>
        <v>14</v>
      </c>
      <c r="R17" s="13" t="str">
        <f ca="1"/>
        <v>Jerome Coiffard</v>
      </c>
      <c r="S17" s="13" t="e" vm="15">
        <f ca="1"/>
        <v>#VALUE!</v>
      </c>
      <c r="T17" s="13" t="e">
        <f ca="1"/>
        <v>#VALUE!</v>
      </c>
      <c r="V17" s="13">
        <f ca="1"/>
        <v>14</v>
      </c>
      <c r="W17" s="13" t="str">
        <f ca="1"/>
        <v>Julien Thomas</v>
      </c>
      <c r="X17" s="13" t="e" vm="15">
        <f ca="1"/>
        <v>#VALUE!</v>
      </c>
      <c r="Y17" s="13" t="e">
        <f ca="1"/>
        <v>#VALUE!</v>
      </c>
      <c r="AA17" s="13">
        <f ca="1"/>
        <v>14</v>
      </c>
      <c r="AB17" s="13" t="str">
        <f ca="1"/>
        <v>Drew Blumfield</v>
      </c>
      <c r="AC17" s="13" t="e" vm="14">
        <f ca="1"/>
        <v>#VALUE!</v>
      </c>
      <c r="AD17" s="13" t="e">
        <f ca="1"/>
        <v>#VALUE!</v>
      </c>
      <c r="AF17" s="13">
        <f ca="1"/>
        <v>14</v>
      </c>
      <c r="AG17" s="13" t="str">
        <f ca="1"/>
        <v>Thibault Terrasson</v>
      </c>
      <c r="AH17" s="13" t="e" vm="15">
        <f ca="1"/>
        <v>#VALUE!</v>
      </c>
      <c r="AI17" s="13" t="e">
        <f ca="1"/>
        <v>#VALUE!</v>
      </c>
      <c r="AK17" s="13">
        <f ca="1"/>
        <v>14</v>
      </c>
      <c r="AL17" s="13" t="str">
        <f ca="1"/>
        <v>Leyla Hasso</v>
      </c>
      <c r="AM17" s="13" t="e" vm="13">
        <f ca="1"/>
        <v>#VALUE!</v>
      </c>
      <c r="AN17" s="13" t="e">
        <f ca="1"/>
        <v>#VALUE!</v>
      </c>
      <c r="AP17" s="13">
        <f ca="1"/>
        <v>14</v>
      </c>
      <c r="AQ17" s="13" t="str">
        <f ca="1"/>
        <v>Jerome Coiffard</v>
      </c>
      <c r="AR17" s="13" t="e" vm="15">
        <f ca="1"/>
        <v>#VALUE!</v>
      </c>
      <c r="AS17" s="13" t="e">
        <f ca="1"/>
        <v>#VALUE!</v>
      </c>
      <c r="AU17" s="13">
        <f ca="1"/>
        <v>14</v>
      </c>
      <c r="AV17" s="13" t="str">
        <f ca="1"/>
        <v>Julien Thomas</v>
      </c>
      <c r="AW17" s="13" t="e" vm="15">
        <f ca="1"/>
        <v>#VALUE!</v>
      </c>
      <c r="AX17" s="13" t="e">
        <f ca="1"/>
        <v>#VALUE!</v>
      </c>
      <c r="AZ17" s="13">
        <f ca="1"/>
        <v>14</v>
      </c>
      <c r="BA17" s="13" t="str">
        <f ca="1"/>
        <v>Mark Duivesteijn</v>
      </c>
      <c r="BB17" s="13" t="e" vm="12">
        <f ca="1"/>
        <v>#VALUE!</v>
      </c>
      <c r="BC17" s="13" t="e">
        <f ca="1"/>
        <v>#VALUE!</v>
      </c>
      <c r="BE17" s="13">
        <f ca="1"/>
        <v>14</v>
      </c>
      <c r="BF17" s="13" t="str">
        <f ca="1"/>
        <v>Franck Adam</v>
      </c>
      <c r="BG17" s="13" t="e" vm="15">
        <f ca="1"/>
        <v>#VALUE!</v>
      </c>
      <c r="BH17" s="13" t="e">
        <f ca="1"/>
        <v>#VALUE!</v>
      </c>
      <c r="BJ17" s="13">
        <f ca="1"/>
        <v>14</v>
      </c>
      <c r="BK17" s="13" t="str">
        <f ca="1"/>
        <v>Florian Chollet</v>
      </c>
      <c r="BL17" s="13" t="e" vm="15">
        <f ca="1"/>
        <v>#VALUE!</v>
      </c>
      <c r="BM17" s="13" t="e">
        <f ca="1"/>
        <v>#VALUE!</v>
      </c>
      <c r="BO17" s="13">
        <f ca="1"/>
        <v>14</v>
      </c>
      <c r="BP17" s="13" t="str">
        <f ca="1"/>
        <v>Daisuke Kashima</v>
      </c>
      <c r="BQ17" s="13" t="e" vm="16">
        <f ca="1"/>
        <v>#VALUE!</v>
      </c>
      <c r="BR17" s="13" t="e">
        <f ca="1"/>
        <v>#VALUE!</v>
      </c>
      <c r="BT17" s="13">
        <f ca="1"/>
        <v>14</v>
      </c>
      <c r="BU17" s="13" t="str">
        <f ca="1"/>
        <v>Leyla Hasso</v>
      </c>
      <c r="BV17" s="13" t="e" vm="13">
        <f ca="1"/>
        <v>#VALUE!</v>
      </c>
      <c r="BW17" s="13" t="e">
        <f ca="1"/>
        <v>#VALUE!</v>
      </c>
      <c r="BY17" s="13">
        <f ca="1"/>
        <v>14</v>
      </c>
      <c r="BZ17" s="13" t="str">
        <f ca="1"/>
        <v>Edwin Peeters</v>
      </c>
      <c r="CA17" s="13" t="e" vm="12">
        <f ca="1"/>
        <v>#VALUE!</v>
      </c>
      <c r="CB17" s="13" t="e">
        <f ca="1"/>
        <v>#VALUE!</v>
      </c>
      <c r="CD17" s="13">
        <f ca="1"/>
        <v>14</v>
      </c>
      <c r="CE17" s="13" t="str">
        <f ca="1"/>
        <v>Geoffrey Label</v>
      </c>
      <c r="CF17" s="13" t="e" vm="15">
        <f ca="1"/>
        <v>#VALUE!</v>
      </c>
      <c r="CG17" s="13" t="e">
        <f ca="1"/>
        <v>#VALUE!</v>
      </c>
      <c r="CI17" s="13">
        <f ca="1"/>
        <v>14</v>
      </c>
      <c r="CJ17" s="13" t="str">
        <f ca="1"/>
        <v>Florian Chollet</v>
      </c>
      <c r="CK17" s="13" t="e" vm="15">
        <f ca="1"/>
        <v>#VALUE!</v>
      </c>
      <c r="CL17" s="13" t="e">
        <f ca="1"/>
        <v>#VALUE!</v>
      </c>
      <c r="CN17" s="13">
        <f ca="1"/>
        <v>14</v>
      </c>
      <c r="CO17" s="13" t="str">
        <f ca="1"/>
        <v>Jeremy Edline</v>
      </c>
      <c r="CP17" s="13" t="e" vm="15">
        <f ca="1"/>
        <v>#VALUE!</v>
      </c>
      <c r="CQ17" s="13" t="e">
        <f ca="1"/>
        <v>#VALUE!</v>
      </c>
      <c r="CS17" s="13">
        <f ca="1"/>
        <v>14</v>
      </c>
      <c r="CT17" s="13" t="str">
        <f ca="1"/>
        <v>Sjors Rijsdam</v>
      </c>
      <c r="CU17" s="13" t="e" vm="12">
        <f ca="1"/>
        <v>#VALUE!</v>
      </c>
      <c r="CV17" s="13" t="e">
        <f ca="1"/>
        <v>#VALUE!</v>
      </c>
    </row>
    <row r="18" spans="2:100">
      <c r="B18" s="13">
        <f ca="1"/>
        <v>15</v>
      </c>
      <c r="C18" s="13" t="str">
        <f ca="1"/>
        <v>Mark Duivesteijn</v>
      </c>
      <c r="D18" s="13" t="e" vm="12">
        <f ca="1"/>
        <v>#VALUE!</v>
      </c>
      <c r="E18" s="13" t="e">
        <f ca="1"/>
        <v>#VALUE!</v>
      </c>
      <c r="G18" s="13">
        <f ca="1"/>
        <v>15</v>
      </c>
      <c r="H18" s="13" t="str">
        <f ca="1"/>
        <v>David Moll</v>
      </c>
      <c r="I18" s="13" t="e" vm="13">
        <f ca="1"/>
        <v>#VALUE!</v>
      </c>
      <c r="J18" s="13" t="e">
        <f ca="1"/>
        <v>#VALUE!</v>
      </c>
      <c r="L18" s="13">
        <f ca="1"/>
        <v>15</v>
      </c>
      <c r="M18" s="13" t="str">
        <f ca="1"/>
        <v>Sjors Rijsdam</v>
      </c>
      <c r="N18" s="13" t="e" vm="12">
        <f ca="1"/>
        <v>#VALUE!</v>
      </c>
      <c r="O18" s="13" t="e">
        <f ca="1"/>
        <v>#VALUE!</v>
      </c>
      <c r="Q18" s="13">
        <f ca="1"/>
        <v>15</v>
      </c>
      <c r="R18" s="13" t="str">
        <f ca="1"/>
        <v>Thibault Terrasson</v>
      </c>
      <c r="S18" s="13" t="e" vm="15">
        <f ca="1"/>
        <v>#VALUE!</v>
      </c>
      <c r="T18" s="13" t="e">
        <f ca="1"/>
        <v>#VALUE!</v>
      </c>
      <c r="V18" s="13">
        <f ca="1"/>
        <v>15</v>
      </c>
      <c r="W18" s="13" t="str">
        <f ca="1"/>
        <v>Mark Duivesteijn</v>
      </c>
      <c r="X18" s="13" t="e" vm="12">
        <f ca="1"/>
        <v>#VALUE!</v>
      </c>
      <c r="Y18" s="13" t="e">
        <f ca="1"/>
        <v>#VALUE!</v>
      </c>
      <c r="AA18" s="13">
        <f ca="1"/>
        <v>15</v>
      </c>
      <c r="AB18" s="13" t="str">
        <f ca="1"/>
        <v>Geoffrey Label</v>
      </c>
      <c r="AC18" s="13" t="e" vm="15">
        <f ca="1"/>
        <v>#VALUE!</v>
      </c>
      <c r="AD18" s="13" t="e">
        <f ca="1"/>
        <v>#VALUE!</v>
      </c>
      <c r="AF18" s="13">
        <f ca="1"/>
        <v>15</v>
      </c>
      <c r="AG18" s="13" t="str">
        <f ca="1"/>
        <v>Mark Duivesteijn</v>
      </c>
      <c r="AH18" s="13" t="e" vm="12">
        <f ca="1"/>
        <v>#VALUE!</v>
      </c>
      <c r="AI18" s="13" t="e">
        <f ca="1"/>
        <v>#VALUE!</v>
      </c>
      <c r="AK18" s="13">
        <f ca="1"/>
        <v>15</v>
      </c>
      <c r="AL18" s="13" t="str">
        <f ca="1"/>
        <v>Chris Clark</v>
      </c>
      <c r="AM18" s="13" t="e" vm="13">
        <f ca="1"/>
        <v>#VALUE!</v>
      </c>
      <c r="AN18" s="13" t="e">
        <f ca="1"/>
        <v>#VALUE!</v>
      </c>
      <c r="AP18" s="13">
        <f ca="1"/>
        <v>15</v>
      </c>
      <c r="AQ18" s="13" t="str">
        <f ca="1"/>
        <v>Leyla Hasso</v>
      </c>
      <c r="AR18" s="13" t="e" vm="13">
        <f ca="1"/>
        <v>#VALUE!</v>
      </c>
      <c r="AS18" s="13" t="e">
        <f ca="1"/>
        <v>#VALUE!</v>
      </c>
      <c r="AU18" s="13">
        <f ca="1"/>
        <v>15</v>
      </c>
      <c r="AV18" s="13" t="str">
        <f ca="1"/>
        <v>Florian Chollet</v>
      </c>
      <c r="AW18" s="13" t="e" vm="15">
        <f ca="1"/>
        <v>#VALUE!</v>
      </c>
      <c r="AX18" s="13" t="e">
        <f ca="1"/>
        <v>#VALUE!</v>
      </c>
      <c r="AZ18" s="13">
        <f ca="1"/>
        <v>15</v>
      </c>
      <c r="BA18" s="13" t="str">
        <f ca="1"/>
        <v>Daisuke Kashima</v>
      </c>
      <c r="BB18" s="13" t="e" vm="16">
        <f ca="1"/>
        <v>#VALUE!</v>
      </c>
      <c r="BC18" s="13" t="e">
        <f ca="1"/>
        <v>#VALUE!</v>
      </c>
      <c r="BE18" s="13">
        <f ca="1"/>
        <v>15</v>
      </c>
      <c r="BF18" s="13" t="str">
        <f ca="1"/>
        <v>Michael Sumner</v>
      </c>
      <c r="BG18" s="13" t="e" vm="18">
        <f ca="1"/>
        <v>#VALUE!</v>
      </c>
      <c r="BH18" s="13" t="e">
        <f ca="1"/>
        <v>#VALUE!</v>
      </c>
      <c r="BJ18" s="13">
        <f ca="1"/>
        <v>15</v>
      </c>
      <c r="BK18" s="13" t="str">
        <f ca="1"/>
        <v>Thibault Terrasson</v>
      </c>
      <c r="BL18" s="13" t="e" vm="15">
        <f ca="1"/>
        <v>#VALUE!</v>
      </c>
      <c r="BM18" s="13" t="e">
        <f ca="1"/>
        <v>#VALUE!</v>
      </c>
      <c r="BO18" s="13">
        <f ca="1"/>
        <v>15</v>
      </c>
      <c r="BP18" s="13" t="str">
        <f ca="1"/>
        <v>Julien Thomas</v>
      </c>
      <c r="BQ18" s="13" t="e" vm="15">
        <f ca="1"/>
        <v>#VALUE!</v>
      </c>
      <c r="BR18" s="13" t="e">
        <f ca="1"/>
        <v>#VALUE!</v>
      </c>
      <c r="BT18" s="13">
        <f ca="1"/>
        <v>15</v>
      </c>
      <c r="BU18" s="13" t="str">
        <f ca="1"/>
        <v>Daisuke Kashima</v>
      </c>
      <c r="BV18" s="13" t="e" vm="16">
        <f ca="1"/>
        <v>#VALUE!</v>
      </c>
      <c r="BW18" s="13" t="e">
        <f ca="1"/>
        <v>#VALUE!</v>
      </c>
      <c r="BY18" s="13">
        <f ca="1"/>
        <v>15</v>
      </c>
      <c r="BZ18" s="13" t="str">
        <f ca="1"/>
        <v>Drew Blumfield</v>
      </c>
      <c r="CA18" s="13" t="e" vm="14">
        <f ca="1"/>
        <v>#VALUE!</v>
      </c>
      <c r="CB18" s="13" t="e">
        <f ca="1"/>
        <v>#VALUE!</v>
      </c>
      <c r="CD18" s="13">
        <f ca="1"/>
        <v>15</v>
      </c>
      <c r="CE18" s="13" t="str">
        <f ca="1"/>
        <v>Daisuke Kashima</v>
      </c>
      <c r="CF18" s="13" t="e" vm="16">
        <f ca="1"/>
        <v>#VALUE!</v>
      </c>
      <c r="CG18" s="13" t="e">
        <f ca="1"/>
        <v>#VALUE!</v>
      </c>
      <c r="CI18" s="13">
        <f ca="1"/>
        <v>15</v>
      </c>
      <c r="CJ18" s="13" t="str">
        <f ca="1"/>
        <v>Franck Adam</v>
      </c>
      <c r="CK18" s="13" t="e" vm="15">
        <f ca="1"/>
        <v>#VALUE!</v>
      </c>
      <c r="CL18" s="13" t="e">
        <f ca="1"/>
        <v>#VALUE!</v>
      </c>
      <c r="CN18" s="13">
        <f ca="1"/>
        <v>15</v>
      </c>
      <c r="CO18" s="13" t="str">
        <f ca="1"/>
        <v>Guillaume Leviach</v>
      </c>
      <c r="CP18" s="13" t="e" vm="15">
        <f ca="1"/>
        <v>#VALUE!</v>
      </c>
      <c r="CQ18" s="13" t="e">
        <f ca="1"/>
        <v>#VALUE!</v>
      </c>
      <c r="CS18" s="13">
        <f ca="1"/>
        <v>15</v>
      </c>
      <c r="CT18" s="13" t="str">
        <f ca="1"/>
        <v>Martin Pfeiffer</v>
      </c>
      <c r="CU18" s="13" t="e" vm="15">
        <f ca="1"/>
        <v>#VALUE!</v>
      </c>
      <c r="CV18" s="13" t="e">
        <f ca="1"/>
        <v>#VALUE!</v>
      </c>
    </row>
    <row r="19" spans="2:100">
      <c r="B19" s="13">
        <f ca="1"/>
        <v>16</v>
      </c>
      <c r="C19" s="13" t="str">
        <f ca="1"/>
        <v>Franck Adam</v>
      </c>
      <c r="D19" s="13" t="e" vm="15">
        <f ca="1"/>
        <v>#VALUE!</v>
      </c>
      <c r="E19" s="13" t="e">
        <f ca="1"/>
        <v>#VALUE!</v>
      </c>
      <c r="G19" s="13">
        <f ca="1"/>
        <v>16</v>
      </c>
      <c r="H19" s="13" t="str">
        <f ca="1"/>
        <v>Thibault Terrasson</v>
      </c>
      <c r="I19" s="13" t="e" vm="15">
        <f ca="1"/>
        <v>#VALUE!</v>
      </c>
      <c r="J19" s="13" t="e">
        <f ca="1"/>
        <v>#VALUE!</v>
      </c>
      <c r="L19" s="13">
        <f ca="1"/>
        <v>16</v>
      </c>
      <c r="M19" s="13" t="str">
        <f ca="1"/>
        <v>Edwin Peeters</v>
      </c>
      <c r="N19" s="13" t="e" vm="12">
        <f ca="1"/>
        <v>#VALUE!</v>
      </c>
      <c r="O19" s="13" t="e">
        <f ca="1"/>
        <v>#VALUE!</v>
      </c>
      <c r="Q19" s="13">
        <f ca="1"/>
        <v>16</v>
      </c>
      <c r="R19" s="13" t="str">
        <f ca="1"/>
        <v>Jeremy Edline</v>
      </c>
      <c r="S19" s="13" t="e" vm="15">
        <f ca="1"/>
        <v>#VALUE!</v>
      </c>
      <c r="T19" s="13" t="e">
        <f ca="1"/>
        <v>#VALUE!</v>
      </c>
      <c r="V19" s="13">
        <f ca="1"/>
        <v>16</v>
      </c>
      <c r="W19" s="13" t="str">
        <f ca="1"/>
        <v>Sjors Rijsdam</v>
      </c>
      <c r="X19" s="13" t="e" vm="12">
        <f ca="1"/>
        <v>#VALUE!</v>
      </c>
      <c r="Y19" s="13" t="e">
        <f ca="1"/>
        <v>#VALUE!</v>
      </c>
      <c r="AA19" s="13">
        <f ca="1"/>
        <v>16</v>
      </c>
      <c r="AB19" s="13" t="str">
        <f ca="1"/>
        <v>Chris Clark</v>
      </c>
      <c r="AC19" s="13" t="e" vm="13">
        <f ca="1"/>
        <v>#VALUE!</v>
      </c>
      <c r="AD19" s="13" t="e">
        <f ca="1"/>
        <v>#VALUE!</v>
      </c>
      <c r="AF19" s="13">
        <f ca="1"/>
        <v>16</v>
      </c>
      <c r="AG19" s="13" t="str">
        <f ca="1"/>
        <v>Chris Clark</v>
      </c>
      <c r="AH19" s="13" t="e" vm="13">
        <f ca="1"/>
        <v>#VALUE!</v>
      </c>
      <c r="AI19" s="13" t="e">
        <f ca="1"/>
        <v>#VALUE!</v>
      </c>
      <c r="AK19" s="13">
        <f ca="1"/>
        <v>16</v>
      </c>
      <c r="AL19" s="13" t="str">
        <f ca="1"/>
        <v>Jonathan Toole-Charignon</v>
      </c>
      <c r="AM19" s="13" t="e" vm="14">
        <f ca="1"/>
        <v>#VALUE!</v>
      </c>
      <c r="AN19" s="13" t="e">
        <f ca="1"/>
        <v>#VALUE!</v>
      </c>
      <c r="AP19" s="13">
        <f ca="1"/>
        <v>16</v>
      </c>
      <c r="AQ19" s="13" t="str">
        <f ca="1"/>
        <v>Florian Chollet</v>
      </c>
      <c r="AR19" s="13" t="e" vm="15">
        <f ca="1"/>
        <v>#VALUE!</v>
      </c>
      <c r="AS19" s="13" t="e">
        <f ca="1"/>
        <v>#VALUE!</v>
      </c>
      <c r="AU19" s="13">
        <f ca="1"/>
        <v>16</v>
      </c>
      <c r="AV19" s="13" t="str">
        <f ca="1"/>
        <v>Samuel Gomez</v>
      </c>
      <c r="AW19" s="13" t="e" vm="19">
        <f ca="1"/>
        <v>#VALUE!</v>
      </c>
      <c r="AX19" s="13" t="e">
        <f ca="1"/>
        <v>#VALUE!</v>
      </c>
      <c r="AZ19" s="13">
        <f ca="1"/>
        <v>16</v>
      </c>
      <c r="BA19" s="13" t="str">
        <f ca="1"/>
        <v>Drew Blumfield</v>
      </c>
      <c r="BB19" s="13" t="e" vm="14">
        <f ca="1"/>
        <v>#VALUE!</v>
      </c>
      <c r="BC19" s="13" t="e">
        <f ca="1"/>
        <v>#VALUE!</v>
      </c>
      <c r="BE19" s="13">
        <f ca="1"/>
        <v>16</v>
      </c>
      <c r="BF19" s="13" t="str">
        <f ca="1"/>
        <v>Daisuke Kashima</v>
      </c>
      <c r="BG19" s="13" t="e" vm="16">
        <f ca="1"/>
        <v>#VALUE!</v>
      </c>
      <c r="BH19" s="13" t="e">
        <f ca="1"/>
        <v>#VALUE!</v>
      </c>
      <c r="BJ19" s="13">
        <f ca="1"/>
        <v>16</v>
      </c>
      <c r="BK19" s="13" t="str">
        <f ca="1"/>
        <v>Mark Duivesteijn</v>
      </c>
      <c r="BL19" s="13" t="e" vm="12">
        <f ca="1"/>
        <v>#VALUE!</v>
      </c>
      <c r="BM19" s="13" t="e">
        <f ca="1"/>
        <v>#VALUE!</v>
      </c>
      <c r="BO19" s="13">
        <f ca="1"/>
        <v>16</v>
      </c>
      <c r="BP19" s="13" t="str">
        <f ca="1"/>
        <v>Samuel Gomez</v>
      </c>
      <c r="BQ19" s="13" t="e" vm="19">
        <f ca="1"/>
        <v>#VALUE!</v>
      </c>
      <c r="BR19" s="13" t="e">
        <f ca="1"/>
        <v>#VALUE!</v>
      </c>
      <c r="BT19" s="13">
        <f ca="1"/>
        <v>16</v>
      </c>
      <c r="BU19" s="13" t="str">
        <f ca="1"/>
        <v>Thibault Terrasson</v>
      </c>
      <c r="BV19" s="13" t="e" vm="15">
        <f ca="1"/>
        <v>#VALUE!</v>
      </c>
      <c r="BW19" s="13" t="e">
        <f ca="1"/>
        <v>#VALUE!</v>
      </c>
      <c r="BY19" s="13">
        <f ca="1"/>
        <v>16</v>
      </c>
      <c r="BZ19" s="13" t="str">
        <f ca="1"/>
        <v>Florian Chollet</v>
      </c>
      <c r="CA19" s="13" t="e" vm="15">
        <f ca="1"/>
        <v>#VALUE!</v>
      </c>
      <c r="CB19" s="13" t="e">
        <f ca="1"/>
        <v>#VALUE!</v>
      </c>
      <c r="CD19" s="13">
        <f ca="1"/>
        <v>16</v>
      </c>
      <c r="CE19" s="13" t="str">
        <f ca="1"/>
        <v>Michael Sumner</v>
      </c>
      <c r="CF19" s="13" t="e" vm="18">
        <f ca="1"/>
        <v>#VALUE!</v>
      </c>
      <c r="CG19" s="13" t="e">
        <f ca="1"/>
        <v>#VALUE!</v>
      </c>
      <c r="CI19" s="13">
        <f ca="1"/>
        <v>16</v>
      </c>
      <c r="CJ19" s="13" t="str">
        <f ca="1"/>
        <v>Julien Thomas</v>
      </c>
      <c r="CK19" s="13" t="e" vm="15">
        <f ca="1"/>
        <v>#VALUE!</v>
      </c>
      <c r="CL19" s="13" t="e">
        <f ca="1"/>
        <v>#VALUE!</v>
      </c>
      <c r="CN19" s="13">
        <f ca="1"/>
        <v>16</v>
      </c>
      <c r="CO19" s="13" t="str">
        <f ca="1"/>
        <v>Chris Clark</v>
      </c>
      <c r="CP19" s="13" t="e" vm="13">
        <f ca="1"/>
        <v>#VALUE!</v>
      </c>
      <c r="CQ19" s="13" t="e">
        <f ca="1"/>
        <v>#VALUE!</v>
      </c>
      <c r="CS19" s="13">
        <f ca="1"/>
        <v>16</v>
      </c>
      <c r="CT19" s="13" t="str">
        <f ca="1"/>
        <v>Jeremy Edline</v>
      </c>
      <c r="CU19" s="13" t="e" vm="15">
        <f ca="1"/>
        <v>#VALUE!</v>
      </c>
      <c r="CV19" s="13" t="e">
        <f ca="1"/>
        <v>#VALUE!</v>
      </c>
    </row>
    <row r="20" spans="2:100">
      <c r="B20" s="13">
        <f ca="1"/>
        <v>17</v>
      </c>
      <c r="C20" s="13" t="str">
        <f ca="1"/>
        <v>Patrick Wessels</v>
      </c>
      <c r="D20" s="13" t="e" vm="12">
        <f ca="1"/>
        <v>#VALUE!</v>
      </c>
      <c r="E20" s="13" t="e">
        <f ca="1"/>
        <v>#VALUE!</v>
      </c>
      <c r="G20" s="13">
        <f ca="1"/>
        <v>17</v>
      </c>
      <c r="H20" s="13" t="str">
        <f ca="1"/>
        <v>Chris Clark</v>
      </c>
      <c r="I20" s="13" t="e" vm="13">
        <f ca="1"/>
        <v>#VALUE!</v>
      </c>
      <c r="J20" s="13" t="e">
        <f ca="1"/>
        <v>#VALUE!</v>
      </c>
      <c r="L20" s="13">
        <f ca="1"/>
        <v>17</v>
      </c>
      <c r="M20" s="13" t="str">
        <f ca="1"/>
        <v>Daisuke Kashima</v>
      </c>
      <c r="N20" s="13" t="e" vm="16">
        <f ca="1"/>
        <v>#VALUE!</v>
      </c>
      <c r="O20" s="13" t="e">
        <f ca="1"/>
        <v>#VALUE!</v>
      </c>
      <c r="Q20" s="13">
        <f ca="1"/>
        <v>17</v>
      </c>
      <c r="R20" s="13" t="str">
        <f ca="1"/>
        <v>Michael Sumner</v>
      </c>
      <c r="S20" s="13" t="e" vm="18">
        <f ca="1"/>
        <v>#VALUE!</v>
      </c>
      <c r="T20" s="13" t="e">
        <f ca="1"/>
        <v>#VALUE!</v>
      </c>
      <c r="V20" s="13">
        <f ca="1"/>
        <v>17</v>
      </c>
      <c r="W20" s="13" t="str">
        <f ca="1"/>
        <v>David Moll</v>
      </c>
      <c r="X20" s="13" t="e" vm="13">
        <f ca="1"/>
        <v>#VALUE!</v>
      </c>
      <c r="Y20" s="13" t="e">
        <f ca="1"/>
        <v>#VALUE!</v>
      </c>
      <c r="AA20" s="13">
        <f ca="1"/>
        <v>17</v>
      </c>
      <c r="AB20" s="13" t="str">
        <f ca="1"/>
        <v>Julien Thomas</v>
      </c>
      <c r="AC20" s="13" t="e" vm="15">
        <f ca="1"/>
        <v>#VALUE!</v>
      </c>
      <c r="AD20" s="13" t="e">
        <f ca="1"/>
        <v>#VALUE!</v>
      </c>
      <c r="AF20" s="13">
        <f ca="1"/>
        <v>17</v>
      </c>
      <c r="AG20" s="13" t="str">
        <f ca="1"/>
        <v>Julien Thomas</v>
      </c>
      <c r="AH20" s="13" t="e" vm="15">
        <f ca="1"/>
        <v>#VALUE!</v>
      </c>
      <c r="AI20" s="13" t="e">
        <f ca="1"/>
        <v>#VALUE!</v>
      </c>
      <c r="AK20" s="13">
        <f ca="1"/>
        <v>17</v>
      </c>
      <c r="AL20" s="13" t="str">
        <f ca="1"/>
        <v>Sjors Rijsdam</v>
      </c>
      <c r="AM20" s="13" t="e" vm="12">
        <f ca="1"/>
        <v>#VALUE!</v>
      </c>
      <c r="AN20" s="13" t="e">
        <f ca="1"/>
        <v>#VALUE!</v>
      </c>
      <c r="AP20" s="13">
        <f ca="1"/>
        <v>17</v>
      </c>
      <c r="AQ20" s="13" t="str">
        <f ca="1"/>
        <v>Edwin Peeters</v>
      </c>
      <c r="AR20" s="13" t="e" vm="12">
        <f ca="1"/>
        <v>#VALUE!</v>
      </c>
      <c r="AS20" s="13" t="e">
        <f ca="1"/>
        <v>#VALUE!</v>
      </c>
      <c r="AU20" s="13">
        <f ca="1"/>
        <v>17</v>
      </c>
      <c r="AV20" s="13" t="str">
        <f ca="1"/>
        <v>Mike Hulscher</v>
      </c>
      <c r="AW20" s="13" t="e" vm="12">
        <f ca="1"/>
        <v>#VALUE!</v>
      </c>
      <c r="AX20" s="13" t="e">
        <f ca="1"/>
        <v>#VALUE!</v>
      </c>
      <c r="AZ20" s="13">
        <f ca="1"/>
        <v>17</v>
      </c>
      <c r="BA20" s="13" t="str">
        <f ca="1"/>
        <v>Samuel Gomez</v>
      </c>
      <c r="BB20" s="13" t="e" vm="19">
        <f ca="1"/>
        <v>#VALUE!</v>
      </c>
      <c r="BC20" s="13" t="e">
        <f ca="1"/>
        <v>#VALUE!</v>
      </c>
      <c r="BE20" s="13">
        <f ca="1"/>
        <v>17</v>
      </c>
      <c r="BF20" s="13" t="str">
        <f ca="1"/>
        <v>Drew Blumfield</v>
      </c>
      <c r="BG20" s="13" t="e" vm="14">
        <f ca="1"/>
        <v>#VALUE!</v>
      </c>
      <c r="BH20" s="13" t="e">
        <f ca="1"/>
        <v>#VALUE!</v>
      </c>
      <c r="BJ20" s="13">
        <f ca="1"/>
        <v>17</v>
      </c>
      <c r="BK20" s="13" t="str">
        <f ca="1"/>
        <v>Jeremy Edline</v>
      </c>
      <c r="BL20" s="13" t="e" vm="15">
        <f ca="1"/>
        <v>#VALUE!</v>
      </c>
      <c r="BM20" s="13" t="e">
        <f ca="1"/>
        <v>#VALUE!</v>
      </c>
      <c r="BO20" s="13">
        <f ca="1"/>
        <v>17</v>
      </c>
      <c r="BP20" s="13" t="str">
        <f ca="1"/>
        <v>Michael Sumner</v>
      </c>
      <c r="BQ20" s="13" t="e" vm="18">
        <f ca="1"/>
        <v>#VALUE!</v>
      </c>
      <c r="BR20" s="13" t="e">
        <f ca="1"/>
        <v>#VALUE!</v>
      </c>
      <c r="BT20" s="13">
        <f ca="1"/>
        <v>17</v>
      </c>
      <c r="BU20" s="13" t="str">
        <f ca="1"/>
        <v>Drew Blumfield</v>
      </c>
      <c r="BV20" s="13" t="e" vm="14">
        <f ca="1"/>
        <v>#VALUE!</v>
      </c>
      <c r="BW20" s="13" t="e">
        <f ca="1"/>
        <v>#VALUE!</v>
      </c>
      <c r="BY20" s="13">
        <f ca="1"/>
        <v>17</v>
      </c>
      <c r="BZ20" s="13" t="str">
        <f ca="1"/>
        <v>Daisuke Kashima</v>
      </c>
      <c r="CA20" s="13" t="e" vm="16">
        <f ca="1"/>
        <v>#VALUE!</v>
      </c>
      <c r="CB20" s="13" t="e">
        <f ca="1"/>
        <v>#VALUE!</v>
      </c>
      <c r="CD20" s="13">
        <f ca="1"/>
        <v>17</v>
      </c>
      <c r="CE20" s="13" t="str">
        <f ca="1"/>
        <v>Chris Clark</v>
      </c>
      <c r="CF20" s="13" t="e" vm="13">
        <f ca="1"/>
        <v>#VALUE!</v>
      </c>
      <c r="CG20" s="13" t="e">
        <f ca="1"/>
        <v>#VALUE!</v>
      </c>
      <c r="CI20" s="13">
        <f ca="1"/>
        <v>17</v>
      </c>
      <c r="CJ20" s="13" t="str">
        <f ca="1"/>
        <v>Samuel Gomez</v>
      </c>
      <c r="CK20" s="13" t="e" vm="19">
        <f ca="1"/>
        <v>#VALUE!</v>
      </c>
      <c r="CL20" s="13" t="e">
        <f ca="1"/>
        <v>#VALUE!</v>
      </c>
      <c r="CN20" s="13">
        <f ca="1"/>
        <v>17</v>
      </c>
      <c r="CO20" s="13" t="str">
        <f ca="1"/>
        <v>Etienne Girondel</v>
      </c>
      <c r="CP20" s="13" t="e" vm="15">
        <f ca="1"/>
        <v>#VALUE!</v>
      </c>
      <c r="CQ20" s="13" t="e">
        <f ca="1"/>
        <v>#VALUE!</v>
      </c>
      <c r="CS20" s="13">
        <f ca="1"/>
        <v>17</v>
      </c>
      <c r="CT20" s="13" t="str">
        <f ca="1"/>
        <v>Chris Clark</v>
      </c>
      <c r="CU20" s="13" t="e" vm="13">
        <f ca="1"/>
        <v>#VALUE!</v>
      </c>
      <c r="CV20" s="13" t="e">
        <f ca="1"/>
        <v>#VALUE!</v>
      </c>
    </row>
    <row r="21" spans="2:100">
      <c r="B21" s="13">
        <f ca="1"/>
        <v>18</v>
      </c>
      <c r="C21" s="13" t="str">
        <f ca="1"/>
        <v>Djibril Aatif</v>
      </c>
      <c r="D21" s="13" t="e" vm="15">
        <f ca="1"/>
        <v>#VALUE!</v>
      </c>
      <c r="E21" s="13" t="e">
        <f ca="1"/>
        <v>#VALUE!</v>
      </c>
      <c r="G21" s="13">
        <f ca="1"/>
        <v>18</v>
      </c>
      <c r="H21" s="13" t="str">
        <f ca="1"/>
        <v>Florian Chollet</v>
      </c>
      <c r="I21" s="13" t="e" vm="15">
        <f ca="1"/>
        <v>#VALUE!</v>
      </c>
      <c r="J21" s="13" t="e">
        <f ca="1"/>
        <v>#VALUE!</v>
      </c>
      <c r="L21" s="13">
        <f ca="1"/>
        <v>18</v>
      </c>
      <c r="M21" s="13" t="str">
        <f ca="1"/>
        <v>Patrick Wessels</v>
      </c>
      <c r="N21" s="13" t="e" vm="12">
        <f ca="1"/>
        <v>#VALUE!</v>
      </c>
      <c r="O21" s="13" t="e">
        <f ca="1"/>
        <v>#VALUE!</v>
      </c>
      <c r="Q21" s="13">
        <f ca="1"/>
        <v>18</v>
      </c>
      <c r="R21" s="13" t="str">
        <f ca="1"/>
        <v>Djibril Aatif</v>
      </c>
      <c r="S21" s="13" t="e" vm="15">
        <f ca="1"/>
        <v>#VALUE!</v>
      </c>
      <c r="T21" s="13" t="e">
        <f ca="1"/>
        <v>#VALUE!</v>
      </c>
      <c r="V21" s="13">
        <f ca="1"/>
        <v>18</v>
      </c>
      <c r="W21" s="13" t="str">
        <f ca="1"/>
        <v>Etienne Girondel</v>
      </c>
      <c r="X21" s="13" t="e" vm="15">
        <f ca="1"/>
        <v>#VALUE!</v>
      </c>
      <c r="Y21" s="13" t="e">
        <f ca="1"/>
        <v>#VALUE!</v>
      </c>
      <c r="AA21" s="13">
        <f ca="1"/>
        <v>18</v>
      </c>
      <c r="AB21" s="13" t="str">
        <f ca="1"/>
        <v>Sjors Rijsdam</v>
      </c>
      <c r="AC21" s="13" t="e" vm="12">
        <f ca="1"/>
        <v>#VALUE!</v>
      </c>
      <c r="AD21" s="13" t="e">
        <f ca="1"/>
        <v>#VALUE!</v>
      </c>
      <c r="AF21" s="13">
        <f ca="1"/>
        <v>18</v>
      </c>
      <c r="AG21" s="13" t="str">
        <f ca="1"/>
        <v>Martin Pfeiffer</v>
      </c>
      <c r="AH21" s="13" t="e" vm="15">
        <f ca="1"/>
        <v>#VALUE!</v>
      </c>
      <c r="AI21" s="13" t="e">
        <f ca="1"/>
        <v>#VALUE!</v>
      </c>
      <c r="AK21" s="13">
        <f ca="1"/>
        <v>18</v>
      </c>
      <c r="AL21" s="13" t="str">
        <f ca="1"/>
        <v>Djibril Aatif</v>
      </c>
      <c r="AM21" s="13" t="e" vm="15">
        <f ca="1"/>
        <v>#VALUE!</v>
      </c>
      <c r="AN21" s="13" t="e">
        <f ca="1"/>
        <v>#VALUE!</v>
      </c>
      <c r="AP21" s="13">
        <f ca="1"/>
        <v>18</v>
      </c>
      <c r="AQ21" s="13" t="str">
        <f ca="1"/>
        <v>Etienne Girondel</v>
      </c>
      <c r="AR21" s="13" t="e" vm="15">
        <f ca="1"/>
        <v>#VALUE!</v>
      </c>
      <c r="AS21" s="13" t="e">
        <f ca="1"/>
        <v>#VALUE!</v>
      </c>
      <c r="AU21" s="13">
        <f ca="1"/>
        <v>18</v>
      </c>
      <c r="AV21" s="13" t="str">
        <f ca="1"/>
        <v>Patrick Wessels</v>
      </c>
      <c r="AW21" s="13" t="e" vm="12">
        <f ca="1"/>
        <v>#VALUE!</v>
      </c>
      <c r="AX21" s="13" t="e">
        <f ca="1"/>
        <v>#VALUE!</v>
      </c>
      <c r="AZ21" s="13">
        <f ca="1"/>
        <v>18</v>
      </c>
      <c r="BA21" s="13" t="str">
        <f ca="1"/>
        <v>Sjors Rijsdam</v>
      </c>
      <c r="BB21" s="13" t="e" vm="12">
        <f ca="1"/>
        <v>#VALUE!</v>
      </c>
      <c r="BC21" s="13" t="e">
        <f ca="1"/>
        <v>#VALUE!</v>
      </c>
      <c r="BE21" s="13">
        <f ca="1"/>
        <v>18</v>
      </c>
      <c r="BF21" s="13" t="str">
        <f ca="1"/>
        <v>Edwin Peeters</v>
      </c>
      <c r="BG21" s="13" t="e" vm="12">
        <f ca="1"/>
        <v>#VALUE!</v>
      </c>
      <c r="BH21" s="13" t="e">
        <f ca="1"/>
        <v>#VALUE!</v>
      </c>
      <c r="BJ21" s="13">
        <f ca="1"/>
        <v>18</v>
      </c>
      <c r="BK21" s="13" t="str">
        <f ca="1"/>
        <v>Chris Clark</v>
      </c>
      <c r="BL21" s="13" t="e" vm="13">
        <f ca="1"/>
        <v>#VALUE!</v>
      </c>
      <c r="BM21" s="13" t="e">
        <f ca="1"/>
        <v>#VALUE!</v>
      </c>
      <c r="BO21" s="13">
        <f ca="1"/>
        <v>18</v>
      </c>
      <c r="BP21" s="13" t="str">
        <f ca="1"/>
        <v>Sjors Rijsdam</v>
      </c>
      <c r="BQ21" s="13" t="e" vm="12">
        <f ca="1"/>
        <v>#VALUE!</v>
      </c>
      <c r="BR21" s="13" t="e">
        <f ca="1"/>
        <v>#VALUE!</v>
      </c>
      <c r="BT21" s="13">
        <f ca="1"/>
        <v>18</v>
      </c>
      <c r="BU21" s="13" t="str">
        <f ca="1"/>
        <v>Julien Thomas</v>
      </c>
      <c r="BV21" s="13" t="e" vm="15">
        <f ca="1"/>
        <v>#VALUE!</v>
      </c>
      <c r="BW21" s="13" t="e">
        <f ca="1"/>
        <v>#VALUE!</v>
      </c>
      <c r="BY21" s="13">
        <f ca="1"/>
        <v>18</v>
      </c>
      <c r="BZ21" s="13" t="str">
        <f ca="1"/>
        <v>Etienne Girondel</v>
      </c>
      <c r="CA21" s="13" t="e" vm="15">
        <f ca="1"/>
        <v>#VALUE!</v>
      </c>
      <c r="CB21" s="13" t="e">
        <f ca="1"/>
        <v>#VALUE!</v>
      </c>
      <c r="CD21" s="13">
        <f ca="1"/>
        <v>18</v>
      </c>
      <c r="CE21" s="13" t="str">
        <f ca="1"/>
        <v>Patrick Wessels</v>
      </c>
      <c r="CF21" s="13" t="e" vm="12">
        <f ca="1"/>
        <v>#VALUE!</v>
      </c>
      <c r="CG21" s="13" t="e">
        <f ca="1"/>
        <v>#VALUE!</v>
      </c>
      <c r="CI21" s="13">
        <f ca="1"/>
        <v>18</v>
      </c>
      <c r="CJ21" s="13" t="str">
        <f ca="1"/>
        <v>Patrick Wessels</v>
      </c>
      <c r="CK21" s="13" t="e" vm="12">
        <f ca="1"/>
        <v>#VALUE!</v>
      </c>
      <c r="CL21" s="13" t="e">
        <f ca="1"/>
        <v>#VALUE!</v>
      </c>
      <c r="CN21" s="13">
        <f ca="1"/>
        <v>18</v>
      </c>
      <c r="CO21" s="13" t="str">
        <f ca="1"/>
        <v>Samuel Gomez</v>
      </c>
      <c r="CP21" s="13" t="e" vm="19">
        <f ca="1"/>
        <v>#VALUE!</v>
      </c>
      <c r="CQ21" s="13" t="e">
        <f ca="1"/>
        <v>#VALUE!</v>
      </c>
      <c r="CS21" s="13">
        <f ca="1"/>
        <v>18</v>
      </c>
      <c r="CT21" s="13" t="str">
        <f ca="1"/>
        <v>Patrick Wessels</v>
      </c>
      <c r="CU21" s="13" t="e" vm="12">
        <f ca="1"/>
        <v>#VALUE!</v>
      </c>
      <c r="CV21" s="13" t="e">
        <f ca="1"/>
        <v>#VALUE!</v>
      </c>
    </row>
    <row r="22" spans="2:100">
      <c r="B22" s="13">
        <f ca="1"/>
        <v>19</v>
      </c>
      <c r="C22" s="13" t="str">
        <f ca="1"/>
        <v>Chris Clark</v>
      </c>
      <c r="D22" s="13" t="e" vm="13">
        <f ca="1"/>
        <v>#VALUE!</v>
      </c>
      <c r="E22" s="13" t="e">
        <f ca="1"/>
        <v>#VALUE!</v>
      </c>
      <c r="G22" s="13">
        <f ca="1"/>
        <v>19</v>
      </c>
      <c r="H22" s="13" t="str">
        <f ca="1"/>
        <v>Ashley Taylor</v>
      </c>
      <c r="I22" s="13" t="e" vm="13">
        <f ca="1"/>
        <v>#VALUE!</v>
      </c>
      <c r="J22" s="13" t="e">
        <f ca="1"/>
        <v>#VALUE!</v>
      </c>
      <c r="L22" s="13">
        <f ca="1"/>
        <v>19</v>
      </c>
      <c r="M22" s="13" t="str">
        <f ca="1"/>
        <v>Etienne Girondel</v>
      </c>
      <c r="N22" s="13" t="e" vm="15">
        <f ca="1"/>
        <v>#VALUE!</v>
      </c>
      <c r="O22" s="13" t="e">
        <f ca="1"/>
        <v>#VALUE!</v>
      </c>
      <c r="Q22" s="13">
        <f ca="1"/>
        <v>19</v>
      </c>
      <c r="R22" s="13" t="str">
        <f ca="1"/>
        <v>Mark Duivesteijn</v>
      </c>
      <c r="S22" s="13" t="e" vm="12">
        <f ca="1"/>
        <v>#VALUE!</v>
      </c>
      <c r="T22" s="13" t="e">
        <f ca="1"/>
        <v>#VALUE!</v>
      </c>
      <c r="V22" s="13">
        <f ca="1"/>
        <v>19</v>
      </c>
      <c r="W22" s="13" t="str">
        <f ca="1"/>
        <v>Patrick Wessels</v>
      </c>
      <c r="X22" s="13" t="e" vm="12">
        <f ca="1"/>
        <v>#VALUE!</v>
      </c>
      <c r="Y22" s="13" t="e">
        <f ca="1"/>
        <v>#VALUE!</v>
      </c>
      <c r="AA22" s="13">
        <f ca="1"/>
        <v>19</v>
      </c>
      <c r="AB22" s="13" t="str">
        <f ca="1"/>
        <v>Thibault Terrasson</v>
      </c>
      <c r="AC22" s="13" t="e" vm="15">
        <f ca="1"/>
        <v>#VALUE!</v>
      </c>
      <c r="AD22" s="13" t="e">
        <f ca="1"/>
        <v>#VALUE!</v>
      </c>
      <c r="AF22" s="13">
        <f ca="1"/>
        <v>19</v>
      </c>
      <c r="AG22" s="13" t="str">
        <f ca="1"/>
        <v>Sjors Rijsdam</v>
      </c>
      <c r="AH22" s="13" t="e" vm="12">
        <f ca="1"/>
        <v>#VALUE!</v>
      </c>
      <c r="AI22" s="13" t="e">
        <f ca="1"/>
        <v>#VALUE!</v>
      </c>
      <c r="AK22" s="13">
        <f ca="1"/>
        <v>19</v>
      </c>
      <c r="AL22" s="13" t="str">
        <f ca="1"/>
        <v>Ashley Taylor</v>
      </c>
      <c r="AM22" s="13" t="e" vm="13">
        <f ca="1"/>
        <v>#VALUE!</v>
      </c>
      <c r="AN22" s="13" t="e">
        <f ca="1"/>
        <v>#VALUE!</v>
      </c>
      <c r="AP22" s="13">
        <f ca="1"/>
        <v>19</v>
      </c>
      <c r="AQ22" s="13" t="str">
        <f ca="1"/>
        <v>Patrick Wessels</v>
      </c>
      <c r="AR22" s="13" t="e" vm="12">
        <f ca="1"/>
        <v>#VALUE!</v>
      </c>
      <c r="AS22" s="13" t="e">
        <f ca="1"/>
        <v>#VALUE!</v>
      </c>
      <c r="AU22" s="13">
        <f ca="1"/>
        <v>19</v>
      </c>
      <c r="AV22" s="13" t="str">
        <f ca="1"/>
        <v>Thibault Terrasson</v>
      </c>
      <c r="AW22" s="13" t="e" vm="15">
        <f ca="1"/>
        <v>#VALUE!</v>
      </c>
      <c r="AX22" s="13" t="e">
        <f ca="1"/>
        <v>#VALUE!</v>
      </c>
      <c r="AZ22" s="13">
        <f ca="1"/>
        <v>19</v>
      </c>
      <c r="BA22" s="13" t="str">
        <f ca="1"/>
        <v>Etienne Girondel</v>
      </c>
      <c r="BB22" s="13" t="e" vm="15">
        <f ca="1"/>
        <v>#VALUE!</v>
      </c>
      <c r="BC22" s="13" t="e">
        <f ca="1"/>
        <v>#VALUE!</v>
      </c>
      <c r="BE22" s="13">
        <f ca="1"/>
        <v>19</v>
      </c>
      <c r="BF22" s="13" t="str">
        <f ca="1"/>
        <v>Chris Clark</v>
      </c>
      <c r="BG22" s="13" t="e" vm="13">
        <f ca="1"/>
        <v>#VALUE!</v>
      </c>
      <c r="BH22" s="13" t="e">
        <f ca="1"/>
        <v>#VALUE!</v>
      </c>
      <c r="BJ22" s="13">
        <f ca="1"/>
        <v>19</v>
      </c>
      <c r="BK22" s="13" t="str">
        <f ca="1"/>
        <v>Drew Blumfield</v>
      </c>
      <c r="BL22" s="13" t="e" vm="14">
        <f ca="1"/>
        <v>#VALUE!</v>
      </c>
      <c r="BM22" s="13" t="e">
        <f ca="1"/>
        <v>#VALUE!</v>
      </c>
      <c r="BO22" s="13">
        <f ca="1"/>
        <v>19</v>
      </c>
      <c r="BP22" s="13" t="str">
        <f ca="1"/>
        <v>Patrick Wessels</v>
      </c>
      <c r="BQ22" s="13" t="e" vm="12">
        <f ca="1"/>
        <v>#VALUE!</v>
      </c>
      <c r="BR22" s="13" t="e">
        <f ca="1"/>
        <v>#VALUE!</v>
      </c>
      <c r="BT22" s="13">
        <f ca="1"/>
        <v>19</v>
      </c>
      <c r="BU22" s="13" t="str">
        <f ca="1"/>
        <v>Samuel Gomez</v>
      </c>
      <c r="BV22" s="13" t="e" vm="19">
        <f ca="1"/>
        <v>#VALUE!</v>
      </c>
      <c r="BW22" s="13" t="e">
        <f ca="1"/>
        <v>#VALUE!</v>
      </c>
      <c r="BY22" s="13">
        <f ca="1"/>
        <v>19</v>
      </c>
      <c r="BZ22" s="13" t="str">
        <f ca="1"/>
        <v>Mark Duivesteijn</v>
      </c>
      <c r="CA22" s="13" t="e" vm="12">
        <f ca="1"/>
        <v>#VALUE!</v>
      </c>
      <c r="CB22" s="13" t="e">
        <f ca="1"/>
        <v>#VALUE!</v>
      </c>
      <c r="CD22" s="13">
        <f ca="1"/>
        <v>19</v>
      </c>
      <c r="CE22" s="13" t="str">
        <f ca="1"/>
        <v>Sjors Rijsdam</v>
      </c>
      <c r="CF22" s="13" t="e" vm="12">
        <f ca="1"/>
        <v>#VALUE!</v>
      </c>
      <c r="CG22" s="13" t="e">
        <f ca="1"/>
        <v>#VALUE!</v>
      </c>
      <c r="CI22" s="13">
        <f ca="1"/>
        <v>19</v>
      </c>
      <c r="CJ22" s="13" t="str">
        <f ca="1"/>
        <v>Edwin Peeters</v>
      </c>
      <c r="CK22" s="13" t="e" vm="12">
        <f ca="1"/>
        <v>#VALUE!</v>
      </c>
      <c r="CL22" s="13" t="e">
        <f ca="1"/>
        <v>#VALUE!</v>
      </c>
      <c r="CN22" s="13">
        <f ca="1"/>
        <v>19</v>
      </c>
      <c r="CO22" s="13" t="str">
        <f ca="1"/>
        <v>Djibril Aatif</v>
      </c>
      <c r="CP22" s="13" t="e" vm="15">
        <f ca="1"/>
        <v>#VALUE!</v>
      </c>
      <c r="CQ22" s="13" t="e">
        <f ca="1"/>
        <v>#VALUE!</v>
      </c>
      <c r="CS22" s="13">
        <f ca="1"/>
        <v>19</v>
      </c>
      <c r="CT22" s="13" t="str">
        <f ca="1"/>
        <v>Etienne Dutet</v>
      </c>
      <c r="CU22" s="13" t="e" vm="15">
        <f ca="1"/>
        <v>#VALUE!</v>
      </c>
      <c r="CV22" s="13" t="e">
        <f ca="1"/>
        <v>#VALUE!</v>
      </c>
    </row>
    <row r="23" spans="2:100">
      <c r="B23" s="13">
        <f ca="1"/>
        <v>20</v>
      </c>
      <c r="C23" s="13" t="str">
        <f ca="1"/>
        <v>Jeremy Edline</v>
      </c>
      <c r="D23" s="13" t="e" vm="15">
        <f ca="1"/>
        <v>#VALUE!</v>
      </c>
      <c r="E23" s="13" t="e">
        <f ca="1"/>
        <v>#VALUE!</v>
      </c>
      <c r="G23" s="13">
        <f ca="1"/>
        <v>20</v>
      </c>
      <c r="H23" s="13" t="str">
        <f ca="1"/>
        <v>Sjors Rijsdam</v>
      </c>
      <c r="I23" s="13" t="e" vm="12">
        <f ca="1"/>
        <v>#VALUE!</v>
      </c>
      <c r="J23" s="13" t="e">
        <f ca="1"/>
        <v>#VALUE!</v>
      </c>
      <c r="L23" s="13">
        <f ca="1"/>
        <v>20</v>
      </c>
      <c r="M23" s="13" t="str">
        <f ca="1"/>
        <v>Jeremy Edline</v>
      </c>
      <c r="N23" s="13" t="e" vm="15">
        <f ca="1"/>
        <v>#VALUE!</v>
      </c>
      <c r="O23" s="13" t="e">
        <f ca="1"/>
        <v>#VALUE!</v>
      </c>
      <c r="Q23" s="13">
        <f ca="1"/>
        <v>20</v>
      </c>
      <c r="R23" s="13" t="str">
        <f ca="1"/>
        <v>Drew Blumfield</v>
      </c>
      <c r="S23" s="13" t="e" vm="14">
        <f ca="1"/>
        <v>#VALUE!</v>
      </c>
      <c r="T23" s="13" t="e">
        <f ca="1"/>
        <v>#VALUE!</v>
      </c>
      <c r="V23" s="13">
        <f ca="1"/>
        <v>20</v>
      </c>
      <c r="W23" s="13" t="str">
        <f ca="1"/>
        <v>Djibril Aatif</v>
      </c>
      <c r="X23" s="13" t="e" vm="15">
        <f ca="1"/>
        <v>#VALUE!</v>
      </c>
      <c r="Y23" s="13" t="e">
        <f ca="1"/>
        <v>#VALUE!</v>
      </c>
      <c r="AA23" s="13">
        <f ca="1"/>
        <v>20</v>
      </c>
      <c r="AB23" s="13" t="str">
        <f ca="1"/>
        <v>Samuel Gomez</v>
      </c>
      <c r="AC23" s="13" t="e" vm="19">
        <f ca="1"/>
        <v>#VALUE!</v>
      </c>
      <c r="AD23" s="13" t="e">
        <f ca="1"/>
        <v>#VALUE!</v>
      </c>
      <c r="AF23" s="13">
        <f ca="1"/>
        <v>20</v>
      </c>
      <c r="AG23" s="13" t="str">
        <f ca="1"/>
        <v>Patrick Wessels</v>
      </c>
      <c r="AH23" s="13" t="e" vm="12">
        <f ca="1"/>
        <v>#VALUE!</v>
      </c>
      <c r="AI23" s="13" t="e">
        <f ca="1"/>
        <v>#VALUE!</v>
      </c>
      <c r="AK23" s="13">
        <f ca="1"/>
        <v>20</v>
      </c>
      <c r="AL23" s="13" t="str">
        <f ca="1"/>
        <v>Drew Blumfield</v>
      </c>
      <c r="AM23" s="13" t="e" vm="14">
        <f ca="1"/>
        <v>#VALUE!</v>
      </c>
      <c r="AN23" s="13" t="e">
        <f ca="1"/>
        <v>#VALUE!</v>
      </c>
      <c r="AP23" s="13">
        <f ca="1"/>
        <v>20</v>
      </c>
      <c r="AQ23" s="13" t="str">
        <f ca="1"/>
        <v>Samuel Gomez</v>
      </c>
      <c r="AR23" s="13" t="e" vm="19">
        <f ca="1"/>
        <v>#VALUE!</v>
      </c>
      <c r="AS23" s="13" t="e">
        <f ca="1"/>
        <v>#VALUE!</v>
      </c>
      <c r="AU23" s="13">
        <f ca="1"/>
        <v>20</v>
      </c>
      <c r="AV23" s="13" t="str">
        <f ca="1"/>
        <v>Djibril Aatif</v>
      </c>
      <c r="AW23" s="13" t="e" vm="15">
        <f ca="1"/>
        <v>#VALUE!</v>
      </c>
      <c r="AX23" s="13" t="e">
        <f ca="1"/>
        <v>#VALUE!</v>
      </c>
      <c r="AZ23" s="13">
        <f ca="1"/>
        <v>20</v>
      </c>
      <c r="BA23" s="13" t="str">
        <f ca="1"/>
        <v>Chris Clark</v>
      </c>
      <c r="BB23" s="13" t="e" vm="13">
        <f ca="1"/>
        <v>#VALUE!</v>
      </c>
      <c r="BC23" s="13" t="e">
        <f ca="1"/>
        <v>#VALUE!</v>
      </c>
      <c r="BE23" s="13">
        <f ca="1"/>
        <v>20</v>
      </c>
      <c r="BF23" s="13" t="str">
        <f ca="1"/>
        <v>Samuel Gomez</v>
      </c>
      <c r="BG23" s="13" t="e" vm="19">
        <f ca="1"/>
        <v>#VALUE!</v>
      </c>
      <c r="BH23" s="13" t="e">
        <f ca="1"/>
        <v>#VALUE!</v>
      </c>
      <c r="BJ23" s="13">
        <f ca="1"/>
        <v>20</v>
      </c>
      <c r="BK23" s="13" t="str">
        <f ca="1"/>
        <v>Daisuke Kashima</v>
      </c>
      <c r="BL23" s="13" t="e" vm="16">
        <f ca="1"/>
        <v>#VALUE!</v>
      </c>
      <c r="BM23" s="13" t="e">
        <f ca="1"/>
        <v>#VALUE!</v>
      </c>
      <c r="BO23" s="13">
        <f ca="1"/>
        <v>20</v>
      </c>
      <c r="BP23" s="13" t="str">
        <f ca="1"/>
        <v>Marine Camus</v>
      </c>
      <c r="BQ23" s="13" t="e" vm="15">
        <f ca="1"/>
        <v>#VALUE!</v>
      </c>
      <c r="BR23" s="13" t="e">
        <f ca="1"/>
        <v>#VALUE!</v>
      </c>
      <c r="BT23" s="13">
        <f ca="1"/>
        <v>20</v>
      </c>
      <c r="BU23" s="13" t="str">
        <f ca="1"/>
        <v>Sjors Rijsdam</v>
      </c>
      <c r="BV23" s="13" t="e" vm="12">
        <f ca="1"/>
        <v>#VALUE!</v>
      </c>
      <c r="BW23" s="13" t="e">
        <f ca="1"/>
        <v>#VALUE!</v>
      </c>
      <c r="BY23" s="13">
        <f ca="1"/>
        <v>20</v>
      </c>
      <c r="BZ23" s="13" t="str">
        <f ca="1"/>
        <v>Chris Clark</v>
      </c>
      <c r="CA23" s="13" t="e" vm="13">
        <f ca="1"/>
        <v>#VALUE!</v>
      </c>
      <c r="CB23" s="13" t="e">
        <f ca="1"/>
        <v>#VALUE!</v>
      </c>
      <c r="CD23" s="13">
        <f ca="1"/>
        <v>20</v>
      </c>
      <c r="CE23" s="13" t="str">
        <f ca="1"/>
        <v>Etienne Girondel</v>
      </c>
      <c r="CF23" s="13" t="e" vm="15">
        <f ca="1"/>
        <v>#VALUE!</v>
      </c>
      <c r="CG23" s="13" t="e">
        <f ca="1"/>
        <v>#VALUE!</v>
      </c>
      <c r="CI23" s="13">
        <f ca="1"/>
        <v>20</v>
      </c>
      <c r="CJ23" s="13" t="str">
        <f ca="1"/>
        <v>Marine Camus</v>
      </c>
      <c r="CK23" s="13" t="e" vm="15">
        <f ca="1"/>
        <v>#VALUE!</v>
      </c>
      <c r="CL23" s="13" t="e">
        <f ca="1"/>
        <v>#VALUE!</v>
      </c>
      <c r="CN23" s="13">
        <f ca="1"/>
        <v>20</v>
      </c>
      <c r="CO23" s="13" t="str">
        <f ca="1"/>
        <v>Franck Adam</v>
      </c>
      <c r="CP23" s="13" t="e" vm="15">
        <f ca="1"/>
        <v>#VALUE!</v>
      </c>
      <c r="CQ23" s="13" t="e">
        <f ca="1"/>
        <v>#VALUE!</v>
      </c>
      <c r="CS23" s="13">
        <f ca="1"/>
        <v>20</v>
      </c>
      <c r="CT23" s="13" t="str">
        <f ca="1"/>
        <v>Djibril Aatif</v>
      </c>
      <c r="CU23" s="13" t="e" vm="15">
        <f ca="1"/>
        <v>#VALUE!</v>
      </c>
      <c r="CV23" s="13" t="e">
        <f ca="1"/>
        <v>#VALUE!</v>
      </c>
    </row>
    <row r="24" spans="2:100">
      <c r="B24" s="13">
        <f ca="1"/>
        <v>21</v>
      </c>
      <c r="C24" s="13" t="str">
        <f ca="1"/>
        <v>Hiroki Matsumoto</v>
      </c>
      <c r="D24" s="13" t="e" vm="16">
        <f ca="1"/>
        <v>#VALUE!</v>
      </c>
      <c r="E24" s="13" t="e">
        <f ca="1"/>
        <v>#VALUE!</v>
      </c>
      <c r="G24" s="13">
        <f ca="1"/>
        <v>21</v>
      </c>
      <c r="H24" s="13" t="str">
        <f ca="1"/>
        <v>Drew Blumfield</v>
      </c>
      <c r="I24" s="13" t="e" vm="14">
        <f ca="1"/>
        <v>#VALUE!</v>
      </c>
      <c r="J24" s="13" t="e">
        <f ca="1"/>
        <v>#VALUE!</v>
      </c>
      <c r="L24" s="13">
        <f ca="1"/>
        <v>21</v>
      </c>
      <c r="M24" s="13" t="str">
        <f ca="1"/>
        <v>Drew Blumfield</v>
      </c>
      <c r="N24" s="13" t="e" vm="14">
        <f ca="1"/>
        <v>#VALUE!</v>
      </c>
      <c r="O24" s="13" t="e">
        <f ca="1"/>
        <v>#VALUE!</v>
      </c>
      <c r="Q24" s="13">
        <f ca="1"/>
        <v>21</v>
      </c>
      <c r="R24" s="13" t="str">
        <f ca="1"/>
        <v>Samuel Gomez</v>
      </c>
      <c r="S24" s="13" t="e" vm="19">
        <f ca="1"/>
        <v>#VALUE!</v>
      </c>
      <c r="T24" s="13" t="e">
        <f ca="1"/>
        <v>#VALUE!</v>
      </c>
      <c r="V24" s="13">
        <f ca="1"/>
        <v>21</v>
      </c>
      <c r="W24" s="13" t="str">
        <f ca="1"/>
        <v>Jeremy Edline</v>
      </c>
      <c r="X24" s="13" t="e" vm="15">
        <f ca="1"/>
        <v>#VALUE!</v>
      </c>
      <c r="Y24" s="13" t="e">
        <f ca="1"/>
        <v>#VALUE!</v>
      </c>
      <c r="AA24" s="13">
        <f ca="1"/>
        <v>21</v>
      </c>
      <c r="AB24" s="13" t="str">
        <f ca="1"/>
        <v>Franck Adam</v>
      </c>
      <c r="AC24" s="13" t="e" vm="15">
        <f ca="1"/>
        <v>#VALUE!</v>
      </c>
      <c r="AD24" s="13" t="e">
        <f ca="1"/>
        <v>#VALUE!</v>
      </c>
      <c r="AF24" s="13">
        <f ca="1"/>
        <v>21</v>
      </c>
      <c r="AG24" s="13" t="str">
        <f ca="1"/>
        <v>Guillaume Leviach</v>
      </c>
      <c r="AH24" s="13" t="e" vm="15">
        <f ca="1"/>
        <v>#VALUE!</v>
      </c>
      <c r="AI24" s="13" t="e">
        <f ca="1"/>
        <v>#VALUE!</v>
      </c>
      <c r="AK24" s="13">
        <f ca="1"/>
        <v>21</v>
      </c>
      <c r="AL24" s="13" t="str">
        <f ca="1"/>
        <v>Julien Thomas</v>
      </c>
      <c r="AM24" s="13" t="e" vm="15">
        <f ca="1"/>
        <v>#VALUE!</v>
      </c>
      <c r="AN24" s="13" t="e">
        <f ca="1"/>
        <v>#VALUE!</v>
      </c>
      <c r="AP24" s="13">
        <f ca="1"/>
        <v>21</v>
      </c>
      <c r="AQ24" s="13" t="str">
        <f ca="1"/>
        <v>Daisuke Kashima</v>
      </c>
      <c r="AR24" s="13" t="e" vm="16">
        <f ca="1"/>
        <v>#VALUE!</v>
      </c>
      <c r="AS24" s="13" t="e">
        <f ca="1"/>
        <v>#VALUE!</v>
      </c>
      <c r="AU24" s="13">
        <f ca="1"/>
        <v>21</v>
      </c>
      <c r="AV24" s="13" t="str">
        <f ca="1"/>
        <v>Jeremy Edline</v>
      </c>
      <c r="AW24" s="13" t="e" vm="15">
        <f ca="1"/>
        <v>#VALUE!</v>
      </c>
      <c r="AX24" s="13" t="e">
        <f ca="1"/>
        <v>#VALUE!</v>
      </c>
      <c r="AZ24" s="13">
        <f ca="1"/>
        <v>21</v>
      </c>
      <c r="BA24" s="13" t="str">
        <f ca="1"/>
        <v>Geoffrey Label</v>
      </c>
      <c r="BB24" s="13" t="e" vm="15">
        <f ca="1"/>
        <v>#VALUE!</v>
      </c>
      <c r="BC24" s="13" t="e">
        <f ca="1"/>
        <v>#VALUE!</v>
      </c>
      <c r="BE24" s="13">
        <f ca="1"/>
        <v>21</v>
      </c>
      <c r="BF24" s="13" t="str">
        <f ca="1"/>
        <v>Jeremy Edline</v>
      </c>
      <c r="BG24" s="13" t="e" vm="15">
        <f ca="1"/>
        <v>#VALUE!</v>
      </c>
      <c r="BH24" s="13" t="e">
        <f ca="1"/>
        <v>#VALUE!</v>
      </c>
      <c r="BJ24" s="13">
        <f ca="1"/>
        <v>21</v>
      </c>
      <c r="BK24" s="13" t="str">
        <f ca="1"/>
        <v>Martin Pfeiffer</v>
      </c>
      <c r="BL24" s="13" t="e" vm="15">
        <f ca="1"/>
        <v>#VALUE!</v>
      </c>
      <c r="BM24" s="13" t="e">
        <f ca="1"/>
        <v>#VALUE!</v>
      </c>
      <c r="BO24" s="13">
        <f ca="1"/>
        <v>21</v>
      </c>
      <c r="BP24" s="13" t="str">
        <f ca="1"/>
        <v>Leyla Hasso</v>
      </c>
      <c r="BQ24" s="13" t="e" vm="13">
        <f ca="1"/>
        <v>#VALUE!</v>
      </c>
      <c r="BR24" s="13" t="e">
        <f ca="1"/>
        <v>#VALUE!</v>
      </c>
      <c r="BT24" s="13">
        <f ca="1"/>
        <v>21</v>
      </c>
      <c r="BU24" s="13" t="str">
        <f ca="1"/>
        <v>Jeremy Edline</v>
      </c>
      <c r="BV24" s="13" t="e" vm="15">
        <f ca="1"/>
        <v>#VALUE!</v>
      </c>
      <c r="BW24" s="13" t="e">
        <f ca="1"/>
        <v>#VALUE!</v>
      </c>
      <c r="BY24" s="13">
        <f ca="1"/>
        <v>21</v>
      </c>
      <c r="BZ24" s="13" t="str">
        <f ca="1"/>
        <v>Djibril Aatif</v>
      </c>
      <c r="CA24" s="13" t="e" vm="15">
        <f ca="1"/>
        <v>#VALUE!</v>
      </c>
      <c r="CB24" s="13" t="e">
        <f ca="1"/>
        <v>#VALUE!</v>
      </c>
      <c r="CD24" s="13">
        <f ca="1"/>
        <v>21</v>
      </c>
      <c r="CE24" s="13" t="str">
        <f ca="1"/>
        <v>Martin Pfeiffer</v>
      </c>
      <c r="CF24" s="13" t="e" vm="15">
        <f ca="1"/>
        <v>#VALUE!</v>
      </c>
      <c r="CG24" s="13" t="e">
        <f ca="1"/>
        <v>#VALUE!</v>
      </c>
      <c r="CI24" s="13">
        <f ca="1"/>
        <v>21</v>
      </c>
      <c r="CJ24" s="13" t="str">
        <f ca="1"/>
        <v>Drew Blumfield</v>
      </c>
      <c r="CK24" s="13" t="e" vm="14">
        <f ca="1"/>
        <v>#VALUE!</v>
      </c>
      <c r="CL24" s="13" t="e">
        <f ca="1"/>
        <v>#VALUE!</v>
      </c>
      <c r="CN24" s="13">
        <f ca="1"/>
        <v>21</v>
      </c>
      <c r="CO24" s="13" t="str">
        <f ca="1"/>
        <v>Thibault Terrasson</v>
      </c>
      <c r="CP24" s="13" t="e" vm="15">
        <f ca="1"/>
        <v>#VALUE!</v>
      </c>
      <c r="CQ24" s="13" t="e">
        <f ca="1"/>
        <v>#VALUE!</v>
      </c>
      <c r="CS24" s="13">
        <f ca="1"/>
        <v>21</v>
      </c>
      <c r="CT24" s="13" t="str">
        <f ca="1"/>
        <v>Jerome Coiffard</v>
      </c>
      <c r="CU24" s="13" t="e" vm="15">
        <f ca="1"/>
        <v>#VALUE!</v>
      </c>
      <c r="CV24" s="13" t="e">
        <f ca="1"/>
        <v>#VALUE!</v>
      </c>
    </row>
    <row r="25" spans="2:100">
      <c r="B25" s="13">
        <f ca="1"/>
        <v>22</v>
      </c>
      <c r="C25" s="13" t="str">
        <f ca="1"/>
        <v>Samuel Gomez</v>
      </c>
      <c r="D25" s="13" t="e" vm="19">
        <f ca="1"/>
        <v>#VALUE!</v>
      </c>
      <c r="E25" s="13" t="e">
        <f ca="1"/>
        <v>#VALUE!</v>
      </c>
      <c r="G25" s="13">
        <f ca="1"/>
        <v>22</v>
      </c>
      <c r="H25" s="13" t="str">
        <f ca="1"/>
        <v>Martin Pfeiffer</v>
      </c>
      <c r="I25" s="13" t="e" vm="15">
        <f ca="1"/>
        <v>#VALUE!</v>
      </c>
      <c r="J25" s="13" t="e">
        <f ca="1"/>
        <v>#VALUE!</v>
      </c>
      <c r="L25" s="13">
        <f ca="1"/>
        <v>22</v>
      </c>
      <c r="M25" s="13" t="str">
        <f ca="1"/>
        <v>Samuel Gomez</v>
      </c>
      <c r="N25" s="13" t="e" vm="19">
        <f ca="1"/>
        <v>#VALUE!</v>
      </c>
      <c r="O25" s="13" t="e">
        <f ca="1"/>
        <v>#VALUE!</v>
      </c>
      <c r="Q25" s="13">
        <f ca="1"/>
        <v>22</v>
      </c>
      <c r="R25" s="13" t="str">
        <f ca="1"/>
        <v>Franck Adam</v>
      </c>
      <c r="S25" s="13" t="e" vm="15">
        <f ca="1"/>
        <v>#VALUE!</v>
      </c>
      <c r="T25" s="13" t="e">
        <f ca="1"/>
        <v>#VALUE!</v>
      </c>
      <c r="V25" s="13">
        <f ca="1"/>
        <v>22</v>
      </c>
      <c r="W25" s="13" t="str">
        <f ca="1"/>
        <v>Daisuke Kashima</v>
      </c>
      <c r="X25" s="13" t="e" vm="16">
        <f ca="1"/>
        <v>#VALUE!</v>
      </c>
      <c r="Y25" s="13" t="e">
        <f ca="1"/>
        <v>#VALUE!</v>
      </c>
      <c r="AA25" s="13">
        <f ca="1"/>
        <v>22</v>
      </c>
      <c r="AB25" s="13" t="str">
        <f ca="1"/>
        <v>Edwin Peeters</v>
      </c>
      <c r="AC25" s="13" t="e" vm="12">
        <f ca="1"/>
        <v>#VALUE!</v>
      </c>
      <c r="AD25" s="13" t="e">
        <f ca="1"/>
        <v>#VALUE!</v>
      </c>
      <c r="AF25" s="13">
        <f ca="1"/>
        <v>22</v>
      </c>
      <c r="AG25" s="13" t="str">
        <f ca="1"/>
        <v>Jeremy Edline</v>
      </c>
      <c r="AH25" s="13" t="e" vm="15">
        <f ca="1"/>
        <v>#VALUE!</v>
      </c>
      <c r="AI25" s="13" t="e">
        <f ca="1"/>
        <v>#VALUE!</v>
      </c>
      <c r="AK25" s="13">
        <f ca="1"/>
        <v>22</v>
      </c>
      <c r="AL25" s="13" t="str">
        <f ca="1"/>
        <v>Samuel Gomez</v>
      </c>
      <c r="AM25" s="13" t="e" vm="19">
        <f ca="1"/>
        <v>#VALUE!</v>
      </c>
      <c r="AN25" s="13" t="e">
        <f ca="1"/>
        <v>#VALUE!</v>
      </c>
      <c r="AP25" s="13">
        <f ca="1"/>
        <v>22</v>
      </c>
      <c r="AQ25" s="13" t="str">
        <f ca="1"/>
        <v>Djibril Aatif</v>
      </c>
      <c r="AR25" s="13" t="e" vm="15">
        <f ca="1"/>
        <v>#VALUE!</v>
      </c>
      <c r="AS25" s="13" t="e">
        <f ca="1"/>
        <v>#VALUE!</v>
      </c>
      <c r="AU25" s="13">
        <f ca="1"/>
        <v>22</v>
      </c>
      <c r="AV25" s="13" t="str">
        <f ca="1"/>
        <v>Drew Blumfield</v>
      </c>
      <c r="AW25" s="13" t="e" vm="14">
        <f ca="1"/>
        <v>#VALUE!</v>
      </c>
      <c r="AX25" s="13" t="e">
        <f ca="1"/>
        <v>#VALUE!</v>
      </c>
      <c r="AZ25" s="13">
        <f ca="1"/>
        <v>22</v>
      </c>
      <c r="BA25" s="13" t="str">
        <f ca="1"/>
        <v>Ashley Taylor</v>
      </c>
      <c r="BB25" s="13" t="e" vm="13">
        <f ca="1"/>
        <v>#VALUE!</v>
      </c>
      <c r="BC25" s="13" t="e">
        <f ca="1"/>
        <v>#VALUE!</v>
      </c>
      <c r="BE25" s="13">
        <f ca="1"/>
        <v>22</v>
      </c>
      <c r="BF25" s="13" t="str">
        <f ca="1"/>
        <v>Mark Duivesteijn</v>
      </c>
      <c r="BG25" s="13" t="e" vm="12">
        <f ca="1"/>
        <v>#VALUE!</v>
      </c>
      <c r="BH25" s="13" t="e">
        <f ca="1"/>
        <v>#VALUE!</v>
      </c>
      <c r="BJ25" s="13">
        <f ca="1"/>
        <v>22</v>
      </c>
      <c r="BK25" s="13" t="str">
        <f ca="1"/>
        <v>Franck Adam</v>
      </c>
      <c r="BL25" s="13" t="e" vm="15">
        <f ca="1"/>
        <v>#VALUE!</v>
      </c>
      <c r="BM25" s="13" t="e">
        <f ca="1"/>
        <v>#VALUE!</v>
      </c>
      <c r="BO25" s="13">
        <f ca="1"/>
        <v>22</v>
      </c>
      <c r="BP25" s="13" t="str">
        <f ca="1"/>
        <v>Drew Blumfield</v>
      </c>
      <c r="BQ25" s="13" t="e" vm="14">
        <f ca="1"/>
        <v>#VALUE!</v>
      </c>
      <c r="BR25" s="13" t="e">
        <f ca="1"/>
        <v>#VALUE!</v>
      </c>
      <c r="BT25" s="13">
        <f ca="1"/>
        <v>22</v>
      </c>
      <c r="BU25" s="13" t="str">
        <f ca="1"/>
        <v>Etienne Girondel</v>
      </c>
      <c r="BV25" s="13" t="e" vm="15">
        <f ca="1"/>
        <v>#VALUE!</v>
      </c>
      <c r="BW25" s="13" t="e">
        <f ca="1"/>
        <v>#VALUE!</v>
      </c>
      <c r="BY25" s="13">
        <f ca="1"/>
        <v>22</v>
      </c>
      <c r="BZ25" s="13" t="str">
        <f ca="1"/>
        <v>Samuel Gomez</v>
      </c>
      <c r="CA25" s="13" t="e" vm="19">
        <f ca="1"/>
        <v>#VALUE!</v>
      </c>
      <c r="CB25" s="13" t="e">
        <f ca="1"/>
        <v>#VALUE!</v>
      </c>
      <c r="CD25" s="13">
        <f ca="1"/>
        <v>22</v>
      </c>
      <c r="CE25" s="13" t="str">
        <f ca="1"/>
        <v>Samuel Gomez</v>
      </c>
      <c r="CF25" s="13" t="e" vm="19">
        <f ca="1"/>
        <v>#VALUE!</v>
      </c>
      <c r="CG25" s="13" t="e">
        <f ca="1"/>
        <v>#VALUE!</v>
      </c>
      <c r="CI25" s="13">
        <f ca="1"/>
        <v>22</v>
      </c>
      <c r="CJ25" s="13" t="str">
        <f ca="1"/>
        <v>Mike Hulscher</v>
      </c>
      <c r="CK25" s="13" t="e" vm="12">
        <f ca="1"/>
        <v>#VALUE!</v>
      </c>
      <c r="CL25" s="13" t="e">
        <f ca="1"/>
        <v>#VALUE!</v>
      </c>
      <c r="CN25" s="13">
        <f ca="1"/>
        <v>22</v>
      </c>
      <c r="CO25" s="13" t="str">
        <f ca="1"/>
        <v>Sjors Rijsdam</v>
      </c>
      <c r="CP25" s="13" t="e" vm="12">
        <f ca="1"/>
        <v>#VALUE!</v>
      </c>
      <c r="CQ25" s="13" t="e">
        <f ca="1"/>
        <v>#VALUE!</v>
      </c>
      <c r="CS25" s="13">
        <f ca="1"/>
        <v>22</v>
      </c>
      <c r="CT25" s="13" t="str">
        <f ca="1"/>
        <v>Takashi Ogasawara</v>
      </c>
      <c r="CU25" s="13" t="e" vm="16">
        <f ca="1"/>
        <v>#VALUE!</v>
      </c>
      <c r="CV25" s="13" t="e">
        <f ca="1"/>
        <v>#VALUE!</v>
      </c>
    </row>
    <row r="26" spans="2:100">
      <c r="B26" s="13">
        <f ca="1"/>
        <v>23</v>
      </c>
      <c r="C26" s="13" t="str">
        <f ca="1"/>
        <v>Etienne Girondel</v>
      </c>
      <c r="D26" s="13" t="e" vm="15">
        <f ca="1"/>
        <v>#VALUE!</v>
      </c>
      <c r="E26" s="13" t="e">
        <f ca="1"/>
        <v>#VALUE!</v>
      </c>
      <c r="G26" s="13">
        <f ca="1"/>
        <v>23</v>
      </c>
      <c r="H26" s="13" t="str">
        <f ca="1"/>
        <v>Julien Thomas</v>
      </c>
      <c r="I26" s="13" t="e" vm="15">
        <f ca="1"/>
        <v>#VALUE!</v>
      </c>
      <c r="J26" s="13" t="e">
        <f ca="1"/>
        <v>#VALUE!</v>
      </c>
      <c r="L26" s="13">
        <f ca="1"/>
        <v>23</v>
      </c>
      <c r="M26" s="13" t="str">
        <f ca="1"/>
        <v>Etienne Dutet</v>
      </c>
      <c r="N26" s="13" t="e" vm="15">
        <f ca="1"/>
        <v>#VALUE!</v>
      </c>
      <c r="O26" s="13" t="e">
        <f ca="1"/>
        <v>#VALUE!</v>
      </c>
      <c r="Q26" s="13">
        <f ca="1"/>
        <v>23</v>
      </c>
      <c r="R26" s="13" t="str">
        <f ca="1"/>
        <v>Florian Chollet</v>
      </c>
      <c r="S26" s="13" t="e" vm="15">
        <f ca="1"/>
        <v>#VALUE!</v>
      </c>
      <c r="T26" s="13" t="e">
        <f ca="1"/>
        <v>#VALUE!</v>
      </c>
      <c r="V26" s="13">
        <f ca="1"/>
        <v>23</v>
      </c>
      <c r="W26" s="13" t="str">
        <f ca="1"/>
        <v>Edwin Peeters</v>
      </c>
      <c r="X26" s="13" t="e" vm="12">
        <f ca="1"/>
        <v>#VALUE!</v>
      </c>
      <c r="Y26" s="13" t="e">
        <f ca="1"/>
        <v>#VALUE!</v>
      </c>
      <c r="AA26" s="13">
        <f ca="1"/>
        <v>23</v>
      </c>
      <c r="AB26" s="13" t="str">
        <f ca="1"/>
        <v>Florian Chollet</v>
      </c>
      <c r="AC26" s="13" t="e" vm="15">
        <f ca="1"/>
        <v>#VALUE!</v>
      </c>
      <c r="AD26" s="13" t="e">
        <f ca="1"/>
        <v>#VALUE!</v>
      </c>
      <c r="AF26" s="13">
        <f ca="1"/>
        <v>23</v>
      </c>
      <c r="AG26" s="13" t="str">
        <f ca="1"/>
        <v>Samuel Gomez</v>
      </c>
      <c r="AH26" s="13" t="e" vm="19">
        <f ca="1"/>
        <v>#VALUE!</v>
      </c>
      <c r="AI26" s="13" t="e">
        <f ca="1"/>
        <v>#VALUE!</v>
      </c>
      <c r="AK26" s="13">
        <f ca="1"/>
        <v>23</v>
      </c>
      <c r="AL26" s="13" t="str">
        <f ca="1"/>
        <v>Patrick Wessels</v>
      </c>
      <c r="AM26" s="13" t="e" vm="12">
        <f ca="1"/>
        <v>#VALUE!</v>
      </c>
      <c r="AN26" s="13" t="e">
        <f ca="1"/>
        <v>#VALUE!</v>
      </c>
      <c r="AP26" s="13">
        <f ca="1"/>
        <v>23</v>
      </c>
      <c r="AQ26" s="13" t="str">
        <f ca="1"/>
        <v>Drew Blumfield</v>
      </c>
      <c r="AR26" s="13" t="e" vm="14">
        <f ca="1"/>
        <v>#VALUE!</v>
      </c>
      <c r="AS26" s="13" t="e">
        <f ca="1"/>
        <v>#VALUE!</v>
      </c>
      <c r="AU26" s="13">
        <f ca="1"/>
        <v>23</v>
      </c>
      <c r="AV26" s="13" t="str">
        <f ca="1"/>
        <v>Michael Sumner</v>
      </c>
      <c r="AW26" s="13" t="e" vm="18">
        <f ca="1"/>
        <v>#VALUE!</v>
      </c>
      <c r="AX26" s="13" t="e">
        <f ca="1"/>
        <v>#VALUE!</v>
      </c>
      <c r="AZ26" s="13">
        <f ca="1"/>
        <v>23</v>
      </c>
      <c r="BA26" s="13" t="str">
        <f ca="1"/>
        <v>Edwin Peeters</v>
      </c>
      <c r="BB26" s="13" t="e" vm="12">
        <f ca="1"/>
        <v>#VALUE!</v>
      </c>
      <c r="BC26" s="13" t="e">
        <f ca="1"/>
        <v>#VALUE!</v>
      </c>
      <c r="BE26" s="13">
        <f ca="1"/>
        <v>23</v>
      </c>
      <c r="BF26" s="13" t="str">
        <f ca="1"/>
        <v>Martin Pfeiffer</v>
      </c>
      <c r="BG26" s="13" t="e" vm="15">
        <f ca="1"/>
        <v>#VALUE!</v>
      </c>
      <c r="BH26" s="13" t="e">
        <f ca="1"/>
        <v>#VALUE!</v>
      </c>
      <c r="BJ26" s="13">
        <f ca="1"/>
        <v>23</v>
      </c>
      <c r="BK26" s="13" t="str">
        <f ca="1"/>
        <v>Samuel Gomez</v>
      </c>
      <c r="BL26" s="13" t="e" vm="19">
        <f ca="1"/>
        <v>#VALUE!</v>
      </c>
      <c r="BM26" s="13" t="e">
        <f ca="1"/>
        <v>#VALUE!</v>
      </c>
      <c r="BO26" s="13">
        <f ca="1"/>
        <v>23</v>
      </c>
      <c r="BP26" s="13" t="str">
        <f ca="1"/>
        <v>Thibault Terrasson</v>
      </c>
      <c r="BQ26" s="13" t="e" vm="15">
        <f ca="1"/>
        <v>#VALUE!</v>
      </c>
      <c r="BR26" s="13" t="e">
        <f ca="1"/>
        <v>#VALUE!</v>
      </c>
      <c r="BT26" s="13">
        <f ca="1"/>
        <v>23</v>
      </c>
      <c r="BU26" s="13" t="str">
        <f ca="1"/>
        <v>Michael Sumner</v>
      </c>
      <c r="BV26" s="13" t="e" vm="18">
        <f ca="1"/>
        <v>#VALUE!</v>
      </c>
      <c r="BW26" s="13" t="e">
        <f ca="1"/>
        <v>#VALUE!</v>
      </c>
      <c r="BY26" s="13">
        <f ca="1"/>
        <v>23</v>
      </c>
      <c r="BZ26" s="13" t="str">
        <f ca="1"/>
        <v>Hiroki Matsumoto</v>
      </c>
      <c r="CA26" s="13" t="e" vm="16">
        <f ca="1"/>
        <v>#VALUE!</v>
      </c>
      <c r="CB26" s="13" t="e">
        <f ca="1"/>
        <v>#VALUE!</v>
      </c>
      <c r="CD26" s="13">
        <f ca="1"/>
        <v>23</v>
      </c>
      <c r="CE26" s="13" t="str">
        <f ca="1"/>
        <v>Drew Blumfield</v>
      </c>
      <c r="CF26" s="13" t="e" vm="14">
        <f ca="1"/>
        <v>#VALUE!</v>
      </c>
      <c r="CG26" s="13" t="e">
        <f ca="1"/>
        <v>#VALUE!</v>
      </c>
      <c r="CI26" s="13">
        <f ca="1"/>
        <v>23</v>
      </c>
      <c r="CJ26" s="13" t="str">
        <f ca="1"/>
        <v>Mark Duivesteijn</v>
      </c>
      <c r="CK26" s="13" t="e" vm="12">
        <f ca="1"/>
        <v>#VALUE!</v>
      </c>
      <c r="CL26" s="13" t="e">
        <f ca="1"/>
        <v>#VALUE!</v>
      </c>
      <c r="CN26" s="13">
        <f ca="1"/>
        <v>23</v>
      </c>
      <c r="CO26" s="13" t="str">
        <f ca="1"/>
        <v>Patrick Wessels</v>
      </c>
      <c r="CP26" s="13" t="e" vm="12">
        <f ca="1"/>
        <v>#VALUE!</v>
      </c>
      <c r="CQ26" s="13" t="e">
        <f ca="1"/>
        <v>#VALUE!</v>
      </c>
      <c r="CS26" s="13">
        <f ca="1"/>
        <v>23</v>
      </c>
      <c r="CT26" s="13" t="str">
        <f ca="1"/>
        <v>Samuel Gomez</v>
      </c>
      <c r="CU26" s="13" t="e" vm="19">
        <f ca="1"/>
        <v>#VALUE!</v>
      </c>
      <c r="CV26" s="13" t="e">
        <f ca="1"/>
        <v>#VALUE!</v>
      </c>
    </row>
    <row r="27" spans="2:100">
      <c r="B27" s="13">
        <f ca="1"/>
        <v>24</v>
      </c>
      <c r="C27" s="13" t="str">
        <f ca="1"/>
        <v>Ashley Taylor</v>
      </c>
      <c r="D27" s="13" t="e" vm="13">
        <f ca="1"/>
        <v>#VALUE!</v>
      </c>
      <c r="E27" s="13" t="e">
        <f ca="1"/>
        <v>#VALUE!</v>
      </c>
      <c r="G27" s="13">
        <f ca="1"/>
        <v>24</v>
      </c>
      <c r="H27" s="13" t="str">
        <f ca="1"/>
        <v>Jeremy Edline</v>
      </c>
      <c r="I27" s="13" t="e" vm="15">
        <f ca="1"/>
        <v>#VALUE!</v>
      </c>
      <c r="J27" s="13" t="e">
        <f ca="1"/>
        <v>#VALUE!</v>
      </c>
      <c r="L27" s="13">
        <f ca="1"/>
        <v>24</v>
      </c>
      <c r="M27" s="13" t="str">
        <f ca="1"/>
        <v>Baptiste Flavien</v>
      </c>
      <c r="N27" s="13" t="e" vm="15">
        <f ca="1"/>
        <v>#VALUE!</v>
      </c>
      <c r="O27" s="13" t="e">
        <f ca="1"/>
        <v>#VALUE!</v>
      </c>
      <c r="Q27" s="13">
        <f ca="1"/>
        <v>24</v>
      </c>
      <c r="R27" s="13" t="str">
        <f ca="1"/>
        <v>Sjors Rijsdam</v>
      </c>
      <c r="S27" s="13" t="e" vm="12">
        <f ca="1"/>
        <v>#VALUE!</v>
      </c>
      <c r="T27" s="13" t="e">
        <f ca="1"/>
        <v>#VALUE!</v>
      </c>
      <c r="V27" s="13">
        <f ca="1"/>
        <v>24</v>
      </c>
      <c r="W27" s="13" t="str">
        <f ca="1"/>
        <v>Chris Clark</v>
      </c>
      <c r="X27" s="13" t="e" vm="13">
        <f ca="1"/>
        <v>#VALUE!</v>
      </c>
      <c r="Y27" s="13" t="e">
        <f ca="1"/>
        <v>#VALUE!</v>
      </c>
      <c r="AA27" s="13">
        <f ca="1"/>
        <v>24</v>
      </c>
      <c r="AB27" s="13" t="str">
        <f ca="1"/>
        <v>Mark Duivesteijn</v>
      </c>
      <c r="AC27" s="13" t="e" vm="12">
        <f ca="1"/>
        <v>#VALUE!</v>
      </c>
      <c r="AD27" s="13" t="e">
        <f ca="1"/>
        <v>#VALUE!</v>
      </c>
      <c r="AF27" s="13">
        <f ca="1"/>
        <v>24</v>
      </c>
      <c r="AG27" s="13" t="str">
        <f ca="1"/>
        <v>Drew Blumfield</v>
      </c>
      <c r="AH27" s="13" t="e" vm="14">
        <f ca="1"/>
        <v>#VALUE!</v>
      </c>
      <c r="AI27" s="13" t="e">
        <f ca="1"/>
        <v>#VALUE!</v>
      </c>
      <c r="AK27" s="13">
        <f ca="1"/>
        <v>24</v>
      </c>
      <c r="AL27" s="13" t="str">
        <f ca="1"/>
        <v>Mark Duivesteijn</v>
      </c>
      <c r="AM27" s="13" t="e" vm="12">
        <f ca="1"/>
        <v>#VALUE!</v>
      </c>
      <c r="AN27" s="13" t="e">
        <f ca="1"/>
        <v>#VALUE!</v>
      </c>
      <c r="AP27" s="13">
        <f ca="1"/>
        <v>24</v>
      </c>
      <c r="AQ27" s="13" t="str">
        <f ca="1"/>
        <v>Julien Thomas</v>
      </c>
      <c r="AR27" s="13" t="e" vm="15">
        <f ca="1"/>
        <v>#VALUE!</v>
      </c>
      <c r="AS27" s="13" t="e">
        <f ca="1"/>
        <v>#VALUE!</v>
      </c>
      <c r="AU27" s="13">
        <f ca="1"/>
        <v>24</v>
      </c>
      <c r="AV27" s="13" t="str">
        <f ca="1"/>
        <v>Sophie Jarmouni</v>
      </c>
      <c r="AW27" s="13" t="e" vm="17">
        <f ca="1"/>
        <v>#VALUE!</v>
      </c>
      <c r="AX27" s="13" t="e">
        <f ca="1"/>
        <v>#VALUE!</v>
      </c>
      <c r="AZ27" s="13">
        <f ca="1"/>
        <v>24</v>
      </c>
      <c r="BA27" s="13" t="str">
        <f ca="1"/>
        <v>Franck Adam</v>
      </c>
      <c r="BB27" s="13" t="e" vm="15">
        <f ca="1"/>
        <v>#VALUE!</v>
      </c>
      <c r="BC27" s="13" t="e">
        <f ca="1"/>
        <v>#VALUE!</v>
      </c>
      <c r="BE27" s="13">
        <f ca="1"/>
        <v>24</v>
      </c>
      <c r="BF27" s="13" t="str">
        <f ca="1"/>
        <v>Patrick Wessels</v>
      </c>
      <c r="BG27" s="13" t="e" vm="12">
        <f ca="1"/>
        <v>#VALUE!</v>
      </c>
      <c r="BH27" s="13" t="e">
        <f ca="1"/>
        <v>#VALUE!</v>
      </c>
      <c r="BJ27" s="13">
        <f ca="1"/>
        <v>24</v>
      </c>
      <c r="BK27" s="13" t="str">
        <f ca="1"/>
        <v>Edwin Peeters</v>
      </c>
      <c r="BL27" s="13" t="e" vm="12">
        <f ca="1"/>
        <v>#VALUE!</v>
      </c>
      <c r="BM27" s="13" t="e">
        <f ca="1"/>
        <v>#VALUE!</v>
      </c>
      <c r="BO27" s="13">
        <f ca="1"/>
        <v>24</v>
      </c>
      <c r="BP27" s="13" t="str">
        <f ca="1"/>
        <v>Geoffrey Label</v>
      </c>
      <c r="BQ27" s="13" t="e" vm="15">
        <f ca="1"/>
        <v>#VALUE!</v>
      </c>
      <c r="BR27" s="13" t="e">
        <f ca="1"/>
        <v>#VALUE!</v>
      </c>
      <c r="BT27" s="13">
        <f ca="1"/>
        <v>24</v>
      </c>
      <c r="BU27" s="13" t="str">
        <f ca="1"/>
        <v>Mark Duivesteijn</v>
      </c>
      <c r="BV27" s="13" t="e" vm="12">
        <f ca="1"/>
        <v>#VALUE!</v>
      </c>
      <c r="BW27" s="13" t="e">
        <f ca="1"/>
        <v>#VALUE!</v>
      </c>
      <c r="BY27" s="13">
        <f ca="1"/>
        <v>24</v>
      </c>
      <c r="BZ27" s="13" t="str">
        <f ca="1"/>
        <v>Franck Adam</v>
      </c>
      <c r="CA27" s="13" t="e" vm="15">
        <f ca="1"/>
        <v>#VALUE!</v>
      </c>
      <c r="CB27" s="13" t="e">
        <f ca="1"/>
        <v>#VALUE!</v>
      </c>
      <c r="CD27" s="13">
        <f ca="1"/>
        <v>24</v>
      </c>
      <c r="CE27" s="13" t="str">
        <f ca="1"/>
        <v>Ashley Taylor</v>
      </c>
      <c r="CF27" s="13" t="e" vm="13">
        <f ca="1"/>
        <v>#VALUE!</v>
      </c>
      <c r="CG27" s="13" t="e">
        <f ca="1"/>
        <v>#VALUE!</v>
      </c>
      <c r="CI27" s="13">
        <f ca="1"/>
        <v>24</v>
      </c>
      <c r="CJ27" s="13" t="str">
        <f ca="1"/>
        <v>Sjors Rijsdam</v>
      </c>
      <c r="CK27" s="13" t="e" vm="12">
        <f ca="1"/>
        <v>#VALUE!</v>
      </c>
      <c r="CL27" s="13" t="e">
        <f ca="1"/>
        <v>#VALUE!</v>
      </c>
      <c r="CN27" s="13">
        <f ca="1"/>
        <v>24</v>
      </c>
      <c r="CO27" s="13" t="str">
        <f ca="1"/>
        <v>Martin Pfeiffer</v>
      </c>
      <c r="CP27" s="13" t="e" vm="15">
        <f ca="1"/>
        <v>#VALUE!</v>
      </c>
      <c r="CQ27" s="13" t="e">
        <f ca="1"/>
        <v>#VALUE!</v>
      </c>
      <c r="CS27" s="13">
        <f ca="1"/>
        <v>24</v>
      </c>
      <c r="CT27" s="13" t="str">
        <f ca="1"/>
        <v>Daniel Guemy</v>
      </c>
      <c r="CU27" s="13" t="e" vm="15">
        <f ca="1"/>
        <v>#VALUE!</v>
      </c>
      <c r="CV27" s="13" t="e">
        <f ca="1"/>
        <v>#VALUE!</v>
      </c>
    </row>
    <row r="28" spans="2:100">
      <c r="B28" s="13">
        <f ca="1"/>
        <v>25</v>
      </c>
      <c r="C28" s="13" t="str">
        <f ca="1"/>
        <v>Drew Blumfield</v>
      </c>
      <c r="D28" s="13" t="e" vm="14">
        <f ca="1"/>
        <v>#VALUE!</v>
      </c>
      <c r="E28" s="13" t="e">
        <f ca="1"/>
        <v>#VALUE!</v>
      </c>
      <c r="G28" s="13">
        <f ca="1"/>
        <v>25</v>
      </c>
      <c r="H28" s="13" t="str">
        <f ca="1"/>
        <v>Mark Duivesteijn</v>
      </c>
      <c r="I28" s="13" t="e" vm="12">
        <f ca="1"/>
        <v>#VALUE!</v>
      </c>
      <c r="J28" s="13" t="e">
        <f ca="1"/>
        <v>#VALUE!</v>
      </c>
      <c r="L28" s="13">
        <f ca="1"/>
        <v>25</v>
      </c>
      <c r="M28" s="13" t="str">
        <f ca="1"/>
        <v>Mike Hulscher</v>
      </c>
      <c r="N28" s="13" t="e" vm="12">
        <f ca="1"/>
        <v>#VALUE!</v>
      </c>
      <c r="O28" s="13" t="e">
        <f ca="1"/>
        <v>#VALUE!</v>
      </c>
      <c r="Q28" s="13">
        <f ca="1"/>
        <v>25</v>
      </c>
      <c r="R28" s="13" t="str">
        <f ca="1"/>
        <v>Etienne Girondel</v>
      </c>
      <c r="S28" s="13" t="e" vm="15">
        <f ca="1"/>
        <v>#VALUE!</v>
      </c>
      <c r="T28" s="13" t="e">
        <f ca="1"/>
        <v>#VALUE!</v>
      </c>
      <c r="V28" s="13">
        <f ca="1"/>
        <v>25</v>
      </c>
      <c r="W28" s="13" t="str">
        <f ca="1"/>
        <v>Thibault Terrasson</v>
      </c>
      <c r="X28" s="13" t="e" vm="15">
        <f ca="1"/>
        <v>#VALUE!</v>
      </c>
      <c r="Y28" s="13" t="e">
        <f ca="1"/>
        <v>#VALUE!</v>
      </c>
      <c r="AA28" s="13">
        <f ca="1"/>
        <v>25</v>
      </c>
      <c r="AB28" s="13" t="str">
        <f ca="1"/>
        <v>Djibril Aatif</v>
      </c>
      <c r="AC28" s="13" t="e" vm="15">
        <f ca="1"/>
        <v>#VALUE!</v>
      </c>
      <c r="AD28" s="13" t="e">
        <f ca="1"/>
        <v>#VALUE!</v>
      </c>
      <c r="AF28" s="13">
        <f ca="1"/>
        <v>25</v>
      </c>
      <c r="AG28" s="13" t="str">
        <f ca="1"/>
        <v>Baptiste Flavien</v>
      </c>
      <c r="AH28" s="13" t="e" vm="15">
        <f ca="1"/>
        <v>#VALUE!</v>
      </c>
      <c r="AI28" s="13" t="e">
        <f ca="1"/>
        <v>#VALUE!</v>
      </c>
      <c r="AK28" s="13">
        <f ca="1"/>
        <v>25</v>
      </c>
      <c r="AL28" s="13" t="str">
        <f ca="1"/>
        <v>Florian Chollet</v>
      </c>
      <c r="AM28" s="13" t="e" vm="15">
        <f ca="1"/>
        <v>#VALUE!</v>
      </c>
      <c r="AN28" s="13" t="e">
        <f ca="1"/>
        <v>#VALUE!</v>
      </c>
      <c r="AP28" s="13">
        <f ca="1"/>
        <v>25</v>
      </c>
      <c r="AQ28" s="13" t="str">
        <f ca="1"/>
        <v>Michael Sumner</v>
      </c>
      <c r="AR28" s="13" t="e" vm="18">
        <f ca="1"/>
        <v>#VALUE!</v>
      </c>
      <c r="AS28" s="13" t="e">
        <f ca="1"/>
        <v>#VALUE!</v>
      </c>
      <c r="AU28" s="13">
        <f ca="1"/>
        <v>25</v>
      </c>
      <c r="AV28" s="13" t="str">
        <f ca="1"/>
        <v>Daisuke Kashima</v>
      </c>
      <c r="AW28" s="13" t="e" vm="16">
        <f ca="1"/>
        <v>#VALUE!</v>
      </c>
      <c r="AX28" s="13" t="e">
        <f ca="1"/>
        <v>#VALUE!</v>
      </c>
      <c r="AZ28" s="13">
        <f ca="1"/>
        <v>25</v>
      </c>
      <c r="BA28" s="13" t="str">
        <f ca="1"/>
        <v>Michael Sumner</v>
      </c>
      <c r="BB28" s="13" t="e" vm="18">
        <f ca="1"/>
        <v>#VALUE!</v>
      </c>
      <c r="BC28" s="13" t="e">
        <f ca="1"/>
        <v>#VALUE!</v>
      </c>
      <c r="BE28" s="13">
        <f ca="1"/>
        <v>25</v>
      </c>
      <c r="BF28" s="13" t="str">
        <f ca="1"/>
        <v>Etienne Girondel</v>
      </c>
      <c r="BG28" s="13" t="e" vm="15">
        <f ca="1"/>
        <v>#VALUE!</v>
      </c>
      <c r="BH28" s="13" t="e">
        <f ca="1"/>
        <v>#VALUE!</v>
      </c>
      <c r="BJ28" s="13">
        <f ca="1"/>
        <v>25</v>
      </c>
      <c r="BK28" s="13" t="str">
        <f ca="1"/>
        <v>Julien Thomas</v>
      </c>
      <c r="BL28" s="13" t="e" vm="15">
        <f ca="1"/>
        <v>#VALUE!</v>
      </c>
      <c r="BM28" s="13" t="e">
        <f ca="1"/>
        <v>#VALUE!</v>
      </c>
      <c r="BO28" s="13">
        <f ca="1"/>
        <v>25</v>
      </c>
      <c r="BP28" s="13" t="str">
        <f ca="1"/>
        <v>Martin Pfeiffer</v>
      </c>
      <c r="BQ28" s="13" t="e" vm="15">
        <f ca="1"/>
        <v>#VALUE!</v>
      </c>
      <c r="BR28" s="13" t="e">
        <f ca="1"/>
        <v>#VALUE!</v>
      </c>
      <c r="BT28" s="13">
        <f ca="1"/>
        <v>25</v>
      </c>
      <c r="BU28" s="13" t="str">
        <f ca="1"/>
        <v>Djibril Aatif</v>
      </c>
      <c r="BV28" s="13" t="e" vm="15">
        <f ca="1"/>
        <v>#VALUE!</v>
      </c>
      <c r="BW28" s="13" t="e">
        <f ca="1"/>
        <v>#VALUE!</v>
      </c>
      <c r="BY28" s="13">
        <f ca="1"/>
        <v>25</v>
      </c>
      <c r="BZ28" s="13" t="str">
        <f ca="1"/>
        <v>Jeremy Edline</v>
      </c>
      <c r="CA28" s="13" t="e" vm="15">
        <f ca="1"/>
        <v>#VALUE!</v>
      </c>
      <c r="CB28" s="13" t="e">
        <f ca="1"/>
        <v>#VALUE!</v>
      </c>
      <c r="CD28" s="13">
        <f ca="1"/>
        <v>25</v>
      </c>
      <c r="CE28" s="13" t="str">
        <f ca="1"/>
        <v>Florian Chollet</v>
      </c>
      <c r="CF28" s="13" t="e" vm="15">
        <f ca="1"/>
        <v>#VALUE!</v>
      </c>
      <c r="CG28" s="13" t="e">
        <f ca="1"/>
        <v>#VALUE!</v>
      </c>
      <c r="CI28" s="13">
        <f ca="1"/>
        <v>25</v>
      </c>
      <c r="CJ28" s="13" t="str">
        <f ca="1"/>
        <v>Thibault Terrasson</v>
      </c>
      <c r="CK28" s="13" t="e" vm="15">
        <f ca="1"/>
        <v>#VALUE!</v>
      </c>
      <c r="CL28" s="13" t="e">
        <f ca="1"/>
        <v>#VALUE!</v>
      </c>
      <c r="CN28" s="13">
        <f ca="1"/>
        <v>25</v>
      </c>
      <c r="CO28" s="13" t="str">
        <f ca="1"/>
        <v>Drew Blumfield</v>
      </c>
      <c r="CP28" s="13" t="e" vm="14">
        <f ca="1"/>
        <v>#VALUE!</v>
      </c>
      <c r="CQ28" s="13" t="e">
        <f ca="1"/>
        <v>#VALUE!</v>
      </c>
      <c r="CS28" s="13">
        <f ca="1"/>
        <v>25</v>
      </c>
      <c r="CT28" s="13" t="str">
        <f ca="1"/>
        <v>Daisuke Kashima</v>
      </c>
      <c r="CU28" s="13" t="e" vm="16">
        <f ca="1"/>
        <v>#VALUE!</v>
      </c>
      <c r="CV28" s="13" t="e">
        <f ca="1"/>
        <v>#VALUE!</v>
      </c>
    </row>
    <row r="29" spans="2:100">
      <c r="B29" s="13">
        <f ca="1"/>
        <v>26</v>
      </c>
      <c r="C29" s="13" t="str">
        <f ca="1"/>
        <v>Daisuke Kashima</v>
      </c>
      <c r="D29" s="13" t="e" vm="16">
        <f ca="1"/>
        <v>#VALUE!</v>
      </c>
      <c r="E29" s="13" t="e">
        <f ca="1"/>
        <v>#VALUE!</v>
      </c>
      <c r="G29" s="13">
        <f ca="1"/>
        <v>26</v>
      </c>
      <c r="H29" s="13" t="str">
        <f ca="1"/>
        <v>Edwin Peeters</v>
      </c>
      <c r="I29" s="13" t="e" vm="12">
        <f ca="1"/>
        <v>#VALUE!</v>
      </c>
      <c r="J29" s="13" t="e">
        <f ca="1"/>
        <v>#VALUE!</v>
      </c>
      <c r="L29" s="13">
        <f ca="1"/>
        <v>26</v>
      </c>
      <c r="M29" s="13" t="str">
        <f ca="1"/>
        <v>Michael Sumner</v>
      </c>
      <c r="N29" s="13" t="e" vm="18">
        <f ca="1"/>
        <v>#VALUE!</v>
      </c>
      <c r="O29" s="13" t="e">
        <f ca="1"/>
        <v>#VALUE!</v>
      </c>
      <c r="Q29" s="13">
        <f ca="1"/>
        <v>26</v>
      </c>
      <c r="R29" s="13" t="str">
        <f ca="1"/>
        <v>Patrick Wessels</v>
      </c>
      <c r="S29" s="13" t="e" vm="12">
        <f ca="1"/>
        <v>#VALUE!</v>
      </c>
      <c r="T29" s="13" t="e">
        <f ca="1"/>
        <v>#VALUE!</v>
      </c>
      <c r="V29" s="13">
        <f ca="1"/>
        <v>26</v>
      </c>
      <c r="W29" s="13" t="str">
        <f ca="1"/>
        <v>Ashley Taylor</v>
      </c>
      <c r="X29" s="13" t="e" vm="13">
        <f ca="1"/>
        <v>#VALUE!</v>
      </c>
      <c r="Y29" s="13" t="e">
        <f ca="1"/>
        <v>#VALUE!</v>
      </c>
      <c r="AA29" s="13">
        <f ca="1"/>
        <v>26</v>
      </c>
      <c r="AB29" s="13" t="str">
        <f ca="1"/>
        <v>Jeremy Edline</v>
      </c>
      <c r="AC29" s="13" t="e" vm="15">
        <f ca="1"/>
        <v>#VALUE!</v>
      </c>
      <c r="AD29" s="13" t="e">
        <f ca="1"/>
        <v>#VALUE!</v>
      </c>
      <c r="AF29" s="13">
        <f ca="1"/>
        <v>26</v>
      </c>
      <c r="AG29" s="13" t="str">
        <f ca="1"/>
        <v>Etienne Girondel</v>
      </c>
      <c r="AH29" s="13" t="e" vm="15">
        <f ca="1"/>
        <v>#VALUE!</v>
      </c>
      <c r="AI29" s="13" t="e">
        <f ca="1"/>
        <v>#VALUE!</v>
      </c>
      <c r="AK29" s="13">
        <f ca="1"/>
        <v>26</v>
      </c>
      <c r="AL29" s="13" t="str">
        <f ca="1"/>
        <v>Edwin Peeters</v>
      </c>
      <c r="AM29" s="13" t="e" vm="12">
        <f ca="1"/>
        <v>#VALUE!</v>
      </c>
      <c r="AN29" s="13" t="e">
        <f ca="1"/>
        <v>#VALUE!</v>
      </c>
      <c r="AP29" s="13">
        <f ca="1"/>
        <v>26</v>
      </c>
      <c r="AQ29" s="13" t="str">
        <f ca="1"/>
        <v>Mark Duivesteijn</v>
      </c>
      <c r="AR29" s="13" t="e" vm="12">
        <f ca="1"/>
        <v>#VALUE!</v>
      </c>
      <c r="AS29" s="13" t="e">
        <f ca="1"/>
        <v>#VALUE!</v>
      </c>
      <c r="AU29" s="13">
        <f ca="1"/>
        <v>26</v>
      </c>
      <c r="AV29" s="13" t="str">
        <f ca="1"/>
        <v>Martin Pfeiffer</v>
      </c>
      <c r="AW29" s="13" t="e" vm="15">
        <f ca="1"/>
        <v>#VALUE!</v>
      </c>
      <c r="AX29" s="13" t="e">
        <f ca="1"/>
        <v>#VALUE!</v>
      </c>
      <c r="AZ29" s="13">
        <f ca="1"/>
        <v>26</v>
      </c>
      <c r="BA29" s="13" t="str">
        <f ca="1"/>
        <v>Thibault Terrasson</v>
      </c>
      <c r="BB29" s="13" t="e" vm="15">
        <f ca="1"/>
        <v>#VALUE!</v>
      </c>
      <c r="BC29" s="13" t="e">
        <f ca="1"/>
        <v>#VALUE!</v>
      </c>
      <c r="BE29" s="13">
        <f ca="1"/>
        <v>26</v>
      </c>
      <c r="BF29" s="13" t="str">
        <f ca="1"/>
        <v>Daniel Guemy</v>
      </c>
      <c r="BG29" s="13" t="e" vm="15">
        <f ca="1"/>
        <v>#VALUE!</v>
      </c>
      <c r="BH29" s="13" t="e">
        <f ca="1"/>
        <v>#VALUE!</v>
      </c>
      <c r="BJ29" s="13">
        <f ca="1"/>
        <v>26</v>
      </c>
      <c r="BK29" s="13" t="str">
        <f ca="1"/>
        <v>Michael Sumner</v>
      </c>
      <c r="BL29" s="13" t="e" vm="18">
        <f ca="1"/>
        <v>#VALUE!</v>
      </c>
      <c r="BM29" s="13" t="e">
        <f ca="1"/>
        <v>#VALUE!</v>
      </c>
      <c r="BO29" s="13">
        <f ca="1"/>
        <v>26</v>
      </c>
      <c r="BP29" s="13" t="str">
        <f ca="1"/>
        <v>Mark Duivesteijn</v>
      </c>
      <c r="BQ29" s="13" t="e" vm="12">
        <f ca="1"/>
        <v>#VALUE!</v>
      </c>
      <c r="BR29" s="13" t="e">
        <f ca="1"/>
        <v>#VALUE!</v>
      </c>
      <c r="BT29" s="13">
        <f ca="1"/>
        <v>26</v>
      </c>
      <c r="BU29" s="13" t="str">
        <f ca="1"/>
        <v>Chris Clark</v>
      </c>
      <c r="BV29" s="13" t="e" vm="13">
        <f ca="1"/>
        <v>#VALUE!</v>
      </c>
      <c r="BW29" s="13" t="e">
        <f ca="1"/>
        <v>#VALUE!</v>
      </c>
      <c r="BY29" s="13">
        <f ca="1"/>
        <v>26</v>
      </c>
      <c r="BZ29" s="13" t="str">
        <f ca="1"/>
        <v>Patrick Wessels</v>
      </c>
      <c r="CA29" s="13" t="e" vm="12">
        <f ca="1"/>
        <v>#VALUE!</v>
      </c>
      <c r="CB29" s="13" t="e">
        <f ca="1"/>
        <v>#VALUE!</v>
      </c>
      <c r="CD29" s="13">
        <f ca="1"/>
        <v>26</v>
      </c>
      <c r="CE29" s="13" t="str">
        <f ca="1"/>
        <v>Mark Duivesteijn</v>
      </c>
      <c r="CF29" s="13" t="e" vm="12">
        <f ca="1"/>
        <v>#VALUE!</v>
      </c>
      <c r="CG29" s="13" t="e">
        <f ca="1"/>
        <v>#VALUE!</v>
      </c>
      <c r="CI29" s="13">
        <f ca="1"/>
        <v>26</v>
      </c>
      <c r="CJ29" s="13" t="str">
        <f ca="1"/>
        <v>Baptiste Flavien</v>
      </c>
      <c r="CK29" s="13" t="e" vm="15">
        <f ca="1"/>
        <v>#VALUE!</v>
      </c>
      <c r="CL29" s="13" t="e">
        <f ca="1"/>
        <v>#VALUE!</v>
      </c>
      <c r="CN29" s="13">
        <f ca="1"/>
        <v>26</v>
      </c>
      <c r="CO29" s="13" t="str">
        <f ca="1"/>
        <v>Edwin Peeters</v>
      </c>
      <c r="CP29" s="13" t="e" vm="12">
        <f ca="1"/>
        <v>#VALUE!</v>
      </c>
      <c r="CQ29" s="13" t="e">
        <f ca="1"/>
        <v>#VALUE!</v>
      </c>
      <c r="CS29" s="13">
        <f ca="1"/>
        <v>26</v>
      </c>
      <c r="CT29" s="13" t="str">
        <f ca="1"/>
        <v>Franck Adam</v>
      </c>
      <c r="CU29" s="13" t="e" vm="15">
        <f ca="1"/>
        <v>#VALUE!</v>
      </c>
      <c r="CV29" s="13" t="e">
        <f ca="1"/>
        <v>#VALUE!</v>
      </c>
    </row>
    <row r="30" spans="2:100">
      <c r="B30" s="13">
        <f ca="1"/>
        <v>27</v>
      </c>
      <c r="C30" s="13" t="str">
        <f ca="1"/>
        <v>Florian Chollet</v>
      </c>
      <c r="D30" s="13" t="e" vm="15">
        <f ca="1"/>
        <v>#VALUE!</v>
      </c>
      <c r="E30" s="13" t="e">
        <f ca="1"/>
        <v>#VALUE!</v>
      </c>
      <c r="G30" s="13">
        <f ca="1"/>
        <v>27</v>
      </c>
      <c r="H30" s="13" t="str">
        <f ca="1"/>
        <v>Etienne Girondel</v>
      </c>
      <c r="I30" s="13" t="e" vm="15">
        <f ca="1"/>
        <v>#VALUE!</v>
      </c>
      <c r="J30" s="13" t="e">
        <f ca="1"/>
        <v>#VALUE!</v>
      </c>
      <c r="L30" s="13">
        <f ca="1"/>
        <v>27</v>
      </c>
      <c r="M30" s="13" t="str">
        <f ca="1"/>
        <v>Ashley Taylor</v>
      </c>
      <c r="N30" s="13" t="e" vm="13">
        <f ca="1"/>
        <v>#VALUE!</v>
      </c>
      <c r="O30" s="13" t="e">
        <f ca="1"/>
        <v>#VALUE!</v>
      </c>
      <c r="Q30" s="13">
        <f ca="1"/>
        <v>27</v>
      </c>
      <c r="R30" s="13" t="str">
        <f ca="1"/>
        <v>Martin Pfeiffer</v>
      </c>
      <c r="S30" s="13" t="e" vm="15">
        <f ca="1"/>
        <v>#VALUE!</v>
      </c>
      <c r="T30" s="13" t="e">
        <f ca="1"/>
        <v>#VALUE!</v>
      </c>
      <c r="V30" s="13">
        <f ca="1"/>
        <v>27</v>
      </c>
      <c r="W30" s="13" t="str">
        <f ca="1"/>
        <v>Samuel Gomez</v>
      </c>
      <c r="X30" s="13" t="e" vm="19">
        <f ca="1"/>
        <v>#VALUE!</v>
      </c>
      <c r="Y30" s="13" t="e">
        <f ca="1"/>
        <v>#VALUE!</v>
      </c>
      <c r="AA30" s="13">
        <f ca="1"/>
        <v>27</v>
      </c>
      <c r="AB30" s="13" t="str">
        <f ca="1"/>
        <v>Daniel Guemy</v>
      </c>
      <c r="AC30" s="13" t="e" vm="15">
        <f ca="1"/>
        <v>#VALUE!</v>
      </c>
      <c r="AD30" s="13" t="e">
        <f ca="1"/>
        <v>#VALUE!</v>
      </c>
      <c r="AF30" s="13">
        <f ca="1"/>
        <v>27</v>
      </c>
      <c r="AG30" s="13" t="str">
        <f ca="1"/>
        <v>Franck Adam</v>
      </c>
      <c r="AH30" s="13" t="e" vm="15">
        <f ca="1"/>
        <v>#VALUE!</v>
      </c>
      <c r="AI30" s="13" t="e">
        <f ca="1"/>
        <v>#VALUE!</v>
      </c>
      <c r="AK30" s="13">
        <f ca="1"/>
        <v>27</v>
      </c>
      <c r="AL30" s="13" t="str">
        <f ca="1"/>
        <v>Michael Sumner</v>
      </c>
      <c r="AM30" s="13" t="e" vm="18">
        <f ca="1"/>
        <v>#VALUE!</v>
      </c>
      <c r="AN30" s="13" t="e">
        <f ca="1"/>
        <v>#VALUE!</v>
      </c>
      <c r="AP30" s="13">
        <f ca="1"/>
        <v>27</v>
      </c>
      <c r="AQ30" s="13" t="str">
        <f ca="1"/>
        <v>Sjors Rijsdam</v>
      </c>
      <c r="AR30" s="13" t="e" vm="12">
        <f ca="1"/>
        <v>#VALUE!</v>
      </c>
      <c r="AS30" s="13" t="e">
        <f ca="1"/>
        <v>#VALUE!</v>
      </c>
      <c r="AU30" s="13">
        <f ca="1"/>
        <v>27</v>
      </c>
      <c r="AV30" s="13" t="str">
        <f ca="1"/>
        <v>Mark Duivesteijn</v>
      </c>
      <c r="AW30" s="13" t="e" vm="12">
        <f ca="1"/>
        <v>#VALUE!</v>
      </c>
      <c r="AX30" s="13" t="e">
        <f ca="1"/>
        <v>#VALUE!</v>
      </c>
      <c r="AZ30" s="13">
        <f ca="1"/>
        <v>27</v>
      </c>
      <c r="BA30" s="13" t="str">
        <f ca="1"/>
        <v>Patrick Wessels</v>
      </c>
      <c r="BB30" s="13" t="e" vm="12">
        <f ca="1"/>
        <v>#VALUE!</v>
      </c>
      <c r="BC30" s="13" t="e">
        <f ca="1"/>
        <v>#VALUE!</v>
      </c>
      <c r="BE30" s="13">
        <f ca="1"/>
        <v>27</v>
      </c>
      <c r="BF30" s="13" t="str">
        <f ca="1"/>
        <v>Etienne Dutet</v>
      </c>
      <c r="BG30" s="13" t="e" vm="15">
        <f ca="1"/>
        <v>#VALUE!</v>
      </c>
      <c r="BH30" s="13" t="e">
        <f ca="1"/>
        <v>#VALUE!</v>
      </c>
      <c r="BJ30" s="13">
        <f ca="1"/>
        <v>27</v>
      </c>
      <c r="BK30" s="13" t="str">
        <f ca="1"/>
        <v>Daniel Guemy</v>
      </c>
      <c r="BL30" s="13" t="e" vm="15">
        <f ca="1"/>
        <v>#VALUE!</v>
      </c>
      <c r="BM30" s="13" t="e">
        <f ca="1"/>
        <v>#VALUE!</v>
      </c>
      <c r="BO30" s="13">
        <f ca="1"/>
        <v>27</v>
      </c>
      <c r="BP30" s="13" t="str">
        <f ca="1"/>
        <v>Edwin Peeters</v>
      </c>
      <c r="BQ30" s="13" t="e" vm="12">
        <f ca="1"/>
        <v>#VALUE!</v>
      </c>
      <c r="BR30" s="13" t="e">
        <f ca="1"/>
        <v>#VALUE!</v>
      </c>
      <c r="BT30" s="13">
        <f ca="1"/>
        <v>27</v>
      </c>
      <c r="BU30" s="13" t="str">
        <f ca="1"/>
        <v>Etienne Dutet</v>
      </c>
      <c r="BV30" s="13" t="e" vm="15">
        <f ca="1"/>
        <v>#VALUE!</v>
      </c>
      <c r="BW30" s="13" t="e">
        <f ca="1"/>
        <v>#VALUE!</v>
      </c>
      <c r="BY30" s="13">
        <f ca="1"/>
        <v>27</v>
      </c>
      <c r="BZ30" s="13" t="str">
        <f ca="1"/>
        <v>Thibault Terrasson</v>
      </c>
      <c r="CA30" s="13" t="e" vm="15">
        <f ca="1"/>
        <v>#VALUE!</v>
      </c>
      <c r="CB30" s="13" t="e">
        <f ca="1"/>
        <v>#VALUE!</v>
      </c>
      <c r="CD30" s="13">
        <f ca="1"/>
        <v>27</v>
      </c>
      <c r="CE30" s="13" t="str">
        <f ca="1"/>
        <v>Edwin Peeters</v>
      </c>
      <c r="CF30" s="13" t="e" vm="12">
        <f ca="1"/>
        <v>#VALUE!</v>
      </c>
      <c r="CG30" s="13" t="e">
        <f ca="1"/>
        <v>#VALUE!</v>
      </c>
      <c r="CI30" s="13">
        <f ca="1"/>
        <v>27</v>
      </c>
      <c r="CJ30" s="13" t="str">
        <f ca="1"/>
        <v>Ashley Taylor</v>
      </c>
      <c r="CK30" s="13" t="e" vm="13">
        <f ca="1"/>
        <v>#VALUE!</v>
      </c>
      <c r="CL30" s="13" t="e">
        <f ca="1"/>
        <v>#VALUE!</v>
      </c>
      <c r="CN30" s="13">
        <f ca="1"/>
        <v>27</v>
      </c>
      <c r="CO30" s="13" t="str">
        <f ca="1"/>
        <v>Mark Duivesteijn</v>
      </c>
      <c r="CP30" s="13" t="e" vm="12">
        <f ca="1"/>
        <v>#VALUE!</v>
      </c>
      <c r="CQ30" s="13" t="e">
        <f ca="1"/>
        <v>#VALUE!</v>
      </c>
      <c r="CS30" s="13">
        <f ca="1"/>
        <v>27</v>
      </c>
      <c r="CT30" s="13" t="str">
        <f ca="1"/>
        <v>Etienne Girondel</v>
      </c>
      <c r="CU30" s="13" t="e" vm="15">
        <f ca="1"/>
        <v>#VALUE!</v>
      </c>
      <c r="CV30" s="13" t="e">
        <f ca="1"/>
        <v>#VALUE!</v>
      </c>
    </row>
    <row r="31" spans="2:100">
      <c r="B31" s="13">
        <f ca="1"/>
        <v>28</v>
      </c>
      <c r="C31" s="13" t="str">
        <f ca="1"/>
        <v>Baptiste Flavien</v>
      </c>
      <c r="D31" s="13" t="e" vm="15">
        <f ca="1"/>
        <v>#VALUE!</v>
      </c>
      <c r="E31" s="13" t="e">
        <f ca="1"/>
        <v>#VALUE!</v>
      </c>
      <c r="G31" s="13">
        <f ca="1"/>
        <v>28</v>
      </c>
      <c r="H31" s="13" t="str">
        <f ca="1"/>
        <v>Samuel Gomez</v>
      </c>
      <c r="I31" s="13" t="e" vm="19">
        <f ca="1"/>
        <v>#VALUE!</v>
      </c>
      <c r="J31" s="13" t="e">
        <f ca="1"/>
        <v>#VALUE!</v>
      </c>
      <c r="L31" s="13">
        <f ca="1"/>
        <v>28</v>
      </c>
      <c r="M31" s="13" t="str">
        <f ca="1"/>
        <v>Mark Duivesteijn</v>
      </c>
      <c r="N31" s="13" t="e" vm="12">
        <f ca="1"/>
        <v>#VALUE!</v>
      </c>
      <c r="O31" s="13" t="e">
        <f ca="1"/>
        <v>#VALUE!</v>
      </c>
      <c r="Q31" s="13">
        <f ca="1"/>
        <v>28</v>
      </c>
      <c r="R31" s="13" t="str">
        <f ca="1"/>
        <v>Marine Camus</v>
      </c>
      <c r="S31" s="13" t="e" vm="15">
        <f ca="1"/>
        <v>#VALUE!</v>
      </c>
      <c r="T31" s="13" t="e">
        <f ca="1"/>
        <v>#VALUE!</v>
      </c>
      <c r="V31" s="13">
        <f ca="1"/>
        <v>28</v>
      </c>
      <c r="W31" s="13" t="str">
        <f ca="1"/>
        <v>Etienne Dutet</v>
      </c>
      <c r="X31" s="13" t="e" vm="15">
        <f ca="1"/>
        <v>#VALUE!</v>
      </c>
      <c r="Y31" s="13" t="e">
        <f ca="1"/>
        <v>#VALUE!</v>
      </c>
      <c r="AA31" s="13">
        <f ca="1"/>
        <v>28</v>
      </c>
      <c r="AB31" s="13" t="str">
        <f ca="1"/>
        <v>Martin Pfeiffer</v>
      </c>
      <c r="AC31" s="13" t="e" vm="15">
        <f ca="1"/>
        <v>#VALUE!</v>
      </c>
      <c r="AD31" s="13" t="e">
        <f ca="1"/>
        <v>#VALUE!</v>
      </c>
      <c r="AF31" s="13">
        <f ca="1"/>
        <v>28</v>
      </c>
      <c r="AG31" s="13" t="str">
        <f ca="1"/>
        <v>Daniel Guemy</v>
      </c>
      <c r="AH31" s="13" t="e" vm="15">
        <f ca="1"/>
        <v>#VALUE!</v>
      </c>
      <c r="AI31" s="13" t="e">
        <f ca="1"/>
        <v>#VALUE!</v>
      </c>
      <c r="AK31" s="13">
        <f ca="1"/>
        <v>28</v>
      </c>
      <c r="AL31" s="13" t="str">
        <f ca="1"/>
        <v>Martin Pfeiffer</v>
      </c>
      <c r="AM31" s="13" t="e" vm="15">
        <f ca="1"/>
        <v>#VALUE!</v>
      </c>
      <c r="AN31" s="13" t="e">
        <f ca="1"/>
        <v>#VALUE!</v>
      </c>
      <c r="AP31" s="13">
        <f ca="1"/>
        <v>28</v>
      </c>
      <c r="AQ31" s="13" t="str">
        <f ca="1"/>
        <v>Martin Pfeiffer</v>
      </c>
      <c r="AR31" s="13" t="e" vm="15">
        <f ca="1"/>
        <v>#VALUE!</v>
      </c>
      <c r="AS31" s="13" t="e">
        <f ca="1"/>
        <v>#VALUE!</v>
      </c>
      <c r="AU31" s="13">
        <f ca="1"/>
        <v>28</v>
      </c>
      <c r="AV31" s="13" t="str">
        <f ca="1"/>
        <v>Chris Clark</v>
      </c>
      <c r="AW31" s="13" t="e" vm="13">
        <f ca="1"/>
        <v>#VALUE!</v>
      </c>
      <c r="AX31" s="13" t="e">
        <f ca="1"/>
        <v>#VALUE!</v>
      </c>
      <c r="AZ31" s="13">
        <f ca="1"/>
        <v>28</v>
      </c>
      <c r="BA31" s="13" t="str">
        <f ca="1"/>
        <v>Julien Thomas</v>
      </c>
      <c r="BB31" s="13" t="e" vm="15">
        <f ca="1"/>
        <v>#VALUE!</v>
      </c>
      <c r="BC31" s="13" t="e">
        <f ca="1"/>
        <v>#VALUE!</v>
      </c>
      <c r="BE31" s="13">
        <f ca="1"/>
        <v>28</v>
      </c>
      <c r="BF31" s="13" t="str">
        <f ca="1"/>
        <v>Guilhem Zerathe</v>
      </c>
      <c r="BG31" s="13" t="e" vm="15">
        <f ca="1"/>
        <v>#VALUE!</v>
      </c>
      <c r="BH31" s="13" t="e">
        <f ca="1"/>
        <v>#VALUE!</v>
      </c>
      <c r="BJ31" s="13">
        <f ca="1"/>
        <v>28</v>
      </c>
      <c r="BK31" s="13" t="str">
        <f ca="1"/>
        <v>Djibril Aatif</v>
      </c>
      <c r="BL31" s="13" t="e" vm="15">
        <f ca="1"/>
        <v>#VALUE!</v>
      </c>
      <c r="BM31" s="13" t="e">
        <f ca="1"/>
        <v>#VALUE!</v>
      </c>
      <c r="BO31" s="13">
        <f ca="1"/>
        <v>28</v>
      </c>
      <c r="BP31" s="13" t="str">
        <f ca="1"/>
        <v>Jeremy Edline</v>
      </c>
      <c r="BQ31" s="13" t="e" vm="15">
        <f ca="1"/>
        <v>#VALUE!</v>
      </c>
      <c r="BR31" s="13" t="e">
        <f ca="1"/>
        <v>#VALUE!</v>
      </c>
      <c r="BT31" s="13">
        <f ca="1"/>
        <v>28</v>
      </c>
      <c r="BU31" s="13" t="str">
        <f ca="1"/>
        <v>Edwin Peeters</v>
      </c>
      <c r="BV31" s="13" t="e" vm="12">
        <f ca="1"/>
        <v>#VALUE!</v>
      </c>
      <c r="BW31" s="13" t="e">
        <f ca="1"/>
        <v>#VALUE!</v>
      </c>
      <c r="BY31" s="13">
        <f ca="1"/>
        <v>28</v>
      </c>
      <c r="BZ31" s="13" t="str">
        <f ca="1"/>
        <v>Etienne Dutet</v>
      </c>
      <c r="CA31" s="13" t="e" vm="15">
        <f ca="1"/>
        <v>#VALUE!</v>
      </c>
      <c r="CB31" s="13" t="e">
        <f ca="1"/>
        <v>#VALUE!</v>
      </c>
      <c r="CD31" s="13">
        <f ca="1"/>
        <v>28</v>
      </c>
      <c r="CE31" s="13" t="str">
        <f ca="1"/>
        <v>Djibril Aatif</v>
      </c>
      <c r="CF31" s="13" t="e" vm="15">
        <f ca="1"/>
        <v>#VALUE!</v>
      </c>
      <c r="CG31" s="13" t="e">
        <f ca="1"/>
        <v>#VALUE!</v>
      </c>
      <c r="CI31" s="13">
        <f ca="1"/>
        <v>28</v>
      </c>
      <c r="CJ31" s="13" t="str">
        <f ca="1"/>
        <v>Jeremy Edline</v>
      </c>
      <c r="CK31" s="13" t="e" vm="15">
        <f ca="1"/>
        <v>#VALUE!</v>
      </c>
      <c r="CL31" s="13" t="e">
        <f ca="1"/>
        <v>#VALUE!</v>
      </c>
      <c r="CN31" s="13">
        <f ca="1"/>
        <v>28</v>
      </c>
      <c r="CO31" s="13" t="str">
        <f ca="1"/>
        <v>Thomas Graf</v>
      </c>
      <c r="CP31" s="13" t="e" vm="15">
        <f ca="1"/>
        <v>#VALUE!</v>
      </c>
      <c r="CQ31" s="13" t="e">
        <f ca="1"/>
        <v>#VALUE!</v>
      </c>
      <c r="CS31" s="13">
        <f ca="1"/>
        <v>28</v>
      </c>
      <c r="CT31" s="13" t="str">
        <f ca="1"/>
        <v>Sophie Jarmouni</v>
      </c>
      <c r="CU31" s="13" t="e" vm="17">
        <f ca="1"/>
        <v>#VALUE!</v>
      </c>
      <c r="CV31" s="13" t="e">
        <f ca="1"/>
        <v>#VALUE!</v>
      </c>
    </row>
    <row r="32" spans="2:100">
      <c r="B32" s="13">
        <f ca="1"/>
        <v>29</v>
      </c>
      <c r="C32" s="13" t="str">
        <f ca="1"/>
        <v>Edwin Peeters</v>
      </c>
      <c r="D32" s="13" t="e" vm="12">
        <f ca="1"/>
        <v>#VALUE!</v>
      </c>
      <c r="E32" s="13" t="e">
        <f ca="1"/>
        <v>#VALUE!</v>
      </c>
      <c r="G32" s="13">
        <f ca="1"/>
        <v>29</v>
      </c>
      <c r="H32" s="13" t="str">
        <f ca="1"/>
        <v>Patrick Wessels</v>
      </c>
      <c r="I32" s="13" t="e" vm="12">
        <f ca="1"/>
        <v>#VALUE!</v>
      </c>
      <c r="J32" s="13" t="e">
        <f ca="1"/>
        <v>#VALUE!</v>
      </c>
      <c r="L32" s="13">
        <f ca="1"/>
        <v>29</v>
      </c>
      <c r="M32" s="13" t="str">
        <f ca="1"/>
        <v>Takashi Ogasawara</v>
      </c>
      <c r="N32" s="13" t="e" vm="16">
        <f ca="1"/>
        <v>#VALUE!</v>
      </c>
      <c r="O32" s="13" t="e">
        <f ca="1"/>
        <v>#VALUE!</v>
      </c>
      <c r="Q32" s="13">
        <f ca="1"/>
        <v>29</v>
      </c>
      <c r="R32" s="13" t="str">
        <f ca="1"/>
        <v>Etienne Dutet</v>
      </c>
      <c r="S32" s="13" t="e" vm="15">
        <f ca="1"/>
        <v>#VALUE!</v>
      </c>
      <c r="T32" s="13" t="e">
        <f ca="1"/>
        <v>#VALUE!</v>
      </c>
      <c r="V32" s="13">
        <f ca="1"/>
        <v>29</v>
      </c>
      <c r="W32" s="13" t="str">
        <f ca="1"/>
        <v>Martin Pfeiffer</v>
      </c>
      <c r="X32" s="13" t="e" vm="15">
        <f ca="1"/>
        <v>#VALUE!</v>
      </c>
      <c r="Y32" s="13" t="e">
        <f ca="1"/>
        <v>#VALUE!</v>
      </c>
      <c r="AA32" s="13">
        <f ca="1"/>
        <v>29</v>
      </c>
      <c r="AB32" s="13" t="str">
        <f ca="1"/>
        <v>Thomas Graf</v>
      </c>
      <c r="AC32" s="13" t="e" vm="15">
        <f ca="1"/>
        <v>#VALUE!</v>
      </c>
      <c r="AD32" s="13" t="e">
        <f ca="1"/>
        <v>#VALUE!</v>
      </c>
      <c r="AF32" s="13">
        <f ca="1"/>
        <v>29</v>
      </c>
      <c r="AG32" s="13" t="str">
        <f ca="1"/>
        <v>Djibril Aatif</v>
      </c>
      <c r="AH32" s="13" t="e" vm="15">
        <f ca="1"/>
        <v>#VALUE!</v>
      </c>
      <c r="AI32" s="13" t="e">
        <f ca="1"/>
        <v>#VALUE!</v>
      </c>
      <c r="AK32" s="13">
        <f ca="1"/>
        <v>29</v>
      </c>
      <c r="AL32" s="13" t="str">
        <f ca="1"/>
        <v>Jeremy Edline</v>
      </c>
      <c r="AM32" s="13" t="e" vm="15">
        <f ca="1"/>
        <v>#VALUE!</v>
      </c>
      <c r="AN32" s="13" t="e">
        <f ca="1"/>
        <v>#VALUE!</v>
      </c>
      <c r="AP32" s="13">
        <f ca="1"/>
        <v>29</v>
      </c>
      <c r="AQ32" s="13" t="str">
        <f ca="1"/>
        <v>Daniel Guemy</v>
      </c>
      <c r="AR32" s="13" t="e" vm="15">
        <f ca="1"/>
        <v>#VALUE!</v>
      </c>
      <c r="AS32" s="13" t="e">
        <f ca="1"/>
        <v>#VALUE!</v>
      </c>
      <c r="AU32" s="13">
        <f ca="1"/>
        <v>29</v>
      </c>
      <c r="AV32" s="13" t="str">
        <f ca="1"/>
        <v>Edwin Peeters</v>
      </c>
      <c r="AW32" s="13" t="e" vm="12">
        <f ca="1"/>
        <v>#VALUE!</v>
      </c>
      <c r="AX32" s="13" t="e">
        <f ca="1"/>
        <v>#VALUE!</v>
      </c>
      <c r="AZ32" s="13">
        <f ca="1"/>
        <v>29</v>
      </c>
      <c r="BA32" s="13" t="str">
        <f ca="1"/>
        <v>Etienne Dutet</v>
      </c>
      <c r="BB32" s="13" t="e" vm="15">
        <f ca="1"/>
        <v>#VALUE!</v>
      </c>
      <c r="BC32" s="13" t="e">
        <f ca="1"/>
        <v>#VALUE!</v>
      </c>
      <c r="BE32" s="13">
        <f ca="1"/>
        <v>29</v>
      </c>
      <c r="BF32" s="13" t="str">
        <f ca="1"/>
        <v>Djibril Aatif</v>
      </c>
      <c r="BG32" s="13" t="e" vm="15">
        <f ca="1"/>
        <v>#VALUE!</v>
      </c>
      <c r="BH32" s="13" t="e">
        <f ca="1"/>
        <v>#VALUE!</v>
      </c>
      <c r="BJ32" s="13">
        <f ca="1"/>
        <v>29</v>
      </c>
      <c r="BK32" s="13" t="str">
        <f ca="1"/>
        <v>Etienne Girondel</v>
      </c>
      <c r="BL32" s="13" t="e" vm="15">
        <f ca="1"/>
        <v>#VALUE!</v>
      </c>
      <c r="BM32" s="13" t="e">
        <f ca="1"/>
        <v>#VALUE!</v>
      </c>
      <c r="BO32" s="13">
        <f ca="1"/>
        <v>29</v>
      </c>
      <c r="BP32" s="13" t="str">
        <f ca="1"/>
        <v>Franck Adam</v>
      </c>
      <c r="BQ32" s="13" t="e" vm="15">
        <f ca="1"/>
        <v>#VALUE!</v>
      </c>
      <c r="BR32" s="13" t="e">
        <f ca="1"/>
        <v>#VALUE!</v>
      </c>
      <c r="BT32" s="13">
        <f ca="1"/>
        <v>29</v>
      </c>
      <c r="BU32" s="13" t="str">
        <f ca="1"/>
        <v>Patrick Wessels</v>
      </c>
      <c r="BV32" s="13" t="e" vm="12">
        <f ca="1"/>
        <v>#VALUE!</v>
      </c>
      <c r="BW32" s="13" t="e">
        <f ca="1"/>
        <v>#VALUE!</v>
      </c>
      <c r="BY32" s="13">
        <f ca="1"/>
        <v>29</v>
      </c>
      <c r="BZ32" s="13" t="str">
        <f ca="1"/>
        <v>Martin Pfeiffer</v>
      </c>
      <c r="CA32" s="13" t="e" vm="15">
        <f ca="1"/>
        <v>#VALUE!</v>
      </c>
      <c r="CB32" s="13" t="e">
        <f ca="1"/>
        <v>#VALUE!</v>
      </c>
      <c r="CD32" s="13">
        <f ca="1"/>
        <v>29</v>
      </c>
      <c r="CE32" s="13" t="str">
        <f ca="1"/>
        <v>Julien Thomas</v>
      </c>
      <c r="CF32" s="13" t="e" vm="15">
        <f ca="1"/>
        <v>#VALUE!</v>
      </c>
      <c r="CG32" s="13" t="e">
        <f ca="1"/>
        <v>#VALUE!</v>
      </c>
      <c r="CI32" s="13">
        <f ca="1"/>
        <v>29</v>
      </c>
      <c r="CJ32" s="13" t="str">
        <f ca="1"/>
        <v>Daniel Guemy</v>
      </c>
      <c r="CK32" s="13" t="e" vm="15">
        <f ca="1"/>
        <v>#VALUE!</v>
      </c>
      <c r="CL32" s="13" t="e">
        <f ca="1"/>
        <v>#VALUE!</v>
      </c>
      <c r="CN32" s="13">
        <f ca="1"/>
        <v>29</v>
      </c>
      <c r="CO32" s="13" t="str">
        <f ca="1"/>
        <v>Julien Thomas</v>
      </c>
      <c r="CP32" s="13" t="e" vm="15">
        <f ca="1"/>
        <v>#VALUE!</v>
      </c>
      <c r="CQ32" s="13" t="e">
        <f ca="1"/>
        <v>#VALUE!</v>
      </c>
      <c r="CS32" s="13">
        <f ca="1"/>
        <v>29</v>
      </c>
      <c r="CT32" s="13" t="str">
        <f ca="1"/>
        <v>Thibault Terrasson</v>
      </c>
      <c r="CU32" s="13" t="e" vm="15">
        <f ca="1"/>
        <v>#VALUE!</v>
      </c>
      <c r="CV32" s="13" t="e">
        <f ca="1"/>
        <v>#VALUE!</v>
      </c>
    </row>
    <row r="33" spans="2:100">
      <c r="B33" s="13">
        <f ca="1"/>
        <v>30</v>
      </c>
      <c r="C33" s="13" t="str">
        <f ca="1"/>
        <v>Sjors Rijsdam</v>
      </c>
      <c r="D33" s="13" t="e" vm="12">
        <f ca="1"/>
        <v>#VALUE!</v>
      </c>
      <c r="E33" s="13" t="e">
        <f ca="1"/>
        <v>#VALUE!</v>
      </c>
      <c r="G33" s="13">
        <f ca="1"/>
        <v>30</v>
      </c>
      <c r="H33" s="13" t="str">
        <f ca="1"/>
        <v>Etienne Dutet</v>
      </c>
      <c r="I33" s="13" t="e" vm="15">
        <f ca="1"/>
        <v>#VALUE!</v>
      </c>
      <c r="J33" s="13" t="e">
        <f ca="1"/>
        <v>#VALUE!</v>
      </c>
      <c r="L33" s="13">
        <f ca="1"/>
        <v>30</v>
      </c>
      <c r="M33" s="13" t="str">
        <f ca="1"/>
        <v>Franck Adam</v>
      </c>
      <c r="N33" s="13" t="e" vm="15">
        <f ca="1"/>
        <v>#VALUE!</v>
      </c>
      <c r="O33" s="13" t="e">
        <f ca="1"/>
        <v>#VALUE!</v>
      </c>
      <c r="Q33" s="13">
        <f ca="1"/>
        <v>30</v>
      </c>
      <c r="R33" s="13" t="str">
        <f ca="1"/>
        <v>Chris Clark</v>
      </c>
      <c r="S33" s="13" t="e" vm="13">
        <f ca="1"/>
        <v>#VALUE!</v>
      </c>
      <c r="T33" s="13" t="e">
        <f ca="1"/>
        <v>#VALUE!</v>
      </c>
      <c r="V33" s="13">
        <f ca="1"/>
        <v>30</v>
      </c>
      <c r="W33" s="13" t="str">
        <f ca="1"/>
        <v>Takashi Ogasawara</v>
      </c>
      <c r="X33" s="13" t="e" vm="16">
        <f ca="1"/>
        <v>#VALUE!</v>
      </c>
      <c r="Y33" s="13" t="e">
        <f ca="1"/>
        <v>#VALUE!</v>
      </c>
      <c r="AA33" s="13">
        <f ca="1"/>
        <v>30</v>
      </c>
      <c r="AB33" s="13" t="str">
        <f ca="1"/>
        <v>Ashley Taylor</v>
      </c>
      <c r="AC33" s="13" t="e" vm="13">
        <f ca="1"/>
        <v>#VALUE!</v>
      </c>
      <c r="AD33" s="13" t="e">
        <f ca="1"/>
        <v>#VALUE!</v>
      </c>
      <c r="AF33" s="13">
        <f ca="1"/>
        <v>30</v>
      </c>
      <c r="AG33" s="13" t="str">
        <f ca="1"/>
        <v>Etienne Dutet</v>
      </c>
      <c r="AH33" s="13" t="e" vm="15">
        <f ca="1"/>
        <v>#VALUE!</v>
      </c>
      <c r="AI33" s="13" t="e">
        <f ca="1"/>
        <v>#VALUE!</v>
      </c>
      <c r="AK33" s="13">
        <f ca="1"/>
        <v>30</v>
      </c>
      <c r="AL33" s="13" t="str">
        <f ca="1"/>
        <v>Etienne Girondel</v>
      </c>
      <c r="AM33" s="13" t="e" vm="15">
        <f ca="1"/>
        <v>#VALUE!</v>
      </c>
      <c r="AN33" s="13" t="e">
        <f ca="1"/>
        <v>#VALUE!</v>
      </c>
      <c r="AP33" s="13">
        <f ca="1"/>
        <v>30</v>
      </c>
      <c r="AQ33" s="13" t="str">
        <f ca="1"/>
        <v>Hiroki Matsumoto</v>
      </c>
      <c r="AR33" s="13" t="e" vm="16">
        <f ca="1"/>
        <v>#VALUE!</v>
      </c>
      <c r="AS33" s="13" t="e">
        <f ca="1"/>
        <v>#VALUE!</v>
      </c>
      <c r="AU33" s="13">
        <f ca="1"/>
        <v>30</v>
      </c>
      <c r="AV33" s="13" t="str">
        <f ca="1"/>
        <v>Etienne Dutet</v>
      </c>
      <c r="AW33" s="13" t="e" vm="15">
        <f ca="1"/>
        <v>#VALUE!</v>
      </c>
      <c r="AX33" s="13" t="e">
        <f ca="1"/>
        <v>#VALUE!</v>
      </c>
      <c r="AZ33" s="13">
        <f ca="1"/>
        <v>30</v>
      </c>
      <c r="BA33" s="13" t="str">
        <f ca="1"/>
        <v>Marine Camus</v>
      </c>
      <c r="BB33" s="13" t="e" vm="15">
        <f ca="1"/>
        <v>#VALUE!</v>
      </c>
      <c r="BC33" s="13" t="e">
        <f ca="1"/>
        <v>#VALUE!</v>
      </c>
      <c r="BE33" s="13">
        <f ca="1"/>
        <v>30</v>
      </c>
      <c r="BF33" s="13" t="str">
        <f ca="1"/>
        <v>Sjors Rijsdam</v>
      </c>
      <c r="BG33" s="13" t="e" vm="12">
        <f ca="1"/>
        <v>#VALUE!</v>
      </c>
      <c r="BH33" s="13" t="e">
        <f ca="1"/>
        <v>#VALUE!</v>
      </c>
      <c r="BJ33" s="13">
        <f ca="1"/>
        <v>30</v>
      </c>
      <c r="BK33" s="13" t="str">
        <f ca="1"/>
        <v>Etienne Dutet</v>
      </c>
      <c r="BL33" s="13" t="e" vm="15">
        <f ca="1"/>
        <v>#VALUE!</v>
      </c>
      <c r="BM33" s="13" t="e">
        <f ca="1"/>
        <v>#VALUE!</v>
      </c>
      <c r="BO33" s="13">
        <f ca="1"/>
        <v>30</v>
      </c>
      <c r="BP33" s="13" t="str">
        <f ca="1"/>
        <v>Etienne Dutet</v>
      </c>
      <c r="BQ33" s="13" t="e" vm="15">
        <f ca="1"/>
        <v>#VALUE!</v>
      </c>
      <c r="BR33" s="13" t="e">
        <f ca="1"/>
        <v>#VALUE!</v>
      </c>
      <c r="BT33" s="13">
        <f ca="1"/>
        <v>30</v>
      </c>
      <c r="BU33" s="13" t="str">
        <f ca="1"/>
        <v>Daniel Guemy</v>
      </c>
      <c r="BV33" s="13" t="e" vm="15">
        <f ca="1"/>
        <v>#VALUE!</v>
      </c>
      <c r="BW33" s="13" t="e">
        <f ca="1"/>
        <v>#VALUE!</v>
      </c>
      <c r="BY33" s="13">
        <f ca="1"/>
        <v>30</v>
      </c>
      <c r="BZ33" s="13" t="str">
        <f ca="1"/>
        <v>Daniel Guemy</v>
      </c>
      <c r="CA33" s="13" t="e" vm="15">
        <f ca="1"/>
        <v>#VALUE!</v>
      </c>
      <c r="CB33" s="13" t="e">
        <f ca="1"/>
        <v>#VALUE!</v>
      </c>
      <c r="CD33" s="13">
        <f ca="1"/>
        <v>30</v>
      </c>
      <c r="CE33" s="13" t="str">
        <f ca="1"/>
        <v>Daniel Guemy</v>
      </c>
      <c r="CF33" s="13" t="e" vm="15">
        <f ca="1"/>
        <v>#VALUE!</v>
      </c>
      <c r="CG33" s="13" t="e">
        <f ca="1"/>
        <v>#VALUE!</v>
      </c>
      <c r="CI33" s="13">
        <f ca="1"/>
        <v>30</v>
      </c>
      <c r="CJ33" s="13" t="str">
        <f ca="1"/>
        <v>Djibril Aatif</v>
      </c>
      <c r="CK33" s="13" t="e" vm="15">
        <f ca="1"/>
        <v>#VALUE!</v>
      </c>
      <c r="CL33" s="13" t="e">
        <f ca="1"/>
        <v>#VALUE!</v>
      </c>
      <c r="CN33" s="13">
        <f ca="1"/>
        <v>30</v>
      </c>
      <c r="CO33" s="13" t="str">
        <f ca="1"/>
        <v>Etienne Dutet</v>
      </c>
      <c r="CP33" s="13" t="e" vm="15">
        <f ca="1"/>
        <v>#VALUE!</v>
      </c>
      <c r="CQ33" s="13" t="e">
        <f ca="1"/>
        <v>#VALUE!</v>
      </c>
      <c r="CS33" s="13">
        <f ca="1"/>
        <v>30</v>
      </c>
      <c r="CT33" s="13" t="str">
        <f ca="1"/>
        <v>Mark Duivesteijn</v>
      </c>
      <c r="CU33" s="13" t="e" vm="12">
        <f ca="1"/>
        <v>#VALUE!</v>
      </c>
      <c r="CV33" s="13" t="e">
        <f ca="1"/>
        <v>#VALUE!</v>
      </c>
    </row>
    <row r="34" spans="2:100">
      <c r="B34" s="13">
        <f ca="1"/>
        <v>31</v>
      </c>
      <c r="C34" s="13" t="str">
        <f ca="1"/>
        <v>Martin Pfeiffer</v>
      </c>
      <c r="D34" s="13" t="e" vm="15">
        <f ca="1"/>
        <v>#VALUE!</v>
      </c>
      <c r="E34" s="13" t="e">
        <f ca="1"/>
        <v>#VALUE!</v>
      </c>
      <c r="G34" s="13">
        <f ca="1"/>
        <v>31</v>
      </c>
      <c r="H34" s="13" t="str">
        <f ca="1"/>
        <v>Djibril Aatif</v>
      </c>
      <c r="I34" s="13" t="e" vm="15">
        <f ca="1"/>
        <v>#VALUE!</v>
      </c>
      <c r="J34" s="13" t="e">
        <f ca="1"/>
        <v>#VALUE!</v>
      </c>
      <c r="L34" s="13">
        <f ca="1"/>
        <v>31</v>
      </c>
      <c r="M34" s="13" t="str">
        <f ca="1"/>
        <v>Chris Clark</v>
      </c>
      <c r="N34" s="13" t="e" vm="13">
        <f ca="1"/>
        <v>#VALUE!</v>
      </c>
      <c r="O34" s="13" t="e">
        <f ca="1"/>
        <v>#VALUE!</v>
      </c>
      <c r="Q34" s="13">
        <f ca="1"/>
        <v>31</v>
      </c>
      <c r="R34" s="13" t="str">
        <f ca="1"/>
        <v>Daniel Guemy</v>
      </c>
      <c r="S34" s="13" t="e" vm="15">
        <f ca="1"/>
        <v>#VALUE!</v>
      </c>
      <c r="T34" s="13" t="e">
        <f ca="1"/>
        <v>#VALUE!</v>
      </c>
      <c r="V34" s="13">
        <f ca="1"/>
        <v>31</v>
      </c>
      <c r="W34" s="13" t="str">
        <f ca="1"/>
        <v>Drew Blumfield</v>
      </c>
      <c r="X34" s="13" t="e" vm="14">
        <f ca="1"/>
        <v>#VALUE!</v>
      </c>
      <c r="Y34" s="13" t="e">
        <f ca="1"/>
        <v>#VALUE!</v>
      </c>
      <c r="AA34" s="13">
        <f ca="1"/>
        <v>31</v>
      </c>
      <c r="AB34" s="13" t="str">
        <f ca="1"/>
        <v>Etienne Girondel</v>
      </c>
      <c r="AC34" s="13" t="e" vm="15">
        <f ca="1"/>
        <v>#VALUE!</v>
      </c>
      <c r="AD34" s="13" t="e">
        <f ca="1"/>
        <v>#VALUE!</v>
      </c>
      <c r="AF34" s="13">
        <f ca="1"/>
        <v>31</v>
      </c>
      <c r="AG34" s="13" t="str">
        <f ca="1"/>
        <v>Hiroki Matsumoto</v>
      </c>
      <c r="AH34" s="13" t="e" vm="16">
        <f ca="1"/>
        <v>#VALUE!</v>
      </c>
      <c r="AI34" s="13" t="e">
        <f ca="1"/>
        <v>#VALUE!</v>
      </c>
      <c r="AK34" s="13">
        <f ca="1"/>
        <v>31</v>
      </c>
      <c r="AL34" s="13" t="str">
        <f ca="1"/>
        <v>Etienne Dutet</v>
      </c>
      <c r="AM34" s="13" t="e" vm="15">
        <f ca="1"/>
        <v>#VALUE!</v>
      </c>
      <c r="AN34" s="13" t="e">
        <f ca="1"/>
        <v>#VALUE!</v>
      </c>
      <c r="AP34" s="13">
        <f ca="1"/>
        <v>31</v>
      </c>
      <c r="AQ34" s="13" t="str">
        <f ca="1"/>
        <v>Etienne Dutet</v>
      </c>
      <c r="AR34" s="13" t="e" vm="15">
        <f ca="1"/>
        <v>#VALUE!</v>
      </c>
      <c r="AS34" s="13" t="e">
        <f ca="1"/>
        <v>#VALUE!</v>
      </c>
      <c r="AU34" s="13">
        <f ca="1"/>
        <v>31</v>
      </c>
      <c r="AV34" s="13" t="str">
        <f ca="1"/>
        <v>Daniel Guemy</v>
      </c>
      <c r="AW34" s="13" t="e" vm="15">
        <f ca="1"/>
        <v>#VALUE!</v>
      </c>
      <c r="AX34" s="13" t="e">
        <f ca="1"/>
        <v>#VALUE!</v>
      </c>
      <c r="AZ34" s="13">
        <f ca="1"/>
        <v>31</v>
      </c>
      <c r="BA34" s="13" t="str">
        <f ca="1"/>
        <v>Guilhem Zerathe</v>
      </c>
      <c r="BB34" s="13" t="e" vm="15">
        <f ca="1"/>
        <v>#VALUE!</v>
      </c>
      <c r="BC34" s="13" t="e">
        <f ca="1"/>
        <v>#VALUE!</v>
      </c>
      <c r="BE34" s="13">
        <f ca="1"/>
        <v>31</v>
      </c>
      <c r="BF34" s="13" t="str">
        <f ca="1"/>
        <v>Thibault Terrasson</v>
      </c>
      <c r="BG34" s="13" t="e" vm="15">
        <f ca="1"/>
        <v>#VALUE!</v>
      </c>
      <c r="BH34" s="13" t="e">
        <f ca="1"/>
        <v>#VALUE!</v>
      </c>
      <c r="BJ34" s="13">
        <f ca="1"/>
        <v>31</v>
      </c>
      <c r="BK34" s="13" t="str">
        <f ca="1"/>
        <v>Patrick Wessels</v>
      </c>
      <c r="BL34" s="13" t="e" vm="12">
        <f ca="1"/>
        <v>#VALUE!</v>
      </c>
      <c r="BM34" s="13" t="e">
        <f ca="1"/>
        <v>#VALUE!</v>
      </c>
      <c r="BO34" s="13">
        <f ca="1"/>
        <v>31</v>
      </c>
      <c r="BP34" s="13" t="str">
        <f ca="1"/>
        <v>Chris Clark</v>
      </c>
      <c r="BQ34" s="13" t="e" vm="13">
        <f ca="1"/>
        <v>#VALUE!</v>
      </c>
      <c r="BR34" s="13" t="e">
        <f ca="1"/>
        <v>#VALUE!</v>
      </c>
      <c r="BT34" s="13">
        <f ca="1"/>
        <v>31</v>
      </c>
      <c r="BU34" s="13" t="str">
        <f ca="1"/>
        <v>Martin Pfeiffer</v>
      </c>
      <c r="BV34" s="13" t="e" vm="15">
        <f ca="1"/>
        <v>#VALUE!</v>
      </c>
      <c r="BW34" s="13" t="e">
        <f ca="1"/>
        <v>#VALUE!</v>
      </c>
      <c r="BY34" s="13">
        <f ca="1"/>
        <v>31</v>
      </c>
      <c r="BZ34" s="13" t="str">
        <f ca="1"/>
        <v>Guilhem Zerathe</v>
      </c>
      <c r="CA34" s="13" t="e" vm="15">
        <f ca="1"/>
        <v>#VALUE!</v>
      </c>
      <c r="CB34" s="13" t="e">
        <f ca="1"/>
        <v>#VALUE!</v>
      </c>
      <c r="CD34" s="13">
        <f ca="1"/>
        <v>31</v>
      </c>
      <c r="CE34" s="13" t="str">
        <f ca="1"/>
        <v>Guilhem Zerathe</v>
      </c>
      <c r="CF34" s="13" t="e" vm="15">
        <f ca="1"/>
        <v>#VALUE!</v>
      </c>
      <c r="CG34" s="13" t="e">
        <f ca="1"/>
        <v>#VALUE!</v>
      </c>
      <c r="CI34" s="13">
        <f ca="1"/>
        <v>31</v>
      </c>
      <c r="CJ34" s="13" t="str">
        <f ca="1"/>
        <v>Martin Pfeiffer</v>
      </c>
      <c r="CK34" s="13" t="e" vm="15">
        <f ca="1"/>
        <v>#VALUE!</v>
      </c>
      <c r="CL34" s="13" t="e">
        <f ca="1"/>
        <v>#VALUE!</v>
      </c>
      <c r="CN34" s="13">
        <f ca="1"/>
        <v>31</v>
      </c>
      <c r="CO34" s="13" t="str">
        <f ca="1"/>
        <v>Ashley Taylor</v>
      </c>
      <c r="CP34" s="13" t="e" vm="13">
        <f ca="1"/>
        <v>#VALUE!</v>
      </c>
      <c r="CQ34" s="13" t="e">
        <f ca="1"/>
        <v>#VALUE!</v>
      </c>
      <c r="CS34" s="13">
        <f ca="1"/>
        <v>31</v>
      </c>
      <c r="CT34" s="13" t="str">
        <f ca="1"/>
        <v>Ashley Taylor</v>
      </c>
      <c r="CU34" s="13" t="e" vm="13">
        <f ca="1"/>
        <v>#VALUE!</v>
      </c>
      <c r="CV34" s="13" t="e">
        <f ca="1"/>
        <v>#VALUE!</v>
      </c>
    </row>
    <row r="35" spans="2:100">
      <c r="B35" s="13">
        <f ca="1"/>
        <v>32</v>
      </c>
      <c r="C35" s="13" t="str">
        <f ca="1"/>
        <v>Marine Camus</v>
      </c>
      <c r="D35" s="13" t="e" vm="15">
        <f ca="1"/>
        <v>#VALUE!</v>
      </c>
      <c r="E35" s="13" t="e">
        <f ca="1"/>
        <v>#VALUE!</v>
      </c>
      <c r="G35" s="13">
        <f ca="1"/>
        <v>32</v>
      </c>
      <c r="H35" s="13" t="str">
        <f ca="1"/>
        <v>Baptiste Flavien</v>
      </c>
      <c r="I35" s="13" t="e" vm="15">
        <f ca="1"/>
        <v>#VALUE!</v>
      </c>
      <c r="J35" s="13" t="e">
        <f ca="1"/>
        <v>#VALUE!</v>
      </c>
      <c r="L35" s="13">
        <f ca="1"/>
        <v>32</v>
      </c>
      <c r="M35" s="13" t="str">
        <f ca="1"/>
        <v>Daniel Guemy</v>
      </c>
      <c r="N35" s="13" t="e" vm="15">
        <f ca="1"/>
        <v>#VALUE!</v>
      </c>
      <c r="O35" s="13" t="e">
        <f ca="1"/>
        <v>#VALUE!</v>
      </c>
      <c r="Q35" s="13">
        <f ca="1"/>
        <v>32</v>
      </c>
      <c r="R35" s="13" t="str">
        <f ca="1"/>
        <v>Edwin Peeters</v>
      </c>
      <c r="S35" s="13" t="e" vm="12">
        <f ca="1"/>
        <v>#VALUE!</v>
      </c>
      <c r="T35" s="13" t="e">
        <f ca="1"/>
        <v>#VALUE!</v>
      </c>
      <c r="V35" s="13">
        <f ca="1"/>
        <v>32</v>
      </c>
      <c r="W35" s="13" t="str">
        <f ca="1"/>
        <v>Pierre Legendre</v>
      </c>
      <c r="X35" s="13" t="e" vm="15">
        <f ca="1"/>
        <v>#VALUE!</v>
      </c>
      <c r="Y35" s="13" t="e">
        <f ca="1"/>
        <v>#VALUE!</v>
      </c>
      <c r="AA35" s="13">
        <f ca="1"/>
        <v>32</v>
      </c>
      <c r="AB35" s="13" t="str">
        <f ca="1"/>
        <v>Guilhem Zerathe</v>
      </c>
      <c r="AC35" s="13" t="e" vm="15">
        <f ca="1"/>
        <v>#VALUE!</v>
      </c>
      <c r="AD35" s="13" t="e">
        <f ca="1"/>
        <v>#VALUE!</v>
      </c>
      <c r="AF35" s="13">
        <f ca="1"/>
        <v>32</v>
      </c>
      <c r="AG35" s="13" t="str">
        <f ca="1"/>
        <v>Thomas Graf</v>
      </c>
      <c r="AH35" s="13" t="e" vm="15">
        <f ca="1"/>
        <v>#VALUE!</v>
      </c>
      <c r="AI35" s="13" t="e">
        <f ca="1"/>
        <v>#VALUE!</v>
      </c>
      <c r="AK35" s="13">
        <f ca="1"/>
        <v>32</v>
      </c>
      <c r="AL35" s="13" t="str">
        <f ca="1"/>
        <v>Daniel Guemy</v>
      </c>
      <c r="AM35" s="13" t="e" vm="15">
        <f ca="1"/>
        <v>#VALUE!</v>
      </c>
      <c r="AN35" s="13" t="e">
        <f ca="1"/>
        <v>#VALUE!</v>
      </c>
      <c r="AP35" s="13">
        <f ca="1"/>
        <v>32</v>
      </c>
      <c r="AQ35" s="13" t="str">
        <f ca="1"/>
        <v>Marine Camus</v>
      </c>
      <c r="AR35" s="13" t="e" vm="15">
        <f ca="1"/>
        <v>#VALUE!</v>
      </c>
      <c r="AS35" s="13" t="e">
        <f ca="1"/>
        <v>#VALUE!</v>
      </c>
      <c r="AU35" s="13">
        <f ca="1"/>
        <v>32</v>
      </c>
      <c r="AV35" s="13" t="str">
        <f ca="1"/>
        <v>Baptiste Flavien</v>
      </c>
      <c r="AW35" s="13" t="e" vm="15">
        <f ca="1"/>
        <v>#VALUE!</v>
      </c>
      <c r="AX35" s="13" t="e">
        <f ca="1"/>
        <v>#VALUE!</v>
      </c>
      <c r="AZ35" s="13">
        <f ca="1"/>
        <v>32</v>
      </c>
      <c r="BA35" s="13" t="str">
        <f ca="1"/>
        <v>Galathee Lesquerbault</v>
      </c>
      <c r="BB35" s="13" t="e" vm="15">
        <f ca="1"/>
        <v>#VALUE!</v>
      </c>
      <c r="BC35" s="13" t="e">
        <f ca="1"/>
        <v>#VALUE!</v>
      </c>
      <c r="BE35" s="13">
        <f ca="1"/>
        <v>32</v>
      </c>
      <c r="BF35" s="13" t="str">
        <f ca="1"/>
        <v>Julien Thomas</v>
      </c>
      <c r="BG35" s="13" t="e" vm="15">
        <f ca="1"/>
        <v>#VALUE!</v>
      </c>
      <c r="BH35" s="13" t="e">
        <f ca="1"/>
        <v>#VALUE!</v>
      </c>
      <c r="BJ35" s="13">
        <f ca="1"/>
        <v>32</v>
      </c>
      <c r="BK35" s="13" t="str">
        <f ca="1"/>
        <v>Guilhem Zerathe</v>
      </c>
      <c r="BL35" s="13" t="e" vm="15">
        <f ca="1"/>
        <v>#VALUE!</v>
      </c>
      <c r="BM35" s="13" t="e">
        <f ca="1"/>
        <v>#VALUE!</v>
      </c>
      <c r="BO35" s="13">
        <f ca="1"/>
        <v>32</v>
      </c>
      <c r="BP35" s="13" t="str">
        <f ca="1"/>
        <v>Thomas Graf</v>
      </c>
      <c r="BQ35" s="13" t="e" vm="15">
        <f ca="1"/>
        <v>#VALUE!</v>
      </c>
      <c r="BR35" s="13" t="e">
        <f ca="1"/>
        <v>#VALUE!</v>
      </c>
      <c r="BT35" s="13">
        <f ca="1"/>
        <v>32</v>
      </c>
      <c r="BU35" s="13" t="str">
        <f ca="1"/>
        <v>Ashley Taylor</v>
      </c>
      <c r="BV35" s="13" t="e" vm="13">
        <f ca="1"/>
        <v>#VALUE!</v>
      </c>
      <c r="BW35" s="13" t="e">
        <f ca="1"/>
        <v>#VALUE!</v>
      </c>
      <c r="BY35" s="13">
        <f ca="1"/>
        <v>32</v>
      </c>
      <c r="BZ35" s="13" t="str">
        <f ca="1"/>
        <v>Guillaume Salinaro</v>
      </c>
      <c r="CA35" s="13" t="e" vm="15">
        <f ca="1"/>
        <v>#VALUE!</v>
      </c>
      <c r="CB35" s="13" t="e">
        <f ca="1"/>
        <v>#VALUE!</v>
      </c>
      <c r="CD35" s="13">
        <f ca="1"/>
        <v>32</v>
      </c>
      <c r="CE35" s="13" t="str">
        <f ca="1"/>
        <v>Thomas Graf</v>
      </c>
      <c r="CF35" s="13" t="e" vm="15">
        <f ca="1"/>
        <v>#VALUE!</v>
      </c>
      <c r="CG35" s="13" t="e">
        <f ca="1"/>
        <v>#VALUE!</v>
      </c>
      <c r="CI35" s="13">
        <f ca="1"/>
        <v>32</v>
      </c>
      <c r="CJ35" s="13" t="str">
        <f ca="1"/>
        <v>Guilhem Zerathe</v>
      </c>
      <c r="CK35" s="13" t="e" vm="15">
        <f ca="1"/>
        <v>#VALUE!</v>
      </c>
      <c r="CL35" s="13" t="e">
        <f ca="1"/>
        <v>#VALUE!</v>
      </c>
      <c r="CN35" s="13">
        <f ca="1"/>
        <v>32</v>
      </c>
      <c r="CO35" s="13" t="str">
        <f ca="1"/>
        <v>Daisuke Kashima</v>
      </c>
      <c r="CP35" s="13" t="e" vm="16">
        <f ca="1"/>
        <v>#VALUE!</v>
      </c>
      <c r="CQ35" s="13" t="e">
        <f ca="1"/>
        <v>#VALUE!</v>
      </c>
      <c r="CS35" s="13">
        <f ca="1"/>
        <v>32</v>
      </c>
      <c r="CT35" s="13" t="str">
        <f ca="1"/>
        <v>Thomas Graf</v>
      </c>
      <c r="CU35" s="13" t="e" vm="15">
        <f ca="1"/>
        <v>#VALUE!</v>
      </c>
      <c r="CV35" s="13" t="e">
        <f ca="1"/>
        <v>#VALUE!</v>
      </c>
    </row>
    <row r="36" spans="2:100">
      <c r="B36" s="13">
        <f ca="1"/>
        <v>33</v>
      </c>
      <c r="C36" s="13" t="str">
        <f ca="1"/>
        <v>Daniel Guemy</v>
      </c>
      <c r="D36" s="13" t="e" vm="15">
        <f ca="1"/>
        <v>#VALUE!</v>
      </c>
      <c r="E36" s="13" t="e">
        <f ca="1"/>
        <v>#VALUE!</v>
      </c>
      <c r="G36" s="13">
        <f ca="1"/>
        <v>33</v>
      </c>
      <c r="H36" s="13" t="str">
        <f ca="1"/>
        <v>Daniel Guemy</v>
      </c>
      <c r="I36" s="13" t="e" vm="15">
        <f ca="1"/>
        <v>#VALUE!</v>
      </c>
      <c r="J36" s="13" t="e">
        <f ca="1"/>
        <v>#VALUE!</v>
      </c>
      <c r="L36" s="13">
        <f ca="1"/>
        <v>33</v>
      </c>
      <c r="M36" s="13" t="str">
        <f ca="1"/>
        <v>Thomas Graf</v>
      </c>
      <c r="N36" s="13" t="e" vm="15">
        <f ca="1"/>
        <v>#VALUE!</v>
      </c>
      <c r="O36" s="13" t="e">
        <f ca="1"/>
        <v>#VALUE!</v>
      </c>
      <c r="Q36" s="13">
        <f ca="1"/>
        <v>33</v>
      </c>
      <c r="R36" s="13" t="str">
        <f ca="1"/>
        <v>Pierre Legendre</v>
      </c>
      <c r="S36" s="13" t="e" vm="15">
        <f ca="1"/>
        <v>#VALUE!</v>
      </c>
      <c r="T36" s="13" t="e">
        <f ca="1"/>
        <v>#VALUE!</v>
      </c>
      <c r="V36" s="13">
        <f ca="1"/>
        <v>33</v>
      </c>
      <c r="W36" s="13" t="str">
        <f ca="1"/>
        <v>Daniel Guemy</v>
      </c>
      <c r="X36" s="13" t="e" vm="15">
        <f ca="1"/>
        <v>#VALUE!</v>
      </c>
      <c r="Y36" s="13" t="e">
        <f ca="1"/>
        <v>#VALUE!</v>
      </c>
      <c r="AA36" s="13">
        <f ca="1"/>
        <v>33</v>
      </c>
      <c r="AB36" s="13" t="str">
        <f ca="1"/>
        <v>Etienne Dutet</v>
      </c>
      <c r="AC36" s="13" t="e" vm="15">
        <f ca="1"/>
        <v>#VALUE!</v>
      </c>
      <c r="AD36" s="13" t="e">
        <f ca="1"/>
        <v>#VALUE!</v>
      </c>
      <c r="AF36" s="13">
        <f ca="1"/>
        <v>33</v>
      </c>
      <c r="AG36" s="13" t="str">
        <f ca="1"/>
        <v>Guilhem Zerathe</v>
      </c>
      <c r="AH36" s="13" t="e" vm="15">
        <f ca="1"/>
        <v>#VALUE!</v>
      </c>
      <c r="AI36" s="13" t="e">
        <f ca="1"/>
        <v>#VALUE!</v>
      </c>
      <c r="AK36" s="13">
        <f ca="1"/>
        <v>33</v>
      </c>
      <c r="AL36" s="13" t="str">
        <f ca="1"/>
        <v>Guilhem Zerathe</v>
      </c>
      <c r="AM36" s="13" t="e" vm="15">
        <f ca="1"/>
        <v>#VALUE!</v>
      </c>
      <c r="AN36" s="13" t="e">
        <f ca="1"/>
        <v>#VALUE!</v>
      </c>
      <c r="AP36" s="13">
        <f ca="1"/>
        <v>33</v>
      </c>
      <c r="AQ36" s="13" t="str">
        <f ca="1"/>
        <v>Guilhem Zerathe</v>
      </c>
      <c r="AR36" s="13" t="e" vm="15">
        <f ca="1"/>
        <v>#VALUE!</v>
      </c>
      <c r="AS36" s="13" t="e">
        <f ca="1"/>
        <v>#VALUE!</v>
      </c>
      <c r="AU36" s="13">
        <f ca="1"/>
        <v>33</v>
      </c>
      <c r="AV36" s="13" t="str">
        <f ca="1"/>
        <v>Ashley Taylor</v>
      </c>
      <c r="AW36" s="13" t="e" vm="13">
        <f ca="1"/>
        <v>#VALUE!</v>
      </c>
      <c r="AX36" s="13" t="e">
        <f ca="1"/>
        <v>#VALUE!</v>
      </c>
      <c r="AZ36" s="13">
        <f ca="1"/>
        <v>33</v>
      </c>
      <c r="BA36" s="13" t="str">
        <f ca="1"/>
        <v>Djibril Aatif</v>
      </c>
      <c r="BB36" s="13" t="e" vm="15">
        <f ca="1"/>
        <v>#VALUE!</v>
      </c>
      <c r="BC36" s="13" t="e">
        <f ca="1"/>
        <v>#VALUE!</v>
      </c>
      <c r="BE36" s="13">
        <f ca="1"/>
        <v>33</v>
      </c>
      <c r="BF36" s="13" t="str">
        <f ca="1"/>
        <v>Thomas Graf</v>
      </c>
      <c r="BG36" s="13" t="e" vm="15">
        <f ca="1"/>
        <v>#VALUE!</v>
      </c>
      <c r="BH36" s="13" t="e">
        <f ca="1"/>
        <v>#VALUE!</v>
      </c>
      <c r="BJ36" s="13">
        <f ca="1"/>
        <v>33</v>
      </c>
      <c r="BK36" s="13" t="str">
        <f ca="1"/>
        <v>Baptiste Flavien</v>
      </c>
      <c r="BL36" s="13" t="e" vm="15">
        <f ca="1"/>
        <v>#VALUE!</v>
      </c>
      <c r="BM36" s="13" t="e">
        <f ca="1"/>
        <v>#VALUE!</v>
      </c>
      <c r="BO36" s="13">
        <f ca="1"/>
        <v>33</v>
      </c>
      <c r="BP36" s="13" t="str">
        <f ca="1"/>
        <v>Etienne Girondel</v>
      </c>
      <c r="BQ36" s="13" t="e" vm="15">
        <f ca="1"/>
        <v>#VALUE!</v>
      </c>
      <c r="BR36" s="13" t="e">
        <f ca="1"/>
        <v>#VALUE!</v>
      </c>
      <c r="BT36" s="13">
        <f ca="1"/>
        <v>33</v>
      </c>
      <c r="BU36" s="13" t="str">
        <f ca="1"/>
        <v>Baptiste Flavien</v>
      </c>
      <c r="BV36" s="13" t="e" vm="15">
        <f ca="1"/>
        <v>#VALUE!</v>
      </c>
      <c r="BW36" s="13" t="e">
        <f ca="1"/>
        <v>#VALUE!</v>
      </c>
      <c r="BY36" s="13">
        <f ca="1"/>
        <v>33</v>
      </c>
      <c r="BZ36" s="13" t="str">
        <f ca="1"/>
        <v>Julianne Autissier</v>
      </c>
      <c r="CA36" s="13" t="e" vm="15">
        <f ca="1"/>
        <v>#VALUE!</v>
      </c>
      <c r="CB36" s="13" t="e">
        <f ca="1"/>
        <v>#VALUE!</v>
      </c>
      <c r="CD36" s="13">
        <f ca="1"/>
        <v>33</v>
      </c>
      <c r="CE36" s="13" t="str">
        <f ca="1"/>
        <v>Jeremy Edline</v>
      </c>
      <c r="CF36" s="13" t="e" vm="15">
        <f ca="1"/>
        <v>#VALUE!</v>
      </c>
      <c r="CG36" s="13" t="e">
        <f ca="1"/>
        <v>#VALUE!</v>
      </c>
      <c r="CI36" s="13">
        <f ca="1"/>
        <v>33</v>
      </c>
      <c r="CJ36" s="13" t="str">
        <f ca="1"/>
        <v>Jerome Coiffard</v>
      </c>
      <c r="CK36" s="13" t="e" vm="15">
        <f ca="1"/>
        <v>#VALUE!</v>
      </c>
      <c r="CL36" s="13" t="e">
        <f ca="1"/>
        <v>#VALUE!</v>
      </c>
      <c r="CN36" s="13">
        <f ca="1"/>
        <v>33</v>
      </c>
      <c r="CO36" s="13" t="str">
        <f ca="1"/>
        <v>Galathee Lesquerbault</v>
      </c>
      <c r="CP36" s="13" t="e" vm="15">
        <f ca="1"/>
        <v>#VALUE!</v>
      </c>
      <c r="CQ36" s="13" t="e">
        <f ca="1"/>
        <v>#VALUE!</v>
      </c>
      <c r="CS36" s="13">
        <f ca="1"/>
        <v>33</v>
      </c>
      <c r="CT36" s="13" t="str">
        <f ca="1"/>
        <v>Michael Sumner</v>
      </c>
      <c r="CU36" s="13" t="e" vm="18">
        <f ca="1"/>
        <v>#VALUE!</v>
      </c>
      <c r="CV36" s="13" t="e">
        <f ca="1"/>
        <v>#VALUE!</v>
      </c>
    </row>
    <row r="37" spans="2:100">
      <c r="B37" s="13">
        <f ca="1"/>
        <v>34</v>
      </c>
      <c r="C37" s="13" t="str">
        <f ca="1"/>
        <v>Thomas Graf</v>
      </c>
      <c r="D37" s="13" t="e" vm="15">
        <f ca="1"/>
        <v>#VALUE!</v>
      </c>
      <c r="E37" s="13" t="e">
        <f ca="1"/>
        <v>#VALUE!</v>
      </c>
      <c r="G37" s="13">
        <f ca="1"/>
        <v>34</v>
      </c>
      <c r="H37" s="13" t="str">
        <f ca="1"/>
        <v>Galathee Lesquerbault</v>
      </c>
      <c r="I37" s="13" t="e" vm="15">
        <f ca="1"/>
        <v>#VALUE!</v>
      </c>
      <c r="J37" s="13" t="e">
        <f ca="1"/>
        <v>#VALUE!</v>
      </c>
      <c r="L37" s="13">
        <f ca="1"/>
        <v>34</v>
      </c>
      <c r="M37" s="13" t="str">
        <f ca="1"/>
        <v>Marine Camus</v>
      </c>
      <c r="N37" s="13" t="e" vm="15">
        <f ca="1"/>
        <v>#VALUE!</v>
      </c>
      <c r="O37" s="13" t="e">
        <f ca="1"/>
        <v>#VALUE!</v>
      </c>
      <c r="Q37" s="13">
        <f ca="1"/>
        <v>34</v>
      </c>
      <c r="R37" s="13" t="str">
        <f ca="1"/>
        <v>Baptiste Flavien</v>
      </c>
      <c r="S37" s="13" t="e" vm="15">
        <f ca="1"/>
        <v>#VALUE!</v>
      </c>
      <c r="T37" s="13" t="e">
        <f ca="1"/>
        <v>#VALUE!</v>
      </c>
      <c r="V37" s="13">
        <f ca="1"/>
        <v>34</v>
      </c>
      <c r="W37" s="13" t="str">
        <f ca="1"/>
        <v>Thomas Graf</v>
      </c>
      <c r="X37" s="13" t="e" vm="15">
        <f ca="1"/>
        <v>#VALUE!</v>
      </c>
      <c r="Y37" s="13" t="e">
        <f ca="1"/>
        <v>#VALUE!</v>
      </c>
      <c r="AA37" s="13">
        <f ca="1"/>
        <v>34</v>
      </c>
      <c r="AB37" s="13" t="str">
        <f ca="1"/>
        <v>Guillaume Salinaro</v>
      </c>
      <c r="AC37" s="13" t="e" vm="15">
        <f ca="1"/>
        <v>#VALUE!</v>
      </c>
      <c r="AD37" s="13" t="e">
        <f ca="1"/>
        <v>#VALUE!</v>
      </c>
      <c r="AF37" s="13">
        <f ca="1"/>
        <v>34</v>
      </c>
      <c r="AG37" s="13" t="str">
        <f ca="1"/>
        <v>Ashley Taylor</v>
      </c>
      <c r="AH37" s="13" t="e" vm="13">
        <f ca="1"/>
        <v>#VALUE!</v>
      </c>
      <c r="AI37" s="13" t="e">
        <f ca="1"/>
        <v>#VALUE!</v>
      </c>
      <c r="AK37" s="13">
        <f ca="1"/>
        <v>34</v>
      </c>
      <c r="AL37" s="13" t="str">
        <f ca="1"/>
        <v>Thomas Graf</v>
      </c>
      <c r="AM37" s="13" t="e" vm="15">
        <f ca="1"/>
        <v>#VALUE!</v>
      </c>
      <c r="AN37" s="13" t="e">
        <f ca="1"/>
        <v>#VALUE!</v>
      </c>
      <c r="AP37" s="13">
        <f ca="1"/>
        <v>34</v>
      </c>
      <c r="AQ37" s="13" t="str">
        <f ca="1"/>
        <v>Thomas Graf</v>
      </c>
      <c r="AR37" s="13" t="e" vm="15">
        <f ca="1"/>
        <v>#VALUE!</v>
      </c>
      <c r="AS37" s="13" t="e">
        <f ca="1"/>
        <v>#VALUE!</v>
      </c>
      <c r="AU37" s="13">
        <f ca="1"/>
        <v>34</v>
      </c>
      <c r="AV37" s="13" t="str">
        <f ca="1"/>
        <v>Pierre Legendre</v>
      </c>
      <c r="AW37" s="13" t="e" vm="15">
        <f ca="1"/>
        <v>#VALUE!</v>
      </c>
      <c r="AX37" s="13" t="e">
        <f ca="1"/>
        <v>#VALUE!</v>
      </c>
      <c r="AZ37" s="13">
        <f ca="1"/>
        <v>34</v>
      </c>
      <c r="BA37" s="13" t="str">
        <f ca="1"/>
        <v>Julianne Autissier</v>
      </c>
      <c r="BB37" s="13" t="e" vm="15">
        <f ca="1"/>
        <v>#VALUE!</v>
      </c>
      <c r="BC37" s="13" t="e">
        <f ca="1"/>
        <v>#VALUE!</v>
      </c>
      <c r="BE37" s="13">
        <f ca="1"/>
        <v>34</v>
      </c>
      <c r="BF37" s="13" t="str">
        <f ca="1"/>
        <v>Guillaume Salinaro</v>
      </c>
      <c r="BG37" s="13" t="e" vm="15">
        <f ca="1"/>
        <v>#VALUE!</v>
      </c>
      <c r="BH37" s="13" t="e">
        <f ca="1"/>
        <v>#VALUE!</v>
      </c>
      <c r="BJ37" s="13">
        <f ca="1"/>
        <v>34</v>
      </c>
      <c r="BK37" s="13" t="str">
        <f ca="1"/>
        <v>Thomas Graf</v>
      </c>
      <c r="BL37" s="13" t="e" vm="15">
        <f ca="1"/>
        <v>#VALUE!</v>
      </c>
      <c r="BM37" s="13" t="e">
        <f ca="1"/>
        <v>#VALUE!</v>
      </c>
      <c r="BO37" s="13">
        <f ca="1"/>
        <v>34</v>
      </c>
      <c r="BP37" s="13" t="str">
        <f ca="1"/>
        <v>Baptiste Flavien</v>
      </c>
      <c r="BQ37" s="13" t="e" vm="15">
        <f ca="1"/>
        <v>#VALUE!</v>
      </c>
      <c r="BR37" s="13" t="e">
        <f ca="1"/>
        <v>#VALUE!</v>
      </c>
      <c r="BT37" s="13">
        <f ca="1"/>
        <v>34</v>
      </c>
      <c r="BU37" s="13" t="str">
        <f ca="1"/>
        <v>Thomas Graf</v>
      </c>
      <c r="BV37" s="13" t="e" vm="15">
        <f ca="1"/>
        <v>#VALUE!</v>
      </c>
      <c r="BW37" s="13" t="e">
        <f ca="1"/>
        <v>#VALUE!</v>
      </c>
      <c r="BY37" s="13">
        <f ca="1"/>
        <v>34</v>
      </c>
      <c r="BZ37" s="13" t="str">
        <f ca="1"/>
        <v>Galathee Lesquerbault</v>
      </c>
      <c r="CA37" s="13" t="e" vm="15">
        <f ca="1"/>
        <v>#VALUE!</v>
      </c>
      <c r="CB37" s="13" t="e">
        <f ca="1"/>
        <v>#VALUE!</v>
      </c>
      <c r="CD37" s="13">
        <f ca="1"/>
        <v>34</v>
      </c>
      <c r="CE37" s="13" t="str">
        <f ca="1"/>
        <v>Etienne Dutet</v>
      </c>
      <c r="CF37" s="13" t="e" vm="15">
        <f ca="1"/>
        <v>#VALUE!</v>
      </c>
      <c r="CG37" s="13" t="e">
        <f ca="1"/>
        <v>#VALUE!</v>
      </c>
      <c r="CI37" s="13">
        <f ca="1"/>
        <v>34</v>
      </c>
      <c r="CJ37" s="13" t="str">
        <f ca="1"/>
        <v>Etienne Dutet</v>
      </c>
      <c r="CK37" s="13" t="e" vm="15">
        <f ca="1"/>
        <v>#VALUE!</v>
      </c>
      <c r="CL37" s="13" t="e">
        <f ca="1"/>
        <v>#VALUE!</v>
      </c>
      <c r="CN37" s="13">
        <f ca="1"/>
        <v>34</v>
      </c>
      <c r="CO37" s="13" t="str">
        <f ca="1"/>
        <v>Guilhem Zerathe</v>
      </c>
      <c r="CP37" s="13" t="e" vm="15">
        <f ca="1"/>
        <v>#VALUE!</v>
      </c>
      <c r="CQ37" s="13" t="e">
        <f ca="1"/>
        <v>#VALUE!</v>
      </c>
      <c r="CS37" s="13">
        <f ca="1"/>
        <v>34</v>
      </c>
      <c r="CT37" s="13" t="str">
        <f ca="1"/>
        <v>Guilhem Zerathe</v>
      </c>
      <c r="CU37" s="13" t="e" vm="15">
        <f ca="1"/>
        <v>#VALUE!</v>
      </c>
      <c r="CV37" s="13" t="e">
        <f ca="1"/>
        <v>#VALUE!</v>
      </c>
    </row>
    <row r="38" spans="2:100">
      <c r="B38" s="13">
        <f ca="1"/>
        <v>35</v>
      </c>
      <c r="C38" s="13" t="str">
        <f ca="1"/>
        <v>Alessandro Sona</v>
      </c>
      <c r="D38" s="13" t="e" vm="20">
        <f ca="1"/>
        <v>#VALUE!</v>
      </c>
      <c r="E38" s="13" t="e">
        <f ca="1"/>
        <v>#VALUE!</v>
      </c>
      <c r="G38" s="13">
        <f ca="1"/>
        <v>35</v>
      </c>
      <c r="H38" s="13" t="str">
        <f ca="1"/>
        <v>Thomas Graf</v>
      </c>
      <c r="I38" s="13" t="e" vm="15">
        <f ca="1"/>
        <v>#VALUE!</v>
      </c>
      <c r="J38" s="13" t="e">
        <f ca="1"/>
        <v>#VALUE!</v>
      </c>
      <c r="L38" s="13">
        <f ca="1"/>
        <v>35</v>
      </c>
      <c r="M38" s="13" t="str">
        <f ca="1"/>
        <v>Martin Pfeiffer</v>
      </c>
      <c r="N38" s="13" t="e" vm="15">
        <f ca="1"/>
        <v>#VALUE!</v>
      </c>
      <c r="O38" s="13" t="e">
        <f ca="1"/>
        <v>#VALUE!</v>
      </c>
      <c r="Q38" s="13">
        <f ca="1"/>
        <v>35</v>
      </c>
      <c r="R38" s="13" t="str">
        <f ca="1"/>
        <v>Thomas Graf</v>
      </c>
      <c r="S38" s="13" t="e" vm="15">
        <f ca="1"/>
        <v>#VALUE!</v>
      </c>
      <c r="T38" s="13" t="e">
        <f ca="1"/>
        <v>#VALUE!</v>
      </c>
      <c r="V38" s="13">
        <f ca="1"/>
        <v>35</v>
      </c>
      <c r="W38" s="13" t="str">
        <f ca="1"/>
        <v>Baptiste Flavien</v>
      </c>
      <c r="X38" s="13" t="e" vm="15">
        <f ca="1"/>
        <v>#VALUE!</v>
      </c>
      <c r="Y38" s="13" t="e">
        <f ca="1"/>
        <v>#VALUE!</v>
      </c>
      <c r="AA38" s="13">
        <f ca="1"/>
        <v>35</v>
      </c>
      <c r="AB38" s="13" t="str">
        <f ca="1"/>
        <v>Alessandro Sona</v>
      </c>
      <c r="AC38" s="13" t="e" vm="20">
        <f ca="1"/>
        <v>#VALUE!</v>
      </c>
      <c r="AD38" s="13" t="e">
        <f ca="1"/>
        <v>#VALUE!</v>
      </c>
      <c r="AF38" s="13">
        <f ca="1"/>
        <v>35</v>
      </c>
      <c r="AG38" s="13" t="str">
        <f ca="1"/>
        <v>Edwin Peeters</v>
      </c>
      <c r="AH38" s="13" t="e" vm="12">
        <f ca="1"/>
        <v>#VALUE!</v>
      </c>
      <c r="AI38" s="13" t="e">
        <f ca="1"/>
        <v>#VALUE!</v>
      </c>
      <c r="AK38" s="13">
        <f ca="1"/>
        <v>35</v>
      </c>
      <c r="AL38" s="13" t="str">
        <f ca="1"/>
        <v>Pierre Legendre</v>
      </c>
      <c r="AM38" s="13" t="e" vm="15">
        <f ca="1"/>
        <v>#VALUE!</v>
      </c>
      <c r="AN38" s="13" t="e">
        <f ca="1"/>
        <v>#VALUE!</v>
      </c>
      <c r="AP38" s="13">
        <f ca="1"/>
        <v>35</v>
      </c>
      <c r="AQ38" s="13" t="str">
        <f ca="1"/>
        <v>Baptiste Flavien</v>
      </c>
      <c r="AR38" s="13" t="e" vm="15">
        <f ca="1"/>
        <v>#VALUE!</v>
      </c>
      <c r="AS38" s="13" t="e">
        <f ca="1"/>
        <v>#VALUE!</v>
      </c>
      <c r="AU38" s="13">
        <f ca="1"/>
        <v>35</v>
      </c>
      <c r="AV38" s="13" t="str">
        <f ca="1"/>
        <v>Guilhem Zerathe</v>
      </c>
      <c r="AW38" s="13" t="e" vm="15">
        <f ca="1"/>
        <v>#VALUE!</v>
      </c>
      <c r="AX38" s="13" t="e">
        <f ca="1"/>
        <v>#VALUE!</v>
      </c>
      <c r="AZ38" s="13">
        <f ca="1"/>
        <v>35</v>
      </c>
      <c r="BA38" s="13" t="str">
        <f ca="1"/>
        <v>Gerard Guilbaud</v>
      </c>
      <c r="BB38" s="13" t="e" vm="15">
        <f ca="1"/>
        <v>#VALUE!</v>
      </c>
      <c r="BC38" s="13" t="e">
        <f ca="1"/>
        <v>#VALUE!</v>
      </c>
      <c r="BE38" s="13">
        <f ca="1"/>
        <v>35</v>
      </c>
      <c r="BF38" s="13" t="str">
        <f ca="1"/>
        <v>Ashley Taylor</v>
      </c>
      <c r="BG38" s="13" t="e" vm="13">
        <f ca="1"/>
        <v>#VALUE!</v>
      </c>
      <c r="BH38" s="13" t="e">
        <f ca="1"/>
        <v>#VALUE!</v>
      </c>
      <c r="BJ38" s="13">
        <f ca="1"/>
        <v>35</v>
      </c>
      <c r="BK38" s="13" t="str">
        <f ca="1"/>
        <v>Galathee Lesquerbault</v>
      </c>
      <c r="BL38" s="13" t="e" vm="15">
        <f ca="1"/>
        <v>#VALUE!</v>
      </c>
      <c r="BM38" s="13" t="e">
        <f ca="1"/>
        <v>#VALUE!</v>
      </c>
      <c r="BO38" s="13">
        <f ca="1"/>
        <v>35</v>
      </c>
      <c r="BP38" s="13" t="str">
        <f ca="1"/>
        <v>Charly Greffier</v>
      </c>
      <c r="BQ38" s="13" t="e" vm="15">
        <f ca="1"/>
        <v>#VALUE!</v>
      </c>
      <c r="BR38" s="13" t="e">
        <f ca="1"/>
        <v>#VALUE!</v>
      </c>
      <c r="BT38" s="13">
        <f ca="1"/>
        <v>35</v>
      </c>
      <c r="BU38" s="13" t="str">
        <f ca="1"/>
        <v>Guillaume Salinaro</v>
      </c>
      <c r="BV38" s="13" t="e" vm="15">
        <f ca="1"/>
        <v>#VALUE!</v>
      </c>
      <c r="BW38" s="13" t="e">
        <f ca="1"/>
        <v>#VALUE!</v>
      </c>
      <c r="BY38" s="13">
        <f ca="1"/>
        <v>35</v>
      </c>
      <c r="BZ38" s="13" t="str">
        <f ca="1"/>
        <v>Ashley Taylor</v>
      </c>
      <c r="CA38" s="13" t="e" vm="13">
        <f ca="1"/>
        <v>#VALUE!</v>
      </c>
      <c r="CB38" s="13" t="e">
        <f ca="1"/>
        <v>#VALUE!</v>
      </c>
      <c r="CD38" s="13">
        <f ca="1"/>
        <v>35</v>
      </c>
      <c r="CE38" s="13" t="str">
        <f ca="1"/>
        <v>Julianne Autissier</v>
      </c>
      <c r="CF38" s="13" t="e" vm="15">
        <f ca="1"/>
        <v>#VALUE!</v>
      </c>
      <c r="CG38" s="13" t="e">
        <f ca="1"/>
        <v>#VALUE!</v>
      </c>
      <c r="CI38" s="13">
        <f ca="1"/>
        <v>35</v>
      </c>
      <c r="CJ38" s="13" t="str">
        <f ca="1"/>
        <v>Thomas Graf</v>
      </c>
      <c r="CK38" s="13" t="e" vm="15">
        <f ca="1"/>
        <v>#VALUE!</v>
      </c>
      <c r="CL38" s="13" t="e">
        <f ca="1"/>
        <v>#VALUE!</v>
      </c>
      <c r="CN38" s="13">
        <f ca="1"/>
        <v>35</v>
      </c>
      <c r="CO38" s="13" t="str">
        <f ca="1"/>
        <v>Daniel Guemy</v>
      </c>
      <c r="CP38" s="13" t="e" vm="15">
        <f ca="1"/>
        <v>#VALUE!</v>
      </c>
      <c r="CQ38" s="13" t="e">
        <f ca="1"/>
        <v>#VALUE!</v>
      </c>
      <c r="CS38" s="13">
        <f ca="1"/>
        <v>35</v>
      </c>
      <c r="CT38" s="13" t="str">
        <f ca="1"/>
        <v>Guillaume Salinaro</v>
      </c>
      <c r="CU38" s="13" t="e" vm="15">
        <f ca="1"/>
        <v>#VALUE!</v>
      </c>
      <c r="CV38" s="13" t="e">
        <f ca="1"/>
        <v>#VALUE!</v>
      </c>
    </row>
    <row r="39" spans="2:100">
      <c r="B39" s="13">
        <f ca="1"/>
        <v>36</v>
      </c>
      <c r="C39" s="13" t="str">
        <f ca="1"/>
        <v>Guillaume Salinaro</v>
      </c>
      <c r="D39" s="13" t="e" vm="15">
        <f ca="1"/>
        <v>#VALUE!</v>
      </c>
      <c r="E39" s="13" t="e">
        <f ca="1"/>
        <v>#VALUE!</v>
      </c>
      <c r="G39" s="13">
        <f ca="1"/>
        <v>36</v>
      </c>
      <c r="H39" s="13" t="str">
        <f ca="1"/>
        <v>Pierre Legendre</v>
      </c>
      <c r="I39" s="13" t="e" vm="15">
        <f ca="1"/>
        <v>#VALUE!</v>
      </c>
      <c r="J39" s="13" t="e">
        <f ca="1"/>
        <v>#VALUE!</v>
      </c>
      <c r="L39" s="13">
        <f ca="1"/>
        <v>36</v>
      </c>
      <c r="M39" s="13" t="str">
        <f ca="1"/>
        <v>Pierre Legendre</v>
      </c>
      <c r="N39" s="13" t="e" vm="15">
        <f ca="1"/>
        <v>#VALUE!</v>
      </c>
      <c r="O39" s="13" t="e">
        <f ca="1"/>
        <v>#VALUE!</v>
      </c>
      <c r="Q39" s="13">
        <f ca="1"/>
        <v>36</v>
      </c>
      <c r="R39" s="13" t="str">
        <f ca="1"/>
        <v>Guillaume Salinaro</v>
      </c>
      <c r="S39" s="13" t="e" vm="15">
        <f ca="1"/>
        <v>#VALUE!</v>
      </c>
      <c r="T39" s="13" t="e">
        <f ca="1"/>
        <v>#VALUE!</v>
      </c>
      <c r="V39" s="13">
        <f ca="1"/>
        <v>36</v>
      </c>
      <c r="W39" s="13" t="str">
        <f ca="1"/>
        <v>Alessandro Sona</v>
      </c>
      <c r="X39" s="13" t="e" vm="20">
        <f ca="1"/>
        <v>#VALUE!</v>
      </c>
      <c r="Y39" s="13" t="e">
        <f ca="1"/>
        <v>#VALUE!</v>
      </c>
      <c r="AA39" s="13">
        <f ca="1"/>
        <v>36</v>
      </c>
      <c r="AB39" s="13" t="str">
        <f ca="1"/>
        <v>Pierre Legendre</v>
      </c>
      <c r="AC39" s="13" t="e" vm="15">
        <f ca="1"/>
        <v>#VALUE!</v>
      </c>
      <c r="AD39" s="13" t="e">
        <f ca="1"/>
        <v>#VALUE!</v>
      </c>
      <c r="AF39" s="13">
        <f ca="1"/>
        <v>36</v>
      </c>
      <c r="AG39" s="13" t="str">
        <f ca="1"/>
        <v>Pierre Legendre</v>
      </c>
      <c r="AH39" s="13" t="e" vm="15">
        <f ca="1"/>
        <v>#VALUE!</v>
      </c>
      <c r="AI39" s="13" t="e">
        <f ca="1"/>
        <v>#VALUE!</v>
      </c>
      <c r="AK39" s="13">
        <f ca="1"/>
        <v>36</v>
      </c>
      <c r="AL39" s="13" t="str">
        <f ca="1"/>
        <v>Galathee Lesquerbault</v>
      </c>
      <c r="AM39" s="13" t="e" vm="15">
        <f ca="1"/>
        <v>#VALUE!</v>
      </c>
      <c r="AN39" s="13" t="e">
        <f ca="1"/>
        <v>#VALUE!</v>
      </c>
      <c r="AP39" s="13">
        <f ca="1"/>
        <v>36</v>
      </c>
      <c r="AQ39" s="13" t="str">
        <f ca="1"/>
        <v>Alessandro Sona</v>
      </c>
      <c r="AR39" s="13" t="e" vm="20">
        <f ca="1"/>
        <v>#VALUE!</v>
      </c>
      <c r="AS39" s="13" t="e">
        <f ca="1"/>
        <v>#VALUE!</v>
      </c>
      <c r="AU39" s="13">
        <f ca="1"/>
        <v>36</v>
      </c>
      <c r="AV39" s="13" t="str">
        <f ca="1"/>
        <v>Thomas Graf</v>
      </c>
      <c r="AW39" s="13" t="e" vm="15">
        <f ca="1"/>
        <v>#VALUE!</v>
      </c>
      <c r="AX39" s="13" t="e">
        <f ca="1"/>
        <v>#VALUE!</v>
      </c>
      <c r="AZ39" s="13">
        <f ca="1"/>
        <v>36</v>
      </c>
      <c r="BA39" s="13" t="str">
        <f ca="1"/>
        <v>Daniel Guemy</v>
      </c>
      <c r="BB39" s="13" t="e" vm="15">
        <f ca="1"/>
        <v>#VALUE!</v>
      </c>
      <c r="BC39" s="13" t="e">
        <f ca="1"/>
        <v>#VALUE!</v>
      </c>
      <c r="BE39" s="13">
        <f ca="1"/>
        <v>36</v>
      </c>
      <c r="BF39" s="13" t="str">
        <f ca="1"/>
        <v>Galathee Lesquerbault</v>
      </c>
      <c r="BG39" s="13" t="e" vm="15">
        <f ca="1"/>
        <v>#VALUE!</v>
      </c>
      <c r="BH39" s="13" t="e">
        <f ca="1"/>
        <v>#VALUE!</v>
      </c>
      <c r="BJ39" s="13">
        <f ca="1"/>
        <v>36</v>
      </c>
      <c r="BK39" s="13" t="str">
        <f ca="1"/>
        <v>Guillaume Salinaro</v>
      </c>
      <c r="BL39" s="13" t="e" vm="15">
        <f ca="1"/>
        <v>#VALUE!</v>
      </c>
      <c r="BM39" s="13" t="e">
        <f ca="1"/>
        <v>#VALUE!</v>
      </c>
      <c r="BO39" s="13">
        <f ca="1"/>
        <v>36</v>
      </c>
      <c r="BP39" s="13" t="str">
        <f ca="1"/>
        <v>Guillaume Salinaro</v>
      </c>
      <c r="BQ39" s="13" t="e" vm="15">
        <f ca="1"/>
        <v>#VALUE!</v>
      </c>
      <c r="BR39" s="13" t="e">
        <f ca="1"/>
        <v>#VALUE!</v>
      </c>
      <c r="BT39" s="13">
        <f ca="1"/>
        <v>36</v>
      </c>
      <c r="BU39" s="13" t="str">
        <f ca="1"/>
        <v>Galathee Lesquerbault</v>
      </c>
      <c r="BV39" s="13" t="e" vm="15">
        <f ca="1"/>
        <v>#VALUE!</v>
      </c>
      <c r="BW39" s="13" t="e">
        <f ca="1"/>
        <v>#VALUE!</v>
      </c>
      <c r="BY39" s="13">
        <f ca="1"/>
        <v>36</v>
      </c>
      <c r="BZ39" s="13" t="str">
        <f ca="1"/>
        <v>Baptiste Flavien</v>
      </c>
      <c r="CA39" s="13" t="e" vm="15">
        <f ca="1"/>
        <v>#VALUE!</v>
      </c>
      <c r="CB39" s="13" t="e">
        <f ca="1"/>
        <v>#VALUE!</v>
      </c>
      <c r="CD39" s="13">
        <f ca="1"/>
        <v>36</v>
      </c>
      <c r="CE39" s="13" t="str">
        <f ca="1"/>
        <v>Gerard Guilbaud</v>
      </c>
      <c r="CF39" s="13" t="e" vm="15">
        <f ca="1"/>
        <v>#VALUE!</v>
      </c>
      <c r="CG39" s="13" t="e">
        <f ca="1"/>
        <v>#VALUE!</v>
      </c>
      <c r="CI39" s="13">
        <f ca="1"/>
        <v>36</v>
      </c>
      <c r="CJ39" s="13" t="str">
        <f ca="1"/>
        <v>Julianne Autissier</v>
      </c>
      <c r="CK39" s="13" t="e" vm="15">
        <f ca="1"/>
        <v>#VALUE!</v>
      </c>
      <c r="CL39" s="13" t="e">
        <f ca="1"/>
        <v>#VALUE!</v>
      </c>
      <c r="CN39" s="13">
        <f ca="1"/>
        <v>36</v>
      </c>
      <c r="CO39" s="13" t="str">
        <f ca="1"/>
        <v>Danny Fonseca</v>
      </c>
      <c r="CP39" s="13" t="e" vm="21">
        <f ca="1"/>
        <v>#VALUE!</v>
      </c>
      <c r="CQ39" s="13" t="e">
        <f ca="1"/>
        <v>#VALUE!</v>
      </c>
      <c r="CS39" s="13">
        <f ca="1"/>
        <v>36</v>
      </c>
      <c r="CT39" s="13" t="str">
        <f ca="1"/>
        <v>Julianne Autissier</v>
      </c>
      <c r="CU39" s="13" t="e" vm="15">
        <f ca="1"/>
        <v>#VALUE!</v>
      </c>
      <c r="CV39" s="13" t="e">
        <f ca="1"/>
        <v>#VALUE!</v>
      </c>
    </row>
    <row r="40" spans="2:100">
      <c r="B40" s="13">
        <f ca="1"/>
        <v>37</v>
      </c>
      <c r="C40" s="13" t="str">
        <f ca="1"/>
        <v>Pierre Legendre</v>
      </c>
      <c r="D40" s="13" t="e" vm="15">
        <f ca="1"/>
        <v>#VALUE!</v>
      </c>
      <c r="E40" s="13" t="e">
        <f ca="1"/>
        <v>#VALUE!</v>
      </c>
      <c r="G40" s="13">
        <f ca="1"/>
        <v>37</v>
      </c>
      <c r="H40" s="13" t="str">
        <f ca="1"/>
        <v>Guillaume Salinaro</v>
      </c>
      <c r="I40" s="13" t="e" vm="15">
        <f ca="1"/>
        <v>#VALUE!</v>
      </c>
      <c r="J40" s="13" t="e">
        <f ca="1"/>
        <v>#VALUE!</v>
      </c>
      <c r="L40" s="13">
        <f ca="1"/>
        <v>37</v>
      </c>
      <c r="M40" s="13" t="str">
        <f ca="1"/>
        <v>Charly Greffier</v>
      </c>
      <c r="N40" s="13" t="e" vm="15">
        <f ca="1"/>
        <v>#VALUE!</v>
      </c>
      <c r="O40" s="13" t="e">
        <f ca="1"/>
        <v>#VALUE!</v>
      </c>
      <c r="Q40" s="13">
        <f ca="1"/>
        <v>37</v>
      </c>
      <c r="R40" s="13" t="str">
        <f ca="1"/>
        <v>Julianne Autissier</v>
      </c>
      <c r="S40" s="13" t="e" vm="15">
        <f ca="1"/>
        <v>#VALUE!</v>
      </c>
      <c r="T40" s="13" t="e">
        <f ca="1"/>
        <v>#VALUE!</v>
      </c>
      <c r="V40" s="13">
        <f ca="1"/>
        <v>37</v>
      </c>
      <c r="W40" s="13" t="str">
        <f ca="1"/>
        <v>Guilhem Zerathe</v>
      </c>
      <c r="X40" s="13" t="e" vm="15">
        <f ca="1"/>
        <v>#VALUE!</v>
      </c>
      <c r="Y40" s="13" t="e">
        <f ca="1"/>
        <v>#VALUE!</v>
      </c>
      <c r="AA40" s="13">
        <f ca="1"/>
        <v>37</v>
      </c>
      <c r="AB40" s="13" t="str">
        <f ca="1"/>
        <v>Galathee Lesquerbault</v>
      </c>
      <c r="AC40" s="13" t="e" vm="15">
        <f ca="1"/>
        <v>#VALUE!</v>
      </c>
      <c r="AD40" s="13" t="e">
        <f ca="1"/>
        <v>#VALUE!</v>
      </c>
      <c r="AF40" s="13">
        <f ca="1"/>
        <v>37</v>
      </c>
      <c r="AG40" s="13" t="str">
        <f ca="1"/>
        <v>Marine Camus</v>
      </c>
      <c r="AH40" s="13" t="e" vm="15">
        <f ca="1"/>
        <v>#VALUE!</v>
      </c>
      <c r="AI40" s="13" t="e">
        <f ca="1"/>
        <v>#VALUE!</v>
      </c>
      <c r="AK40" s="13">
        <f ca="1"/>
        <v>37</v>
      </c>
      <c r="AL40" s="13" t="str">
        <f ca="1"/>
        <v>Marine Camus</v>
      </c>
      <c r="AM40" s="13" t="e" vm="15">
        <f ca="1"/>
        <v>#VALUE!</v>
      </c>
      <c r="AN40" s="13" t="e">
        <f ca="1"/>
        <v>#VALUE!</v>
      </c>
      <c r="AP40" s="13">
        <f ca="1"/>
        <v>37</v>
      </c>
      <c r="AQ40" s="13" t="str">
        <f ca="1"/>
        <v>Pierre Legendre</v>
      </c>
      <c r="AR40" s="13" t="e" vm="15">
        <f ca="1"/>
        <v>#VALUE!</v>
      </c>
      <c r="AS40" s="13" t="e">
        <f ca="1"/>
        <v>#VALUE!</v>
      </c>
      <c r="AU40" s="13">
        <f ca="1"/>
        <v>37</v>
      </c>
      <c r="AV40" s="13" t="str">
        <f ca="1"/>
        <v>Guillaume Salinaro</v>
      </c>
      <c r="AW40" s="13" t="e" vm="15">
        <f ca="1"/>
        <v>#VALUE!</v>
      </c>
      <c r="AX40" s="13" t="e">
        <f ca="1"/>
        <v>#VALUE!</v>
      </c>
      <c r="AZ40" s="13">
        <f ca="1"/>
        <v>37</v>
      </c>
      <c r="BA40" s="13" t="str">
        <f ca="1"/>
        <v>Thomas Graf</v>
      </c>
      <c r="BB40" s="13" t="e" vm="15">
        <f ca="1"/>
        <v>#VALUE!</v>
      </c>
      <c r="BC40" s="13" t="e">
        <f ca="1"/>
        <v>#VALUE!</v>
      </c>
      <c r="BE40" s="13">
        <f ca="1"/>
        <v>37</v>
      </c>
      <c r="BF40" s="13" t="str">
        <f ca="1"/>
        <v>Pierre Legendre</v>
      </c>
      <c r="BG40" s="13" t="e" vm="15">
        <f ca="1"/>
        <v>#VALUE!</v>
      </c>
      <c r="BH40" s="13" t="e">
        <f ca="1"/>
        <v>#VALUE!</v>
      </c>
      <c r="BJ40" s="13">
        <f ca="1"/>
        <v>37</v>
      </c>
      <c r="BK40" s="13" t="str">
        <f ca="1"/>
        <v>Pierre Legendre</v>
      </c>
      <c r="BL40" s="13" t="e" vm="15">
        <f ca="1"/>
        <v>#VALUE!</v>
      </c>
      <c r="BM40" s="13" t="e">
        <f ca="1"/>
        <v>#VALUE!</v>
      </c>
      <c r="BO40" s="13">
        <f ca="1"/>
        <v>37</v>
      </c>
      <c r="BP40" s="13" t="str">
        <f ca="1"/>
        <v>Pierre Legendre</v>
      </c>
      <c r="BQ40" s="13" t="e" vm="15">
        <f ca="1"/>
        <v>#VALUE!</v>
      </c>
      <c r="BR40" s="13" t="e">
        <f ca="1"/>
        <v>#VALUE!</v>
      </c>
      <c r="BT40" s="13">
        <f ca="1"/>
        <v>37</v>
      </c>
      <c r="BU40" s="13" t="str">
        <f ca="1"/>
        <v>Pierre Legendre</v>
      </c>
      <c r="BV40" s="13" t="e" vm="15">
        <f ca="1"/>
        <v>#VALUE!</v>
      </c>
      <c r="BW40" s="13" t="e">
        <f ca="1"/>
        <v>#VALUE!</v>
      </c>
      <c r="BY40" s="13">
        <f ca="1"/>
        <v>37</v>
      </c>
      <c r="BZ40" s="13" t="str">
        <f ca="1"/>
        <v>Charly Greffier</v>
      </c>
      <c r="CA40" s="13" t="e" vm="15">
        <f ca="1"/>
        <v>#VALUE!</v>
      </c>
      <c r="CB40" s="13" t="e">
        <f ca="1"/>
        <v>#VALUE!</v>
      </c>
      <c r="CD40" s="13">
        <f ca="1"/>
        <v>37</v>
      </c>
      <c r="CE40" s="13" t="str">
        <f ca="1"/>
        <v>Pierre Legendre</v>
      </c>
      <c r="CF40" s="13" t="e" vm="15">
        <f ca="1"/>
        <v>#VALUE!</v>
      </c>
      <c r="CG40" s="13" t="e">
        <f ca="1"/>
        <v>#VALUE!</v>
      </c>
      <c r="CI40" s="13">
        <f ca="1"/>
        <v>37</v>
      </c>
      <c r="CJ40" s="13" t="str">
        <f ca="1"/>
        <v>Galathee Lesquerbault</v>
      </c>
      <c r="CK40" s="13" t="e" vm="15">
        <f ca="1"/>
        <v>#VALUE!</v>
      </c>
      <c r="CL40" s="13" t="e">
        <f ca="1"/>
        <v>#VALUE!</v>
      </c>
      <c r="CN40" s="13">
        <f ca="1"/>
        <v>37</v>
      </c>
      <c r="CO40" s="13" t="str">
        <f ca="1"/>
        <v>Alessandro Sona</v>
      </c>
      <c r="CP40" s="13" t="e" vm="20">
        <f ca="1"/>
        <v>#VALUE!</v>
      </c>
      <c r="CQ40" s="13" t="e">
        <f ca="1"/>
        <v>#VALUE!</v>
      </c>
      <c r="CS40" s="13">
        <f ca="1"/>
        <v>37</v>
      </c>
      <c r="CT40" s="13" t="str">
        <f ca="1"/>
        <v>Danny Fonseca</v>
      </c>
      <c r="CU40" s="13" t="e" vm="21">
        <f ca="1"/>
        <v>#VALUE!</v>
      </c>
      <c r="CV40" s="13" t="e">
        <f ca="1"/>
        <v>#VALUE!</v>
      </c>
    </row>
    <row r="41" spans="2:100">
      <c r="B41" s="13">
        <f ca="1"/>
        <v>38</v>
      </c>
      <c r="C41" s="13" t="str">
        <f ca="1"/>
        <v>Etienne Dutet</v>
      </c>
      <c r="D41" s="13" t="e" vm="15">
        <f ca="1"/>
        <v>#VALUE!</v>
      </c>
      <c r="E41" s="13" t="e">
        <f ca="1"/>
        <v>#VALUE!</v>
      </c>
      <c r="G41" s="13">
        <f ca="1"/>
        <v>38</v>
      </c>
      <c r="H41" s="13" t="str">
        <f ca="1"/>
        <v>Marine Camus</v>
      </c>
      <c r="I41" s="13" t="e" vm="15">
        <f ca="1"/>
        <v>#VALUE!</v>
      </c>
      <c r="J41" s="13" t="e">
        <f ca="1"/>
        <v>#VALUE!</v>
      </c>
      <c r="L41" s="13">
        <f ca="1"/>
        <v>38</v>
      </c>
      <c r="M41" s="13" t="str">
        <f ca="1"/>
        <v>Julianne Autissier</v>
      </c>
      <c r="N41" s="13" t="e" vm="15">
        <f ca="1"/>
        <v>#VALUE!</v>
      </c>
      <c r="O41" s="13" t="e">
        <f ca="1"/>
        <v>#VALUE!</v>
      </c>
      <c r="Q41" s="13">
        <f ca="1"/>
        <v>38</v>
      </c>
      <c r="R41" s="13" t="str">
        <f ca="1"/>
        <v>Guilhem Zerathe</v>
      </c>
      <c r="S41" s="13" t="e" vm="15">
        <f ca="1"/>
        <v>#VALUE!</v>
      </c>
      <c r="T41" s="13" t="e">
        <f ca="1"/>
        <v>#VALUE!</v>
      </c>
      <c r="V41" s="13">
        <f ca="1"/>
        <v>38</v>
      </c>
      <c r="W41" s="13" t="str">
        <f ca="1"/>
        <v>Guillaume Salinaro</v>
      </c>
      <c r="X41" s="13" t="e" vm="15">
        <f ca="1"/>
        <v>#VALUE!</v>
      </c>
      <c r="Y41" s="13" t="e">
        <f ca="1"/>
        <v>#VALUE!</v>
      </c>
      <c r="AA41" s="13">
        <f ca="1"/>
        <v>38</v>
      </c>
      <c r="AB41" s="13" t="str">
        <f ca="1"/>
        <v>Danny Fonseca</v>
      </c>
      <c r="AC41" s="13" t="e" vm="21">
        <f ca="1"/>
        <v>#VALUE!</v>
      </c>
      <c r="AD41" s="13" t="e">
        <f ca="1"/>
        <v>#VALUE!</v>
      </c>
      <c r="AF41" s="13">
        <f ca="1"/>
        <v>38</v>
      </c>
      <c r="AG41" s="13" t="str">
        <f ca="1"/>
        <v>Julianne Autissier</v>
      </c>
      <c r="AH41" s="13" t="e" vm="15">
        <f ca="1"/>
        <v>#VALUE!</v>
      </c>
      <c r="AI41" s="13" t="e">
        <f ca="1"/>
        <v>#VALUE!</v>
      </c>
      <c r="AK41" s="13">
        <f ca="1"/>
        <v>38</v>
      </c>
      <c r="AL41" s="13" t="str">
        <f ca="1"/>
        <v>Guillaume Salinaro</v>
      </c>
      <c r="AM41" s="13" t="e" vm="15">
        <f ca="1"/>
        <v>#VALUE!</v>
      </c>
      <c r="AN41" s="13" t="e">
        <f ca="1"/>
        <v>#VALUE!</v>
      </c>
      <c r="AP41" s="13">
        <f ca="1"/>
        <v>38</v>
      </c>
      <c r="AQ41" s="13" t="str">
        <f ca="1"/>
        <v>Julianne Autissier</v>
      </c>
      <c r="AR41" s="13" t="e" vm="15">
        <f ca="1"/>
        <v>#VALUE!</v>
      </c>
      <c r="AS41" s="13" t="e">
        <f ca="1"/>
        <v>#VALUE!</v>
      </c>
      <c r="AU41" s="13">
        <f ca="1"/>
        <v>38</v>
      </c>
      <c r="AV41" s="13" t="str">
        <f ca="1"/>
        <v>Galathee Lesquerbault</v>
      </c>
      <c r="AW41" s="13" t="e" vm="15">
        <f ca="1"/>
        <v>#VALUE!</v>
      </c>
      <c r="AX41" s="13" t="e">
        <f ca="1"/>
        <v>#VALUE!</v>
      </c>
      <c r="AZ41" s="13">
        <f ca="1"/>
        <v>38</v>
      </c>
      <c r="BA41" s="13" t="str">
        <f ca="1"/>
        <v>Martin Pfeiffer</v>
      </c>
      <c r="BB41" s="13" t="e" vm="15">
        <f ca="1"/>
        <v>#VALUE!</v>
      </c>
      <c r="BC41" s="13" t="e">
        <f ca="1"/>
        <v>#VALUE!</v>
      </c>
      <c r="BE41" s="13">
        <f ca="1"/>
        <v>38</v>
      </c>
      <c r="BF41" s="13" t="str">
        <f ca="1"/>
        <v>Marine Camus</v>
      </c>
      <c r="BG41" s="13" t="e" vm="15">
        <f ca="1"/>
        <v>#VALUE!</v>
      </c>
      <c r="BH41" s="13" t="e">
        <f ca="1"/>
        <v>#VALUE!</v>
      </c>
      <c r="BJ41" s="13">
        <f ca="1"/>
        <v>38</v>
      </c>
      <c r="BK41" s="13" t="str">
        <f ca="1"/>
        <v>Marine Camus</v>
      </c>
      <c r="BL41" s="13" t="e" vm="15">
        <f ca="1"/>
        <v>#VALUE!</v>
      </c>
      <c r="BM41" s="13" t="e">
        <f ca="1"/>
        <v>#VALUE!</v>
      </c>
      <c r="BO41" s="13">
        <f ca="1"/>
        <v>38</v>
      </c>
      <c r="BP41" s="13" t="str">
        <f ca="1"/>
        <v>Alessandro Sona</v>
      </c>
      <c r="BQ41" s="13" t="e" vm="20">
        <f ca="1"/>
        <v>#VALUE!</v>
      </c>
      <c r="BR41" s="13" t="e">
        <f ca="1"/>
        <v>#VALUE!</v>
      </c>
      <c r="BT41" s="13">
        <f ca="1"/>
        <v>38</v>
      </c>
      <c r="BU41" s="13" t="str">
        <f ca="1"/>
        <v>Marine Camus</v>
      </c>
      <c r="BV41" s="13" t="e" vm="15">
        <f ca="1"/>
        <v>#VALUE!</v>
      </c>
      <c r="BW41" s="13" t="e">
        <f ca="1"/>
        <v>#VALUE!</v>
      </c>
      <c r="BY41" s="13">
        <f ca="1"/>
        <v>38</v>
      </c>
      <c r="BZ41" s="13" t="str">
        <f ca="1"/>
        <v>Sjors Rijsdam</v>
      </c>
      <c r="CA41" s="13" t="e" vm="12">
        <f ca="1"/>
        <v>#VALUE!</v>
      </c>
      <c r="CB41" s="13" t="e">
        <f ca="1"/>
        <v>#VALUE!</v>
      </c>
      <c r="CD41" s="13">
        <f ca="1"/>
        <v>38</v>
      </c>
      <c r="CE41" s="13" t="str">
        <f ca="1"/>
        <v>Guillaume Salinaro</v>
      </c>
      <c r="CF41" s="13" t="e" vm="15">
        <f ca="1"/>
        <v>#VALUE!</v>
      </c>
      <c r="CG41" s="13" t="e">
        <f ca="1"/>
        <v>#VALUE!</v>
      </c>
      <c r="CI41" s="13">
        <f ca="1"/>
        <v>38</v>
      </c>
      <c r="CJ41" s="13" t="str">
        <f ca="1"/>
        <v>Alessandro Sona</v>
      </c>
      <c r="CK41" s="13" t="e" vm="20">
        <f ca="1"/>
        <v>#VALUE!</v>
      </c>
      <c r="CL41" s="13" t="e">
        <f ca="1"/>
        <v>#VALUE!</v>
      </c>
      <c r="CN41" s="13">
        <f ca="1"/>
        <v>38</v>
      </c>
      <c r="CO41" s="13" t="str">
        <f ca="1"/>
        <v>Gerard Guilbaud</v>
      </c>
      <c r="CP41" s="13" t="e" vm="15">
        <f ca="1"/>
        <v>#VALUE!</v>
      </c>
      <c r="CQ41" s="13" t="e">
        <f ca="1"/>
        <v>#VALUE!</v>
      </c>
      <c r="CS41" s="13">
        <f ca="1"/>
        <v>38</v>
      </c>
      <c r="CT41" s="13" t="str">
        <f ca="1"/>
        <v>Alessandro Sona</v>
      </c>
      <c r="CU41" s="13" t="e" vm="20">
        <f ca="1"/>
        <v>#VALUE!</v>
      </c>
      <c r="CV41" s="13" t="e">
        <f ca="1"/>
        <v>#VALUE!</v>
      </c>
    </row>
    <row r="42" spans="2:100">
      <c r="B42" s="4">
        <f ca="1"/>
        <v>39</v>
      </c>
      <c r="C42" s="4" t="str">
        <f ca="1"/>
        <v>Charly Greffier</v>
      </c>
      <c r="D42" s="4" t="e" vm="15">
        <f ca="1"/>
        <v>#VALUE!</v>
      </c>
      <c r="E42" s="5" t="e">
        <f ca="1"/>
        <v>#VALUE!</v>
      </c>
      <c r="G42" s="4">
        <f ca="1"/>
        <v>39</v>
      </c>
      <c r="H42" s="4" t="str">
        <f ca="1"/>
        <v>Alessandro Sona</v>
      </c>
      <c r="I42" s="4" t="e" vm="20">
        <f ca="1"/>
        <v>#VALUE!</v>
      </c>
      <c r="J42" s="5" t="e">
        <f ca="1"/>
        <v>#VALUE!</v>
      </c>
      <c r="L42" s="4">
        <f ca="1"/>
        <v>39</v>
      </c>
      <c r="M42" s="4" t="str">
        <f ca="1"/>
        <v>Guillaume Salinaro</v>
      </c>
      <c r="N42" s="4" t="e" vm="15">
        <f ca="1"/>
        <v>#VALUE!</v>
      </c>
      <c r="O42" s="5" t="e">
        <f ca="1"/>
        <v>#VALUE!</v>
      </c>
      <c r="Q42" s="4">
        <f ca="1"/>
        <v>39</v>
      </c>
      <c r="R42" s="4" t="str">
        <f ca="1"/>
        <v>Galathee Lesquerbault</v>
      </c>
      <c r="S42" s="4" t="e" vm="15">
        <f ca="1"/>
        <v>#VALUE!</v>
      </c>
      <c r="T42" s="5" t="e">
        <f ca="1"/>
        <v>#VALUE!</v>
      </c>
      <c r="V42" s="4">
        <f ca="1"/>
        <v>39</v>
      </c>
      <c r="W42" s="4" t="str">
        <f ca="1"/>
        <v>Galathee Lesquerbault</v>
      </c>
      <c r="X42" s="4" t="e" vm="15">
        <f ca="1"/>
        <v>#VALUE!</v>
      </c>
      <c r="Y42" s="5" t="e">
        <f ca="1"/>
        <v>#VALUE!</v>
      </c>
      <c r="AA42" s="4">
        <f ca="1"/>
        <v>39</v>
      </c>
      <c r="AB42" s="4" t="str">
        <f ca="1"/>
        <v>Baptiste Flavien</v>
      </c>
      <c r="AC42" s="4" t="e" vm="15">
        <f ca="1"/>
        <v>#VALUE!</v>
      </c>
      <c r="AD42" s="5" t="e">
        <f ca="1"/>
        <v>#VALUE!</v>
      </c>
      <c r="AF42" s="4">
        <f ca="1"/>
        <v>39</v>
      </c>
      <c r="AG42" s="4" t="str">
        <f ca="1"/>
        <v>Guillaume Salinaro</v>
      </c>
      <c r="AH42" s="4" t="e" vm="15">
        <f ca="1"/>
        <v>#VALUE!</v>
      </c>
      <c r="AI42" s="5" t="e">
        <f ca="1"/>
        <v>#VALUE!</v>
      </c>
      <c r="AK42" s="4">
        <f ca="1"/>
        <v>39</v>
      </c>
      <c r="AL42" s="4" t="str">
        <f ca="1"/>
        <v>Baptiste Flavien</v>
      </c>
      <c r="AM42" s="4" t="e" vm="15">
        <f ca="1"/>
        <v>#VALUE!</v>
      </c>
      <c r="AN42" s="5" t="e">
        <f ca="1"/>
        <v>#VALUE!</v>
      </c>
      <c r="AP42" s="4">
        <f ca="1"/>
        <v>39</v>
      </c>
      <c r="AQ42" s="4" t="str">
        <f ca="1"/>
        <v>Galathee Lesquerbault</v>
      </c>
      <c r="AR42" s="4" t="e" vm="15">
        <f ca="1"/>
        <v>#VALUE!</v>
      </c>
      <c r="AS42" s="5" t="e">
        <f ca="1"/>
        <v>#VALUE!</v>
      </c>
      <c r="AU42" s="4">
        <f ca="1"/>
        <v>39</v>
      </c>
      <c r="AV42" s="4" t="str">
        <f ca="1"/>
        <v>Alessandro Sona</v>
      </c>
      <c r="AW42" s="4" t="e" vm="20">
        <f ca="1"/>
        <v>#VALUE!</v>
      </c>
      <c r="AX42" s="5" t="e">
        <f ca="1"/>
        <v>#VALUE!</v>
      </c>
      <c r="AZ42" s="4">
        <f ca="1"/>
        <v>39</v>
      </c>
      <c r="BA42" s="4" t="str">
        <f ca="1"/>
        <v>Julien Fadensois</v>
      </c>
      <c r="BB42" s="4" t="e" vm="15">
        <f ca="1"/>
        <v>#VALUE!</v>
      </c>
      <c r="BC42" s="5" t="e">
        <f ca="1"/>
        <v>#VALUE!</v>
      </c>
      <c r="BE42" s="4">
        <f ca="1"/>
        <v>39</v>
      </c>
      <c r="BF42" s="4" t="str">
        <f ca="1"/>
        <v>Gerard Guilbaud</v>
      </c>
      <c r="BG42" s="4" t="e" vm="15">
        <f ca="1"/>
        <v>#VALUE!</v>
      </c>
      <c r="BH42" s="5" t="e">
        <f ca="1"/>
        <v>#VALUE!</v>
      </c>
      <c r="BJ42" s="4">
        <f ca="1"/>
        <v>39</v>
      </c>
      <c r="BK42" s="4" t="str">
        <f ca="1"/>
        <v>Charly Greffier</v>
      </c>
      <c r="BL42" s="4" t="e" vm="15">
        <f ca="1"/>
        <v>#VALUE!</v>
      </c>
      <c r="BM42" s="5" t="e">
        <f ca="1"/>
        <v>#VALUE!</v>
      </c>
      <c r="BO42" s="4">
        <f ca="1"/>
        <v>39</v>
      </c>
      <c r="BP42" s="4" t="str">
        <f ca="1"/>
        <v>Guilhem Zerathe</v>
      </c>
      <c r="BQ42" s="4" t="e" vm="15">
        <f ca="1"/>
        <v>#VALUE!</v>
      </c>
      <c r="BR42" s="5" t="e">
        <f ca="1"/>
        <v>#VALUE!</v>
      </c>
      <c r="BT42" s="4">
        <f ca="1"/>
        <v>39</v>
      </c>
      <c r="BU42" s="4" t="str">
        <f ca="1"/>
        <v>Guilhem Zerathe</v>
      </c>
      <c r="BV42" s="4" t="e" vm="15">
        <f ca="1"/>
        <v>#VALUE!</v>
      </c>
      <c r="BW42" s="5" t="e">
        <f ca="1"/>
        <v>#VALUE!</v>
      </c>
      <c r="BY42" s="4">
        <f ca="1"/>
        <v>39</v>
      </c>
      <c r="BZ42" s="4" t="str">
        <f ca="1"/>
        <v>Gerard Guilbaud</v>
      </c>
      <c r="CA42" s="4" t="e" vm="15">
        <f ca="1"/>
        <v>#VALUE!</v>
      </c>
      <c r="CB42" s="5" t="e">
        <f ca="1"/>
        <v>#VALUE!</v>
      </c>
      <c r="CD42" s="4">
        <f ca="1"/>
        <v>39</v>
      </c>
      <c r="CE42" s="4" t="str">
        <f ca="1"/>
        <v>Marine Camus</v>
      </c>
      <c r="CF42" s="4" t="e" vm="15">
        <f ca="1"/>
        <v>#VALUE!</v>
      </c>
      <c r="CG42" s="5" t="e">
        <f ca="1"/>
        <v>#VALUE!</v>
      </c>
      <c r="CI42" s="4">
        <f ca="1"/>
        <v>39</v>
      </c>
      <c r="CJ42" s="4" t="str">
        <f ca="1"/>
        <v>Danny Fonseca</v>
      </c>
      <c r="CK42" s="4" t="e" vm="21">
        <f ca="1"/>
        <v>#VALUE!</v>
      </c>
      <c r="CL42" s="5" t="e">
        <f ca="1"/>
        <v>#VALUE!</v>
      </c>
      <c r="CN42" s="4">
        <f ca="1"/>
        <v>39</v>
      </c>
      <c r="CO42" s="4" t="str">
        <f ca="1"/>
        <v>Julien Fadensois</v>
      </c>
      <c r="CP42" s="4" t="e" vm="15">
        <f ca="1"/>
        <v>#VALUE!</v>
      </c>
      <c r="CQ42" s="5" t="e">
        <f ca="1"/>
        <v>#VALUE!</v>
      </c>
      <c r="CS42" s="4">
        <f ca="1"/>
        <v>39</v>
      </c>
      <c r="CT42" s="4" t="str">
        <f ca="1"/>
        <v>Julien Fadensois</v>
      </c>
      <c r="CU42" s="4" t="e" vm="15">
        <f ca="1"/>
        <v>#VALUE!</v>
      </c>
      <c r="CV42" s="5" t="e">
        <f ca="1"/>
        <v>#VALUE!</v>
      </c>
    </row>
    <row r="43" spans="2:100">
      <c r="B43" s="4">
        <f ca="1"/>
        <v>40</v>
      </c>
      <c r="C43" s="4" t="str">
        <f ca="1"/>
        <v>Guilhem Zerathe</v>
      </c>
      <c r="D43" s="4" t="e" vm="15">
        <f ca="1"/>
        <v>#VALUE!</v>
      </c>
      <c r="E43" s="5" t="e">
        <f ca="1"/>
        <v>#VALUE!</v>
      </c>
      <c r="G43" s="4">
        <f ca="1"/>
        <v>40</v>
      </c>
      <c r="H43" s="4" t="str">
        <f ca="1"/>
        <v>Guilhem Zerathe</v>
      </c>
      <c r="I43" s="4" t="e" vm="15">
        <f ca="1"/>
        <v>#VALUE!</v>
      </c>
      <c r="J43" s="5" t="e">
        <f ca="1"/>
        <v>#VALUE!</v>
      </c>
      <c r="L43" s="4">
        <f ca="1"/>
        <v>40</v>
      </c>
      <c r="M43" s="4" t="str">
        <f ca="1"/>
        <v>Guilhem Zerathe</v>
      </c>
      <c r="N43" s="4" t="e" vm="15">
        <f ca="1"/>
        <v>#VALUE!</v>
      </c>
      <c r="O43" s="5" t="e">
        <f ca="1"/>
        <v>#VALUE!</v>
      </c>
      <c r="Q43" s="4">
        <f ca="1"/>
        <v>40</v>
      </c>
      <c r="R43" s="4" t="str">
        <f ca="1"/>
        <v>Charly Greffier</v>
      </c>
      <c r="S43" s="4" t="e" vm="15">
        <f ca="1"/>
        <v>#VALUE!</v>
      </c>
      <c r="T43" s="5" t="e">
        <f ca="1"/>
        <v>#VALUE!</v>
      </c>
      <c r="V43" s="4">
        <f ca="1"/>
        <v>40</v>
      </c>
      <c r="W43" s="4" t="str">
        <f ca="1"/>
        <v>Charly Greffier</v>
      </c>
      <c r="X43" s="4" t="e" vm="15">
        <f ca="1"/>
        <v>#VALUE!</v>
      </c>
      <c r="Y43" s="5" t="e">
        <f ca="1"/>
        <v>#VALUE!</v>
      </c>
      <c r="AA43" s="4">
        <f ca="1"/>
        <v>40</v>
      </c>
      <c r="AB43" s="4" t="str">
        <f ca="1"/>
        <v>Julianne Autissier</v>
      </c>
      <c r="AC43" s="4" t="e" vm="15">
        <f ca="1"/>
        <v>#VALUE!</v>
      </c>
      <c r="AD43" s="5" t="e">
        <f ca="1"/>
        <v>#VALUE!</v>
      </c>
      <c r="AF43" s="4">
        <f ca="1"/>
        <v>40</v>
      </c>
      <c r="AG43" s="4" t="str">
        <f ca="1"/>
        <v>Charly Greffier</v>
      </c>
      <c r="AH43" s="4" t="e" vm="15">
        <f ca="1"/>
        <v>#VALUE!</v>
      </c>
      <c r="AI43" s="5" t="e">
        <f ca="1"/>
        <v>#VALUE!</v>
      </c>
      <c r="AK43" s="4">
        <f ca="1"/>
        <v>40</v>
      </c>
      <c r="AL43" s="4" t="str">
        <f ca="1"/>
        <v>Charly Greffier</v>
      </c>
      <c r="AM43" s="4" t="e" vm="15">
        <f ca="1"/>
        <v>#VALUE!</v>
      </c>
      <c r="AN43" s="5" t="e">
        <f ca="1"/>
        <v>#VALUE!</v>
      </c>
      <c r="AP43" s="4">
        <f ca="1"/>
        <v>40</v>
      </c>
      <c r="AQ43" s="4" t="str">
        <f ca="1"/>
        <v>Ashley Taylor</v>
      </c>
      <c r="AR43" s="4" t="e" vm="13">
        <f ca="1"/>
        <v>#VALUE!</v>
      </c>
      <c r="AS43" s="5" t="e">
        <f ca="1"/>
        <v>#VALUE!</v>
      </c>
      <c r="AU43" s="4">
        <f ca="1"/>
        <v>40</v>
      </c>
      <c r="AV43" s="4" t="str">
        <f ca="1"/>
        <v>Marine Camus</v>
      </c>
      <c r="AW43" s="4" t="e" vm="15">
        <f ca="1"/>
        <v>#VALUE!</v>
      </c>
      <c r="AX43" s="5" t="e">
        <f ca="1"/>
        <v>#VALUE!</v>
      </c>
      <c r="AZ43" s="4">
        <f ca="1"/>
        <v>40</v>
      </c>
      <c r="BA43" s="4" t="str">
        <f ca="1"/>
        <v>Pierre Legendre</v>
      </c>
      <c r="BB43" s="4" t="e" vm="15">
        <f ca="1"/>
        <v>#VALUE!</v>
      </c>
      <c r="BC43" s="5" t="e">
        <f ca="1"/>
        <v>#VALUE!</v>
      </c>
      <c r="BE43" s="4">
        <f ca="1"/>
        <v>40</v>
      </c>
      <c r="BF43" s="4" t="str">
        <f ca="1"/>
        <v>Baptiste Flavien</v>
      </c>
      <c r="BG43" s="4" t="e" vm="15">
        <f ca="1"/>
        <v>#VALUE!</v>
      </c>
      <c r="BH43" s="5" t="e">
        <f ca="1"/>
        <v>#VALUE!</v>
      </c>
      <c r="BJ43" s="4">
        <f ca="1"/>
        <v>40</v>
      </c>
      <c r="BK43" s="4" t="str">
        <f ca="1"/>
        <v>Ashley Taylor</v>
      </c>
      <c r="BL43" s="4" t="e" vm="13">
        <f ca="1"/>
        <v>#VALUE!</v>
      </c>
      <c r="BM43" s="5" t="e">
        <f ca="1"/>
        <v>#VALUE!</v>
      </c>
      <c r="BO43" s="4">
        <f ca="1"/>
        <v>40</v>
      </c>
      <c r="BP43" s="4" t="str">
        <f ca="1"/>
        <v>Gerard Guilbaud</v>
      </c>
      <c r="BQ43" s="4" t="e" vm="15">
        <f ca="1"/>
        <v>#VALUE!</v>
      </c>
      <c r="BR43" s="5" t="e">
        <f ca="1"/>
        <v>#VALUE!</v>
      </c>
      <c r="BT43" s="4">
        <f ca="1"/>
        <v>40</v>
      </c>
      <c r="BU43" s="4" t="str">
        <f ca="1"/>
        <v>Charly Greffier</v>
      </c>
      <c r="BV43" s="4" t="e" vm="15">
        <f ca="1"/>
        <v>#VALUE!</v>
      </c>
      <c r="BW43" s="5" t="e">
        <f ca="1"/>
        <v>#VALUE!</v>
      </c>
      <c r="BY43" s="4">
        <f ca="1"/>
        <v>40</v>
      </c>
      <c r="BZ43" s="4" t="str">
        <f ca="1"/>
        <v>Thomas Graf</v>
      </c>
      <c r="CA43" s="4" t="e" vm="15">
        <f ca="1"/>
        <v>#VALUE!</v>
      </c>
      <c r="CB43" s="5" t="e">
        <f ca="1"/>
        <v>#VALUE!</v>
      </c>
      <c r="CD43" s="4">
        <f ca="1"/>
        <v>40</v>
      </c>
      <c r="CE43" s="4" t="str">
        <f ca="1"/>
        <v>Galathee Lesquerbault</v>
      </c>
      <c r="CF43" s="4" t="e" vm="15">
        <f ca="1"/>
        <v>#VALUE!</v>
      </c>
      <c r="CG43" s="5" t="e">
        <f ca="1"/>
        <v>#VALUE!</v>
      </c>
      <c r="CI43" s="4">
        <f ca="1"/>
        <v>40</v>
      </c>
      <c r="CJ43" s="4" t="str">
        <f ca="1"/>
        <v>Etienne Girondel</v>
      </c>
      <c r="CK43" s="4" t="e" vm="15">
        <f ca="1"/>
        <v>#VALUE!</v>
      </c>
      <c r="CL43" s="5" t="e">
        <f ca="1"/>
        <v>#VALUE!</v>
      </c>
      <c r="CN43" s="4">
        <f ca="1"/>
        <v>40</v>
      </c>
      <c r="CO43" s="4" t="str">
        <f ca="1"/>
        <v>Marine Camus</v>
      </c>
      <c r="CP43" s="4" t="e" vm="15">
        <f ca="1"/>
        <v>#VALUE!</v>
      </c>
      <c r="CQ43" s="5" t="e">
        <f ca="1"/>
        <v>#VALUE!</v>
      </c>
      <c r="CS43" s="4">
        <f ca="1"/>
        <v>40</v>
      </c>
      <c r="CT43" s="4" t="str">
        <f ca="1"/>
        <v>Pierre Legendre</v>
      </c>
      <c r="CU43" s="4" t="e" vm="15">
        <f ca="1"/>
        <v>#VALUE!</v>
      </c>
      <c r="CV43" s="5" t="e">
        <f ca="1"/>
        <v>#VALUE!</v>
      </c>
    </row>
    <row r="44" spans="2:100">
      <c r="B44" s="4">
        <f ca="1"/>
        <v>41</v>
      </c>
      <c r="C44" s="4" t="str">
        <f ca="1"/>
        <v>Galathee Lesquerbault</v>
      </c>
      <c r="D44" s="4" t="e" vm="15">
        <f ca="1"/>
        <v>#VALUE!</v>
      </c>
      <c r="E44" s="5" t="e">
        <f ca="1"/>
        <v>#VALUE!</v>
      </c>
      <c r="G44" s="4">
        <f ca="1"/>
        <v>41</v>
      </c>
      <c r="H44" s="4" t="str">
        <f ca="1"/>
        <v>Charly Greffier</v>
      </c>
      <c r="I44" s="4" t="e" vm="15">
        <f ca="1"/>
        <v>#VALUE!</v>
      </c>
      <c r="J44" s="5" t="e">
        <f ca="1"/>
        <v>#VALUE!</v>
      </c>
      <c r="L44" s="4">
        <f ca="1"/>
        <v>41</v>
      </c>
      <c r="M44" s="4" t="str">
        <f ca="1"/>
        <v>Alessandro Sona</v>
      </c>
      <c r="N44" s="4" t="e" vm="20">
        <f ca="1"/>
        <v>#VALUE!</v>
      </c>
      <c r="O44" s="5" t="e">
        <f ca="1"/>
        <v>#VALUE!</v>
      </c>
      <c r="Q44" s="4">
        <f ca="1"/>
        <v>41</v>
      </c>
      <c r="R44" s="4" t="str">
        <f ca="1"/>
        <v>Alessandro Sona</v>
      </c>
      <c r="S44" s="4" t="e" vm="20">
        <f ca="1"/>
        <v>#VALUE!</v>
      </c>
      <c r="T44" s="5" t="e">
        <f ca="1"/>
        <v>#VALUE!</v>
      </c>
      <c r="V44" s="4">
        <f ca="1"/>
        <v>41</v>
      </c>
      <c r="W44" s="4" t="str">
        <f ca="1"/>
        <v>Marine Camus</v>
      </c>
      <c r="X44" s="4" t="e" vm="15">
        <f ca="1"/>
        <v>#VALUE!</v>
      </c>
      <c r="Y44" s="5" t="e">
        <f ca="1"/>
        <v>#VALUE!</v>
      </c>
      <c r="AA44" s="4">
        <f ca="1"/>
        <v>41</v>
      </c>
      <c r="AB44" s="4" t="str">
        <f ca="1"/>
        <v>Charly Greffier</v>
      </c>
      <c r="AC44" s="4" t="e" vm="15">
        <f ca="1"/>
        <v>#VALUE!</v>
      </c>
      <c r="AD44" s="5" t="e">
        <f ca="1"/>
        <v>#VALUE!</v>
      </c>
      <c r="AF44" s="4">
        <f ca="1"/>
        <v>41</v>
      </c>
      <c r="AG44" s="4" t="str">
        <f ca="1"/>
        <v>Danny Fonseca</v>
      </c>
      <c r="AH44" s="4" t="e" vm="21">
        <f ca="1"/>
        <v>#VALUE!</v>
      </c>
      <c r="AI44" s="5" t="e">
        <f ca="1"/>
        <v>#VALUE!</v>
      </c>
      <c r="AK44" s="4">
        <f ca="1"/>
        <v>41</v>
      </c>
      <c r="AL44" s="4" t="str">
        <f ca="1"/>
        <v>Gerard Guilbaud</v>
      </c>
      <c r="AM44" s="4" t="e" vm="15">
        <f ca="1"/>
        <v>#VALUE!</v>
      </c>
      <c r="AN44" s="5" t="e">
        <f ca="1"/>
        <v>#VALUE!</v>
      </c>
      <c r="AP44" s="4">
        <f ca="1"/>
        <v>41</v>
      </c>
      <c r="AQ44" s="4" t="str">
        <f ca="1"/>
        <v>Guillaume Salinaro</v>
      </c>
      <c r="AR44" s="4" t="e" vm="15">
        <f ca="1"/>
        <v>#VALUE!</v>
      </c>
      <c r="AS44" s="5" t="e">
        <f ca="1"/>
        <v>#VALUE!</v>
      </c>
      <c r="AU44" s="4">
        <f ca="1"/>
        <v>41</v>
      </c>
      <c r="AV44" s="4" t="str">
        <f ca="1"/>
        <v>Gerard Guilbaud</v>
      </c>
      <c r="AW44" s="4" t="e" vm="15">
        <f ca="1"/>
        <v>#VALUE!</v>
      </c>
      <c r="AX44" s="5" t="e">
        <f ca="1"/>
        <v>#VALUE!</v>
      </c>
      <c r="AZ44" s="4">
        <f ca="1"/>
        <v>41</v>
      </c>
      <c r="BA44" s="4" t="str">
        <f ca="1"/>
        <v>Tom Pele</v>
      </c>
      <c r="BB44" s="4" t="e" vm="15">
        <f ca="1"/>
        <v>#VALUE!</v>
      </c>
      <c r="BC44" s="5" t="e">
        <f ca="1"/>
        <v>#VALUE!</v>
      </c>
      <c r="BE44" s="4">
        <f ca="1"/>
        <v>41</v>
      </c>
      <c r="BF44" s="4" t="str">
        <f ca="1"/>
        <v>Charly Greffier</v>
      </c>
      <c r="BG44" s="4" t="e" vm="15">
        <f ca="1"/>
        <v>#VALUE!</v>
      </c>
      <c r="BH44" s="5" t="e">
        <f ca="1"/>
        <v>#VALUE!</v>
      </c>
      <c r="BJ44" s="4">
        <f ca="1"/>
        <v>41</v>
      </c>
      <c r="BK44" s="4" t="str">
        <f ca="1"/>
        <v>Gerard Guilbaud</v>
      </c>
      <c r="BL44" s="4" t="e" vm="15">
        <f ca="1"/>
        <v>#VALUE!</v>
      </c>
      <c r="BM44" s="5" t="e">
        <f ca="1"/>
        <v>#VALUE!</v>
      </c>
      <c r="BO44" s="4">
        <f ca="1"/>
        <v>41</v>
      </c>
      <c r="BP44" s="4" t="str">
        <f ca="1"/>
        <v>Ashley Taylor</v>
      </c>
      <c r="BQ44" s="4" t="e" vm="13">
        <f ca="1"/>
        <v>#VALUE!</v>
      </c>
      <c r="BR44" s="5" t="e">
        <f ca="1"/>
        <v>#VALUE!</v>
      </c>
      <c r="BT44" s="4">
        <f ca="1"/>
        <v>41</v>
      </c>
      <c r="BU44" s="4" t="str">
        <f ca="1"/>
        <v>Julianne Autissier</v>
      </c>
      <c r="BV44" s="4" t="e" vm="15">
        <f ca="1"/>
        <v>#VALUE!</v>
      </c>
      <c r="BW44" s="5" t="e">
        <f ca="1"/>
        <v>#VALUE!</v>
      </c>
      <c r="BY44" s="4">
        <f ca="1"/>
        <v>41</v>
      </c>
      <c r="BZ44" s="4" t="str">
        <f ca="1"/>
        <v>Danny Fonseca</v>
      </c>
      <c r="CA44" s="4" t="e" vm="21">
        <f ca="1"/>
        <v>#VALUE!</v>
      </c>
      <c r="CB44" s="5" t="e">
        <f ca="1"/>
        <v>#VALUE!</v>
      </c>
      <c r="CD44" s="4">
        <f ca="1"/>
        <v>41</v>
      </c>
      <c r="CE44" s="4" t="str">
        <f ca="1"/>
        <v>Danny Fonseca</v>
      </c>
      <c r="CF44" s="4" t="e" vm="21">
        <f ca="1"/>
        <v>#VALUE!</v>
      </c>
      <c r="CG44" s="5" t="e">
        <f ca="1"/>
        <v>#VALUE!</v>
      </c>
      <c r="CI44" s="4">
        <f ca="1"/>
        <v>41</v>
      </c>
      <c r="CJ44" s="4" t="str">
        <f ca="1"/>
        <v>Charly Greffier</v>
      </c>
      <c r="CK44" s="4" t="e" vm="15">
        <f ca="1"/>
        <v>#VALUE!</v>
      </c>
      <c r="CL44" s="5" t="e">
        <f ca="1"/>
        <v>#VALUE!</v>
      </c>
      <c r="CN44" s="4">
        <f ca="1"/>
        <v>41</v>
      </c>
      <c r="CO44" s="4" t="str">
        <f ca="1"/>
        <v>Julianne Autissier</v>
      </c>
      <c r="CP44" s="4" t="e" vm="15">
        <f ca="1"/>
        <v>#VALUE!</v>
      </c>
      <c r="CQ44" s="5" t="e">
        <f ca="1"/>
        <v>#VALUE!</v>
      </c>
      <c r="CS44" s="4">
        <f ca="1"/>
        <v>41</v>
      </c>
      <c r="CT44" s="4" t="str">
        <f ca="1"/>
        <v>Baptiste Flavien</v>
      </c>
      <c r="CU44" s="4" t="e" vm="15">
        <f ca="1"/>
        <v>#VALUE!</v>
      </c>
      <c r="CV44" s="5" t="e">
        <f ca="1"/>
        <v>#VALUE!</v>
      </c>
    </row>
    <row r="45" spans="2:100">
      <c r="B45" s="4">
        <f ca="1"/>
        <v>42</v>
      </c>
      <c r="C45" s="4" t="str">
        <f ca="1"/>
        <v>Julianne Autissier</v>
      </c>
      <c r="D45" s="4" t="e" vm="15">
        <f ca="1"/>
        <v>#VALUE!</v>
      </c>
      <c r="E45" s="5" t="e">
        <f ca="1"/>
        <v>#VALUE!</v>
      </c>
      <c r="G45" s="4">
        <f ca="1"/>
        <v>42</v>
      </c>
      <c r="H45" s="4" t="str">
        <f ca="1"/>
        <v>Julianne Autissier</v>
      </c>
      <c r="I45" s="4" t="e" vm="15">
        <f ca="1"/>
        <v>#VALUE!</v>
      </c>
      <c r="J45" s="5" t="e">
        <f ca="1"/>
        <v>#VALUE!</v>
      </c>
      <c r="L45" s="4">
        <f ca="1"/>
        <v>42</v>
      </c>
      <c r="M45" s="4" t="str">
        <f ca="1"/>
        <v>Danny Fonseca</v>
      </c>
      <c r="N45" s="4" t="e" vm="21">
        <f ca="1"/>
        <v>#VALUE!</v>
      </c>
      <c r="O45" s="5" t="e">
        <f ca="1"/>
        <v>#VALUE!</v>
      </c>
      <c r="Q45" s="4">
        <f ca="1"/>
        <v>42</v>
      </c>
      <c r="R45" s="4" t="str">
        <f ca="1"/>
        <v>Ashley Taylor</v>
      </c>
      <c r="S45" s="4" t="e" vm="13">
        <f ca="1"/>
        <v>#VALUE!</v>
      </c>
      <c r="T45" s="5" t="e">
        <f ca="1"/>
        <v>#VALUE!</v>
      </c>
      <c r="V45" s="4">
        <f ca="1"/>
        <v>42</v>
      </c>
      <c r="W45" s="4" t="str">
        <f ca="1"/>
        <v>Gerard Guilbaud</v>
      </c>
      <c r="X45" s="4" t="e" vm="15">
        <f ca="1"/>
        <v>#VALUE!</v>
      </c>
      <c r="Y45" s="5" t="e">
        <f ca="1"/>
        <v>#VALUE!</v>
      </c>
      <c r="AA45" s="4">
        <f ca="1"/>
        <v>42</v>
      </c>
      <c r="AB45" s="4" t="str">
        <f ca="1"/>
        <v>Patrick Wessels</v>
      </c>
      <c r="AC45" s="4" t="e" vm="12">
        <f ca="1"/>
        <v>#VALUE!</v>
      </c>
      <c r="AD45" s="5" t="e">
        <f ca="1"/>
        <v>#VALUE!</v>
      </c>
      <c r="AF45" s="4">
        <f ca="1"/>
        <v>42</v>
      </c>
      <c r="AG45" s="4" t="str">
        <f ca="1"/>
        <v>Gerard Guilbaud</v>
      </c>
      <c r="AH45" s="4" t="e" vm="15">
        <f ca="1"/>
        <v>#VALUE!</v>
      </c>
      <c r="AI45" s="5" t="e">
        <f ca="1"/>
        <v>#VALUE!</v>
      </c>
      <c r="AK45" s="4">
        <f ca="1"/>
        <v>42</v>
      </c>
      <c r="AL45" s="4" t="str">
        <f ca="1"/>
        <v>Alessandro Sona</v>
      </c>
      <c r="AM45" s="4" t="e" vm="20">
        <f ca="1"/>
        <v>#VALUE!</v>
      </c>
      <c r="AN45" s="5" t="e">
        <f ca="1"/>
        <v>#VALUE!</v>
      </c>
      <c r="AP45" s="4">
        <f ca="1"/>
        <v>42</v>
      </c>
      <c r="AQ45" s="4" t="str">
        <f ca="1"/>
        <v>Danny Fonseca</v>
      </c>
      <c r="AR45" s="4" t="e" vm="21">
        <f ca="1"/>
        <v>#VALUE!</v>
      </c>
      <c r="AS45" s="5" t="e">
        <f ca="1"/>
        <v>#VALUE!</v>
      </c>
      <c r="AU45" s="4">
        <f ca="1"/>
        <v>42</v>
      </c>
      <c r="AV45" s="4" t="str">
        <f ca="1"/>
        <v>Julianne Autissier</v>
      </c>
      <c r="AW45" s="4" t="e" vm="15">
        <f ca="1"/>
        <v>#VALUE!</v>
      </c>
      <c r="AX45" s="5" t="e">
        <f ca="1"/>
        <v>#VALUE!</v>
      </c>
      <c r="AZ45" s="4">
        <f ca="1"/>
        <v>42</v>
      </c>
      <c r="BA45" s="4" t="str">
        <f ca="1"/>
        <v>Guillaume Salinaro</v>
      </c>
      <c r="BB45" s="4" t="e" vm="15">
        <f ca="1"/>
        <v>#VALUE!</v>
      </c>
      <c r="BC45" s="5" t="e">
        <f ca="1"/>
        <v>#VALUE!</v>
      </c>
      <c r="BE45" s="4">
        <f ca="1"/>
        <v>42</v>
      </c>
      <c r="BF45" s="4" t="str">
        <f ca="1"/>
        <v>Julianne Autissier</v>
      </c>
      <c r="BG45" s="4" t="e" vm="15">
        <f ca="1"/>
        <v>#VALUE!</v>
      </c>
      <c r="BH45" s="5" t="e">
        <f ca="1"/>
        <v>#VALUE!</v>
      </c>
      <c r="BJ45" s="4">
        <f ca="1"/>
        <v>42</v>
      </c>
      <c r="BK45" s="4" t="str">
        <f ca="1"/>
        <v>Alessandro Sona</v>
      </c>
      <c r="BL45" s="4" t="e" vm="20">
        <f ca="1"/>
        <v>#VALUE!</v>
      </c>
      <c r="BM45" s="5" t="e">
        <f ca="1"/>
        <v>#VALUE!</v>
      </c>
      <c r="BO45" s="4">
        <f ca="1"/>
        <v>42</v>
      </c>
      <c r="BP45" s="4" t="str">
        <f ca="1"/>
        <v>Danny Fonseca</v>
      </c>
      <c r="BQ45" s="4" t="e" vm="21">
        <f ca="1"/>
        <v>#VALUE!</v>
      </c>
      <c r="BR45" s="5" t="e">
        <f ca="1"/>
        <v>#VALUE!</v>
      </c>
      <c r="BT45" s="4">
        <f ca="1"/>
        <v>42</v>
      </c>
      <c r="BU45" s="4" t="str">
        <f ca="1"/>
        <v>Gerard Guilbaud</v>
      </c>
      <c r="BV45" s="4" t="e" vm="15">
        <f ca="1"/>
        <v>#VALUE!</v>
      </c>
      <c r="BW45" s="5" t="e">
        <f ca="1"/>
        <v>#VALUE!</v>
      </c>
      <c r="BY45" s="4">
        <f ca="1"/>
        <v>42</v>
      </c>
      <c r="BZ45" s="4" t="str">
        <f ca="1"/>
        <v>Pierre Legendre</v>
      </c>
      <c r="CA45" s="4" t="e" vm="15">
        <f ca="1"/>
        <v>#VALUE!</v>
      </c>
      <c r="CB45" s="5" t="e">
        <f ca="1"/>
        <v>#VALUE!</v>
      </c>
      <c r="CD45" s="4">
        <f ca="1"/>
        <v>42</v>
      </c>
      <c r="CE45" s="4" t="str">
        <f ca="1"/>
        <v>Baptiste Flavien</v>
      </c>
      <c r="CF45" s="4" t="e" vm="15">
        <f ca="1"/>
        <v>#VALUE!</v>
      </c>
      <c r="CG45" s="5" t="e">
        <f ca="1"/>
        <v>#VALUE!</v>
      </c>
      <c r="CI45" s="4">
        <f ca="1"/>
        <v>42</v>
      </c>
      <c r="CJ45" s="4" t="str">
        <f ca="1"/>
        <v>Gerard Guilbaud</v>
      </c>
      <c r="CK45" s="4" t="e" vm="15">
        <f ca="1"/>
        <v>#VALUE!</v>
      </c>
      <c r="CL45" s="5" t="e">
        <f ca="1"/>
        <v>#VALUE!</v>
      </c>
      <c r="CN45" s="4">
        <f ca="1"/>
        <v>42</v>
      </c>
      <c r="CO45" s="4" t="str">
        <f ca="1"/>
        <v>Pierre Legendre</v>
      </c>
      <c r="CP45" s="4" t="e" vm="15">
        <f ca="1"/>
        <v>#VALUE!</v>
      </c>
      <c r="CQ45" s="5" t="e">
        <f ca="1"/>
        <v>#VALUE!</v>
      </c>
      <c r="CS45" s="4">
        <f ca="1"/>
        <v>42</v>
      </c>
      <c r="CT45" s="4" t="str">
        <f ca="1"/>
        <v>Gerard Guilbaud</v>
      </c>
      <c r="CU45" s="4" t="e" vm="15">
        <f ca="1"/>
        <v>#VALUE!</v>
      </c>
      <c r="CV45" s="5" t="e">
        <f ca="1"/>
        <v>#VALUE!</v>
      </c>
    </row>
    <row r="46" spans="2:100">
      <c r="B46" s="4">
        <f ca="1"/>
        <v>43</v>
      </c>
      <c r="C46" s="4" t="str">
        <f ca="1"/>
        <v>Gerard Guilbaud</v>
      </c>
      <c r="D46" s="4" t="e" vm="15">
        <f ca="1"/>
        <v>#VALUE!</v>
      </c>
      <c r="E46" s="5" t="e">
        <f ca="1"/>
        <v>#VALUE!</v>
      </c>
      <c r="G46" s="4">
        <f ca="1"/>
        <v>43</v>
      </c>
      <c r="H46" s="4" t="str">
        <f ca="1"/>
        <v>Danny Fonseca</v>
      </c>
      <c r="I46" s="4" t="e" vm="21">
        <f ca="1"/>
        <v>#VALUE!</v>
      </c>
      <c r="J46" s="5" t="e">
        <f ca="1"/>
        <v>#VALUE!</v>
      </c>
      <c r="L46" s="4">
        <f ca="1"/>
        <v>43</v>
      </c>
      <c r="M46" s="4" t="str">
        <f ca="1"/>
        <v>Galathee Lesquerbault</v>
      </c>
      <c r="N46" s="4" t="e" vm="15">
        <f ca="1"/>
        <v>#VALUE!</v>
      </c>
      <c r="O46" s="5" t="e">
        <f ca="1"/>
        <v>#VALUE!</v>
      </c>
      <c r="Q46" s="4">
        <f ca="1"/>
        <v>43</v>
      </c>
      <c r="R46" s="4" t="str">
        <f ca="1"/>
        <v>Julien Fadensois</v>
      </c>
      <c r="S46" s="4" t="e" vm="15">
        <f ca="1"/>
        <v>#VALUE!</v>
      </c>
      <c r="T46" s="5" t="e">
        <f ca="1"/>
        <v>#VALUE!</v>
      </c>
      <c r="V46" s="4">
        <f ca="1"/>
        <v>43</v>
      </c>
      <c r="W46" s="4" t="str">
        <f ca="1"/>
        <v>Julianne Autissier</v>
      </c>
      <c r="X46" s="4" t="e" vm="15">
        <f ca="1"/>
        <v>#VALUE!</v>
      </c>
      <c r="Y46" s="5" t="e">
        <f ca="1"/>
        <v>#VALUE!</v>
      </c>
      <c r="AA46" s="4">
        <f ca="1"/>
        <v>43</v>
      </c>
      <c r="AB46" s="4" t="str">
        <f ca="1"/>
        <v>Marine Camus</v>
      </c>
      <c r="AC46" s="4" t="e" vm="15">
        <f ca="1"/>
        <v>#VALUE!</v>
      </c>
      <c r="AD46" s="5" t="e">
        <f ca="1"/>
        <v>#VALUE!</v>
      </c>
      <c r="AF46" s="4">
        <f ca="1"/>
        <v>43</v>
      </c>
      <c r="AG46" s="4" t="str">
        <f ca="1"/>
        <v>Alessandro Sona</v>
      </c>
      <c r="AH46" s="4" t="e" vm="20">
        <f ca="1"/>
        <v>#VALUE!</v>
      </c>
      <c r="AI46" s="5" t="e">
        <f ca="1"/>
        <v>#VALUE!</v>
      </c>
      <c r="AK46" s="4">
        <f ca="1"/>
        <v>43</v>
      </c>
      <c r="AL46" s="4" t="str">
        <f ca="1"/>
        <v>Julianne Autissier</v>
      </c>
      <c r="AM46" s="4" t="e" vm="15">
        <f ca="1"/>
        <v>#VALUE!</v>
      </c>
      <c r="AN46" s="5" t="e">
        <f ca="1"/>
        <v>#VALUE!</v>
      </c>
      <c r="AP46" s="4">
        <f ca="1"/>
        <v>43</v>
      </c>
      <c r="AQ46" s="4" t="str">
        <f ca="1"/>
        <v>Charly Greffier</v>
      </c>
      <c r="AR46" s="4" t="e" vm="15">
        <f ca="1"/>
        <v>#VALUE!</v>
      </c>
      <c r="AS46" s="5" t="e">
        <f ca="1"/>
        <v>#VALUE!</v>
      </c>
      <c r="AU46" s="4">
        <f ca="1"/>
        <v>43</v>
      </c>
      <c r="AV46" s="4" t="str">
        <f ca="1"/>
        <v>Charly Greffier</v>
      </c>
      <c r="AW46" s="4" t="e" vm="15">
        <f ca="1"/>
        <v>#VALUE!</v>
      </c>
      <c r="AX46" s="5" t="e">
        <f ca="1"/>
        <v>#VALUE!</v>
      </c>
      <c r="AZ46" s="4">
        <f ca="1"/>
        <v>43</v>
      </c>
      <c r="BA46" s="4" t="str">
        <f ca="1"/>
        <v>Danny Fonseca</v>
      </c>
      <c r="BB46" s="4" t="e" vm="21">
        <f ca="1"/>
        <v>#VALUE!</v>
      </c>
      <c r="BC46" s="5" t="e">
        <f ca="1"/>
        <v>#VALUE!</v>
      </c>
      <c r="BE46" s="4">
        <f ca="1"/>
        <v>43</v>
      </c>
      <c r="BF46" s="4" t="str">
        <f ca="1"/>
        <v>Alessandro Sona</v>
      </c>
      <c r="BG46" s="4" t="e" vm="20">
        <f ca="1"/>
        <v>#VALUE!</v>
      </c>
      <c r="BH46" s="5" t="e">
        <f ca="1"/>
        <v>#VALUE!</v>
      </c>
      <c r="BJ46" s="4">
        <f ca="1"/>
        <v>43</v>
      </c>
      <c r="BK46" s="4" t="str">
        <f ca="1"/>
        <v>Julianne Autissier</v>
      </c>
      <c r="BL46" s="4" t="e" vm="15">
        <f ca="1"/>
        <v>#VALUE!</v>
      </c>
      <c r="BM46" s="5" t="e">
        <f ca="1"/>
        <v>#VALUE!</v>
      </c>
      <c r="BO46" s="4">
        <f ca="1"/>
        <v>43</v>
      </c>
      <c r="BP46" s="4" t="str">
        <f ca="1"/>
        <v>Galathee Lesquerbault</v>
      </c>
      <c r="BQ46" s="4" t="e" vm="15">
        <f ca="1"/>
        <v>#VALUE!</v>
      </c>
      <c r="BR46" s="5" t="e">
        <f ca="1"/>
        <v>#VALUE!</v>
      </c>
      <c r="BT46" s="4">
        <f ca="1"/>
        <v>43</v>
      </c>
      <c r="BU46" s="4" t="str">
        <f ca="1"/>
        <v>Alessandro Sona</v>
      </c>
      <c r="BV46" s="4" t="e" vm="20">
        <f ca="1"/>
        <v>#VALUE!</v>
      </c>
      <c r="BW46" s="5" t="e">
        <f ca="1"/>
        <v>#VALUE!</v>
      </c>
      <c r="BY46" s="4">
        <f ca="1"/>
        <v>43</v>
      </c>
      <c r="BZ46" s="4" t="str">
        <f ca="1"/>
        <v>Alessandro Sona</v>
      </c>
      <c r="CA46" s="4" t="e" vm="20">
        <f ca="1"/>
        <v>#VALUE!</v>
      </c>
      <c r="CB46" s="5" t="e">
        <f ca="1"/>
        <v>#VALUE!</v>
      </c>
      <c r="CD46" s="4">
        <f ca="1"/>
        <v>43</v>
      </c>
      <c r="CE46" s="4" t="str">
        <f ca="1"/>
        <v>Alessandro Sona</v>
      </c>
      <c r="CF46" s="4" t="e" vm="20">
        <f ca="1"/>
        <v>#VALUE!</v>
      </c>
      <c r="CG46" s="5" t="e">
        <f ca="1"/>
        <v>#VALUE!</v>
      </c>
      <c r="CI46" s="4">
        <f ca="1"/>
        <v>43</v>
      </c>
      <c r="CJ46" s="4" t="str">
        <f ca="1"/>
        <v>Pierre Legendre</v>
      </c>
      <c r="CK46" s="4" t="e" vm="15">
        <f ca="1"/>
        <v>#VALUE!</v>
      </c>
      <c r="CL46" s="5" t="e">
        <f ca="1"/>
        <v>#VALUE!</v>
      </c>
      <c r="CN46" s="4">
        <f ca="1"/>
        <v>43</v>
      </c>
      <c r="CO46" s="4" t="str">
        <f ca="1"/>
        <v>Charly Greffier</v>
      </c>
      <c r="CP46" s="4" t="e" vm="15">
        <f ca="1"/>
        <v>#VALUE!</v>
      </c>
      <c r="CQ46" s="5" t="e">
        <f ca="1"/>
        <v>#VALUE!</v>
      </c>
      <c r="CS46" s="4">
        <f ca="1"/>
        <v>43</v>
      </c>
      <c r="CT46" s="4" t="str">
        <f ca="1"/>
        <v>Galathee Lesquerbault</v>
      </c>
      <c r="CU46" s="4" t="e" vm="15">
        <f ca="1"/>
        <v>#VALUE!</v>
      </c>
      <c r="CV46" s="5" t="e">
        <f ca="1"/>
        <v>#VALUE!</v>
      </c>
    </row>
    <row r="47" spans="2:100">
      <c r="B47" s="4">
        <f ca="1"/>
        <v>44</v>
      </c>
      <c r="C47" s="4" t="str">
        <f ca="1"/>
        <v>Danny Fonseca</v>
      </c>
      <c r="D47" s="4" t="e" vm="21">
        <f ca="1"/>
        <v>#VALUE!</v>
      </c>
      <c r="E47" s="5" t="e">
        <f ca="1"/>
        <v>#VALUE!</v>
      </c>
      <c r="G47" s="4">
        <f ca="1"/>
        <v>44</v>
      </c>
      <c r="H47" s="4" t="str">
        <f ca="1"/>
        <v>Gerard Guilbaud</v>
      </c>
      <c r="I47" s="4" t="e" vm="15">
        <f ca="1"/>
        <v>#VALUE!</v>
      </c>
      <c r="J47" s="5" t="e">
        <f ca="1"/>
        <v>#VALUE!</v>
      </c>
      <c r="L47" s="4">
        <f ca="1"/>
        <v>44</v>
      </c>
      <c r="M47" s="4" t="str">
        <f ca="1"/>
        <v>Gerard Guilbaud</v>
      </c>
      <c r="N47" s="4" t="e" vm="15">
        <f ca="1"/>
        <v>#VALUE!</v>
      </c>
      <c r="O47" s="5" t="e">
        <f ca="1"/>
        <v>#VALUE!</v>
      </c>
      <c r="Q47" s="4">
        <f ca="1"/>
        <v>44</v>
      </c>
      <c r="R47" s="4" t="str">
        <f ca="1"/>
        <v>Danny Fonseca</v>
      </c>
      <c r="S47" s="4" t="e" vm="21">
        <f ca="1"/>
        <v>#VALUE!</v>
      </c>
      <c r="T47" s="5" t="e">
        <f ca="1"/>
        <v>#VALUE!</v>
      </c>
      <c r="V47" s="4">
        <f ca="1"/>
        <v>44</v>
      </c>
      <c r="W47" s="4" t="str">
        <f ca="1"/>
        <v>Danny Fonseca</v>
      </c>
      <c r="X47" s="4" t="e" vm="21">
        <f ca="1"/>
        <v>#VALUE!</v>
      </c>
      <c r="Y47" s="5" t="e">
        <f ca="1"/>
        <v>#VALUE!</v>
      </c>
      <c r="AA47" s="4">
        <f ca="1"/>
        <v>44</v>
      </c>
      <c r="AB47" s="4" t="str">
        <f ca="1"/>
        <v>Gerard Guilbaud</v>
      </c>
      <c r="AC47" s="4" t="e" vm="15">
        <f ca="1"/>
        <v>#VALUE!</v>
      </c>
      <c r="AD47" s="5" t="e">
        <f ca="1"/>
        <v>#VALUE!</v>
      </c>
      <c r="AF47" s="4">
        <f ca="1"/>
        <v>44</v>
      </c>
      <c r="AG47" s="4" t="str">
        <f ca="1"/>
        <v>Galathee Lesquerbault</v>
      </c>
      <c r="AH47" s="4" t="e" vm="15">
        <f ca="1"/>
        <v>#VALUE!</v>
      </c>
      <c r="AI47" s="5" t="e">
        <f ca="1"/>
        <v>#VALUE!</v>
      </c>
      <c r="AK47" s="4">
        <f ca="1"/>
        <v>44</v>
      </c>
      <c r="AL47" s="4" t="str">
        <f ca="1"/>
        <v>Danny Fonseca</v>
      </c>
      <c r="AM47" s="4" t="e" vm="21">
        <f ca="1"/>
        <v>#VALUE!</v>
      </c>
      <c r="AN47" s="5" t="e">
        <f ca="1"/>
        <v>#VALUE!</v>
      </c>
      <c r="AP47" s="4">
        <f ca="1"/>
        <v>44</v>
      </c>
      <c r="AQ47" s="4" t="str">
        <f ca="1"/>
        <v>Gerard Guilbaud</v>
      </c>
      <c r="AR47" s="4" t="e" vm="15">
        <f ca="1"/>
        <v>#VALUE!</v>
      </c>
      <c r="AS47" s="5" t="e">
        <f ca="1"/>
        <v>#VALUE!</v>
      </c>
      <c r="AU47" s="4">
        <f ca="1"/>
        <v>44</v>
      </c>
      <c r="AV47" s="4" t="str">
        <f ca="1"/>
        <v>Julien Fadensois</v>
      </c>
      <c r="AW47" s="4" t="e" vm="15">
        <f ca="1"/>
        <v>#VALUE!</v>
      </c>
      <c r="AX47" s="5" t="e">
        <f ca="1"/>
        <v>#VALUE!</v>
      </c>
      <c r="AZ47" s="4">
        <f ca="1"/>
        <v>44</v>
      </c>
      <c r="BA47" s="4" t="str">
        <f ca="1"/>
        <v>Baptiste Flavien</v>
      </c>
      <c r="BB47" s="4" t="e" vm="15">
        <f ca="1"/>
        <v>#VALUE!</v>
      </c>
      <c r="BC47" s="5" t="e">
        <f ca="1"/>
        <v>#VALUE!</v>
      </c>
      <c r="BE47" s="4">
        <f ca="1"/>
        <v>44</v>
      </c>
      <c r="BF47" s="4" t="str">
        <f ca="1"/>
        <v>Danny Fonseca</v>
      </c>
      <c r="BG47" s="4" t="e" vm="21">
        <f ca="1"/>
        <v>#VALUE!</v>
      </c>
      <c r="BH47" s="5" t="e">
        <f ca="1"/>
        <v>#VALUE!</v>
      </c>
      <c r="BJ47" s="4">
        <f ca="1"/>
        <v>44</v>
      </c>
      <c r="BK47" s="4" t="str">
        <f ca="1"/>
        <v>Danny Fonseca</v>
      </c>
      <c r="BL47" s="4" t="e" vm="21">
        <f ca="1"/>
        <v>#VALUE!</v>
      </c>
      <c r="BM47" s="5" t="e">
        <f ca="1"/>
        <v>#VALUE!</v>
      </c>
      <c r="BO47" s="4">
        <f ca="1"/>
        <v>44</v>
      </c>
      <c r="BP47" s="4" t="str">
        <f ca="1"/>
        <v>Julien Fadensois</v>
      </c>
      <c r="BQ47" s="4" t="e" vm="15">
        <f ca="1"/>
        <v>#VALUE!</v>
      </c>
      <c r="BR47" s="5" t="e">
        <f ca="1"/>
        <v>#VALUE!</v>
      </c>
      <c r="BT47" s="4">
        <f ca="1"/>
        <v>44</v>
      </c>
      <c r="BU47" s="4" t="str">
        <f ca="1"/>
        <v>Julien Fadensois</v>
      </c>
      <c r="BV47" s="4" t="e" vm="15">
        <f ca="1"/>
        <v>#VALUE!</v>
      </c>
      <c r="BW47" s="5" t="e">
        <f ca="1"/>
        <v>#VALUE!</v>
      </c>
      <c r="BY47" s="4">
        <f ca="1"/>
        <v>44</v>
      </c>
      <c r="BZ47" s="4" t="str">
        <f ca="1"/>
        <v>Marine Camus</v>
      </c>
      <c r="CA47" s="4" t="e" vm="15">
        <f ca="1"/>
        <v>#VALUE!</v>
      </c>
      <c r="CB47" s="5" t="e">
        <f ca="1"/>
        <v>#VALUE!</v>
      </c>
      <c r="CD47" s="4">
        <f ca="1"/>
        <v>44</v>
      </c>
      <c r="CE47" s="4" t="str">
        <f ca="1"/>
        <v>Julien Fadensois</v>
      </c>
      <c r="CF47" s="4" t="e" vm="15">
        <f ca="1"/>
        <v>#VALUE!</v>
      </c>
      <c r="CG47" s="5" t="e">
        <f ca="1"/>
        <v>#VALUE!</v>
      </c>
      <c r="CI47" s="4">
        <f ca="1"/>
        <v>44</v>
      </c>
      <c r="CJ47" s="4" t="str">
        <f ca="1"/>
        <v>Guillaume Salinaro</v>
      </c>
      <c r="CK47" s="4" t="e" vm="15">
        <f ca="1"/>
        <v>#VALUE!</v>
      </c>
      <c r="CL47" s="5" t="e">
        <f ca="1"/>
        <v>#VALUE!</v>
      </c>
      <c r="CN47" s="4">
        <f ca="1"/>
        <v>44</v>
      </c>
      <c r="CO47" s="4" t="str">
        <f ca="1"/>
        <v>Baptiste Flavien</v>
      </c>
      <c r="CP47" s="4" t="e" vm="15">
        <f ca="1"/>
        <v>#VALUE!</v>
      </c>
      <c r="CQ47" s="5" t="e">
        <f ca="1"/>
        <v>#VALUE!</v>
      </c>
      <c r="CS47" s="4">
        <f ca="1"/>
        <v>44</v>
      </c>
      <c r="CT47" s="4" t="str">
        <f ca="1"/>
        <v>Marine Camus</v>
      </c>
      <c r="CU47" s="4" t="e" vm="15">
        <f ca="1"/>
        <v>#VALUE!</v>
      </c>
      <c r="CV47" s="5" t="e">
        <f ca="1"/>
        <v>#VALUE!</v>
      </c>
    </row>
    <row r="48" spans="2:100">
      <c r="B48" s="4">
        <f ca="1"/>
        <v>45</v>
      </c>
      <c r="C48" s="4" t="str">
        <f ca="1"/>
        <v>Julien Fadensois</v>
      </c>
      <c r="D48" s="4" t="e" vm="15">
        <f ca="1"/>
        <v>#VALUE!</v>
      </c>
      <c r="E48" s="5" t="e">
        <f ca="1"/>
        <v>#VALUE!</v>
      </c>
      <c r="G48" s="4">
        <f ca="1"/>
        <v>45</v>
      </c>
      <c r="H48" s="4" t="str">
        <f ca="1"/>
        <v>Julien Fadensois</v>
      </c>
      <c r="I48" s="4" t="e" vm="15">
        <f ca="1"/>
        <v>#VALUE!</v>
      </c>
      <c r="J48" s="5" t="e">
        <f ca="1"/>
        <v>#VALUE!</v>
      </c>
      <c r="L48" s="4">
        <f ca="1"/>
        <v>45</v>
      </c>
      <c r="M48" s="4" t="str">
        <f ca="1"/>
        <v>Lio J</v>
      </c>
      <c r="N48" s="4" t="e" vm="17">
        <f ca="1"/>
        <v>#VALUE!</v>
      </c>
      <c r="O48" s="5" t="e">
        <f ca="1"/>
        <v>#VALUE!</v>
      </c>
      <c r="Q48" s="4">
        <f ca="1"/>
        <v>45</v>
      </c>
      <c r="R48" s="4" t="str">
        <f ca="1"/>
        <v>Gerard Guilbaud</v>
      </c>
      <c r="S48" s="4" t="e" vm="15">
        <f ca="1"/>
        <v>#VALUE!</v>
      </c>
      <c r="T48" s="5" t="e">
        <f ca="1"/>
        <v>#VALUE!</v>
      </c>
      <c r="V48" s="4">
        <f ca="1"/>
        <v>45</v>
      </c>
      <c r="W48" s="4" t="str">
        <f ca="1"/>
        <v>Julien Fadensois</v>
      </c>
      <c r="X48" s="4" t="e" vm="15">
        <f ca="1"/>
        <v>#VALUE!</v>
      </c>
      <c r="Y48" s="5" t="e">
        <f ca="1"/>
        <v>#VALUE!</v>
      </c>
      <c r="AA48" s="4">
        <f ca="1"/>
        <v>45</v>
      </c>
      <c r="AB48" s="4" t="str">
        <f ca="1"/>
        <v>Julien Fadensois</v>
      </c>
      <c r="AC48" s="4" t="e" vm="15">
        <f ca="1"/>
        <v>#VALUE!</v>
      </c>
      <c r="AD48" s="5" t="e">
        <f ca="1"/>
        <v>#VALUE!</v>
      </c>
      <c r="AF48" s="4">
        <f ca="1"/>
        <v>45</v>
      </c>
      <c r="AG48" s="4" t="str">
        <f ca="1"/>
        <v>Julien Fadensois</v>
      </c>
      <c r="AH48" s="4" t="e" vm="15">
        <f ca="1"/>
        <v>#VALUE!</v>
      </c>
      <c r="AI48" s="5" t="e">
        <f ca="1"/>
        <v>#VALUE!</v>
      </c>
      <c r="AK48" s="4">
        <f ca="1"/>
        <v>45</v>
      </c>
      <c r="AL48" s="4" t="str">
        <f ca="1"/>
        <v>Julien Fadensois</v>
      </c>
      <c r="AM48" s="4" t="e" vm="15">
        <f ca="1"/>
        <v>#VALUE!</v>
      </c>
      <c r="AN48" s="5" t="e">
        <f ca="1"/>
        <v>#VALUE!</v>
      </c>
      <c r="AP48" s="4">
        <f ca="1"/>
        <v>45</v>
      </c>
      <c r="AQ48" s="4" t="str">
        <f ca="1"/>
        <v>Julien Fadensois</v>
      </c>
      <c r="AR48" s="4" t="e" vm="15">
        <f ca="1"/>
        <v>#VALUE!</v>
      </c>
      <c r="AS48" s="5" t="e">
        <f ca="1"/>
        <v>#VALUE!</v>
      </c>
      <c r="AU48" s="4">
        <f ca="1"/>
        <v>45</v>
      </c>
      <c r="AV48" s="4" t="str">
        <f ca="1"/>
        <v>Danny Fonseca</v>
      </c>
      <c r="AW48" s="4" t="e" vm="21">
        <f ca="1"/>
        <v>#VALUE!</v>
      </c>
      <c r="AX48" s="5" t="e">
        <f ca="1"/>
        <v>#VALUE!</v>
      </c>
      <c r="AZ48" s="4">
        <f ca="1"/>
        <v>45</v>
      </c>
      <c r="BA48" s="4" t="str">
        <f ca="1"/>
        <v>Charly Greffier</v>
      </c>
      <c r="BB48" s="4" t="e" vm="15">
        <f ca="1"/>
        <v>#VALUE!</v>
      </c>
      <c r="BC48" s="5" t="e">
        <f ca="1"/>
        <v>#VALUE!</v>
      </c>
      <c r="BE48" s="4">
        <f ca="1"/>
        <v>45</v>
      </c>
      <c r="BF48" s="4" t="str">
        <f ca="1"/>
        <v>Julien Fadensois</v>
      </c>
      <c r="BG48" s="4" t="e" vm="15">
        <f ca="1"/>
        <v>#VALUE!</v>
      </c>
      <c r="BH48" s="5" t="e">
        <f ca="1"/>
        <v>#VALUE!</v>
      </c>
      <c r="BJ48" s="4">
        <f ca="1"/>
        <v>45</v>
      </c>
      <c r="BK48" s="4" t="str">
        <f ca="1"/>
        <v>Lio J</v>
      </c>
      <c r="BL48" s="4" t="e" vm="17">
        <f ca="1"/>
        <v>#VALUE!</v>
      </c>
      <c r="BM48" s="5" t="e">
        <f ca="1"/>
        <v>#VALUE!</v>
      </c>
      <c r="BO48" s="4">
        <f ca="1"/>
        <v>45</v>
      </c>
      <c r="BP48" s="4" t="str">
        <f ca="1"/>
        <v>Julianne Autissier</v>
      </c>
      <c r="BQ48" s="4" t="e" vm="15">
        <f ca="1"/>
        <v>#VALUE!</v>
      </c>
      <c r="BR48" s="5" t="e">
        <f ca="1"/>
        <v>#VALUE!</v>
      </c>
      <c r="BT48" s="4">
        <f ca="1"/>
        <v>45</v>
      </c>
      <c r="BU48" s="4" t="str">
        <f ca="1"/>
        <v>Danny Fonseca</v>
      </c>
      <c r="BV48" s="4" t="e" vm="21">
        <f ca="1"/>
        <v>#VALUE!</v>
      </c>
      <c r="BW48" s="5" t="e">
        <f ca="1"/>
        <v>#VALUE!</v>
      </c>
      <c r="BY48" s="4">
        <f ca="1"/>
        <v>45</v>
      </c>
      <c r="BZ48" s="4" t="str">
        <f ca="1"/>
        <v>Julien Fadensois</v>
      </c>
      <c r="CA48" s="4" t="e" vm="15">
        <f ca="1"/>
        <v>#VALUE!</v>
      </c>
      <c r="CB48" s="5" t="e">
        <f ca="1"/>
        <v>#VALUE!</v>
      </c>
      <c r="CD48" s="4">
        <f ca="1"/>
        <v>45</v>
      </c>
      <c r="CE48" s="4" t="str">
        <f ca="1"/>
        <v>Charly Greffier</v>
      </c>
      <c r="CF48" s="4" t="e" vm="15">
        <f ca="1"/>
        <v>#VALUE!</v>
      </c>
      <c r="CG48" s="5" t="e">
        <f ca="1"/>
        <v>#VALUE!</v>
      </c>
      <c r="CI48" s="4">
        <f ca="1"/>
        <v>45</v>
      </c>
      <c r="CJ48" s="4" t="str">
        <f ca="1"/>
        <v>Julien Fadensois</v>
      </c>
      <c r="CK48" s="4" t="e" vm="15">
        <f ca="1"/>
        <v>#VALUE!</v>
      </c>
      <c r="CL48" s="5" t="e">
        <f ca="1"/>
        <v>#VALUE!</v>
      </c>
      <c r="CN48" s="4">
        <f ca="1"/>
        <v>45</v>
      </c>
      <c r="CO48" s="4" t="str">
        <f ca="1"/>
        <v>Lio J</v>
      </c>
      <c r="CP48" s="4" t="e" vm="17">
        <f ca="1"/>
        <v>#VALUE!</v>
      </c>
      <c r="CQ48" s="5" t="e">
        <f ca="1"/>
        <v>#VALUE!</v>
      </c>
      <c r="CS48" s="4">
        <f ca="1"/>
        <v>45</v>
      </c>
      <c r="CT48" s="4" t="str">
        <f ca="1"/>
        <v>Charly Greffier</v>
      </c>
      <c r="CU48" s="4" t="e" vm="15">
        <f ca="1"/>
        <v>#VALUE!</v>
      </c>
      <c r="CV48" s="5" t="e">
        <f ca="1"/>
        <v>#VALUE!</v>
      </c>
    </row>
    <row r="49" spans="2:100">
      <c r="B49" s="4">
        <f ca="1"/>
        <v>46</v>
      </c>
      <c r="C49" s="4" t="str">
        <f ca="1"/>
        <v>Tom Pele</v>
      </c>
      <c r="D49" s="4" t="e" vm="15">
        <f ca="1"/>
        <v>#VALUE!</v>
      </c>
      <c r="E49" s="5" t="e">
        <f ca="1"/>
        <v>#VALUE!</v>
      </c>
      <c r="G49" s="4">
        <f ca="1"/>
        <v>46</v>
      </c>
      <c r="H49" s="4" t="str">
        <f ca="1"/>
        <v>Lio J</v>
      </c>
      <c r="I49" s="4" t="e" vm="17">
        <f ca="1"/>
        <v>#VALUE!</v>
      </c>
      <c r="J49" s="5" t="e">
        <f ca="1"/>
        <v>#VALUE!</v>
      </c>
      <c r="L49" s="4">
        <f ca="1"/>
        <v>46</v>
      </c>
      <c r="M49" s="4" t="str">
        <f ca="1"/>
        <v>Tom Pele</v>
      </c>
      <c r="N49" s="4" t="e" vm="15">
        <f ca="1"/>
        <v>#VALUE!</v>
      </c>
      <c r="O49" s="5" t="e">
        <f ca="1"/>
        <v>#VALUE!</v>
      </c>
      <c r="Q49" s="4">
        <f ca="1"/>
        <v>46</v>
      </c>
      <c r="R49" s="4" t="str">
        <f ca="1"/>
        <v>Lio J</v>
      </c>
      <c r="S49" s="4" t="e" vm="17">
        <f ca="1"/>
        <v>#VALUE!</v>
      </c>
      <c r="T49" s="5" t="e">
        <f ca="1"/>
        <v>#VALUE!</v>
      </c>
      <c r="V49" s="4">
        <f ca="1"/>
        <v>46</v>
      </c>
      <c r="W49" s="4" t="str">
        <f ca="1"/>
        <v>Lio J</v>
      </c>
      <c r="X49" s="4" t="e" vm="17">
        <f ca="1"/>
        <v>#VALUE!</v>
      </c>
      <c r="Y49" s="5" t="e">
        <f ca="1"/>
        <v>#VALUE!</v>
      </c>
      <c r="AA49" s="4">
        <f ca="1"/>
        <v>46</v>
      </c>
      <c r="AB49" s="4" t="str">
        <f ca="1"/>
        <v>Tom Pele</v>
      </c>
      <c r="AC49" s="4" t="e" vm="15">
        <f ca="1"/>
        <v>#VALUE!</v>
      </c>
      <c r="AD49" s="5" t="e">
        <f ca="1"/>
        <v>#VALUE!</v>
      </c>
      <c r="AF49" s="4">
        <f ca="1"/>
        <v>46</v>
      </c>
      <c r="AG49" s="4" t="str">
        <f ca="1"/>
        <v>Lio J</v>
      </c>
      <c r="AH49" s="4" t="e" vm="17">
        <f ca="1"/>
        <v>#VALUE!</v>
      </c>
      <c r="AI49" s="5" t="e">
        <f ca="1"/>
        <v>#VALUE!</v>
      </c>
      <c r="AK49" s="4">
        <f ca="1"/>
        <v>46</v>
      </c>
      <c r="AL49" s="4" t="str">
        <f ca="1"/>
        <v>Lio J</v>
      </c>
      <c r="AM49" s="4" t="e" vm="17">
        <f ca="1"/>
        <v>#VALUE!</v>
      </c>
      <c r="AN49" s="5" t="e">
        <f ca="1"/>
        <v>#VALUE!</v>
      </c>
      <c r="AP49" s="4">
        <f ca="1"/>
        <v>46</v>
      </c>
      <c r="AQ49" s="4" t="str">
        <f ca="1"/>
        <v>Lio J</v>
      </c>
      <c r="AR49" s="4" t="e" vm="17">
        <f ca="1"/>
        <v>#VALUE!</v>
      </c>
      <c r="AS49" s="5" t="e">
        <f ca="1"/>
        <v>#VALUE!</v>
      </c>
      <c r="AU49" s="4">
        <f ca="1"/>
        <v>46</v>
      </c>
      <c r="AV49" s="4" t="str">
        <f ca="1"/>
        <v>Tom Pele</v>
      </c>
      <c r="AW49" s="4" t="e" vm="15">
        <f ca="1"/>
        <v>#VALUE!</v>
      </c>
      <c r="AX49" s="5" t="e">
        <f ca="1"/>
        <v>#VALUE!</v>
      </c>
      <c r="AZ49" s="4">
        <f ca="1"/>
        <v>46</v>
      </c>
      <c r="BA49" s="4" t="str">
        <f ca="1"/>
        <v>Lio J</v>
      </c>
      <c r="BB49" s="4" t="e" vm="17">
        <f ca="1"/>
        <v>#VALUE!</v>
      </c>
      <c r="BC49" s="5" t="e">
        <f ca="1"/>
        <v>#VALUE!</v>
      </c>
      <c r="BE49" s="4">
        <f ca="1"/>
        <v>46</v>
      </c>
      <c r="BF49" s="4" t="str">
        <f ca="1"/>
        <v>Lio J</v>
      </c>
      <c r="BG49" s="4" t="e" vm="17">
        <f ca="1"/>
        <v>#VALUE!</v>
      </c>
      <c r="BH49" s="5" t="e">
        <f ca="1"/>
        <v>#VALUE!</v>
      </c>
      <c r="BJ49" s="4">
        <f ca="1"/>
        <v>46</v>
      </c>
      <c r="BK49" s="4" t="str">
        <f ca="1"/>
        <v>Julien Fadensois</v>
      </c>
      <c r="BL49" s="4" t="e" vm="15">
        <f ca="1"/>
        <v>#VALUE!</v>
      </c>
      <c r="BM49" s="5" t="e">
        <f ca="1"/>
        <v>#VALUE!</v>
      </c>
      <c r="BO49" s="4">
        <f ca="1"/>
        <v>46</v>
      </c>
      <c r="BP49" s="4" t="str">
        <f ca="1"/>
        <v>Lio J</v>
      </c>
      <c r="BQ49" s="4" t="e" vm="17">
        <f ca="1"/>
        <v>#VALUE!</v>
      </c>
      <c r="BR49" s="5" t="e">
        <f ca="1"/>
        <v>#VALUE!</v>
      </c>
      <c r="BT49" s="4">
        <f ca="1"/>
        <v>46</v>
      </c>
      <c r="BU49" s="4" t="str">
        <f ca="1"/>
        <v>Lio J</v>
      </c>
      <c r="BV49" s="4" t="e" vm="17">
        <f ca="1"/>
        <v>#VALUE!</v>
      </c>
      <c r="BW49" s="5" t="e">
        <f ca="1"/>
        <v>#VALUE!</v>
      </c>
      <c r="BY49" s="4">
        <f ca="1"/>
        <v>46</v>
      </c>
      <c r="BZ49" s="4" t="str">
        <f ca="1"/>
        <v>Lio J</v>
      </c>
      <c r="CA49" s="4" t="e" vm="17">
        <f ca="1"/>
        <v>#VALUE!</v>
      </c>
      <c r="CB49" s="5" t="e">
        <f ca="1"/>
        <v>#VALUE!</v>
      </c>
      <c r="CD49" s="4">
        <f ca="1"/>
        <v>46</v>
      </c>
      <c r="CE49" s="4" t="str">
        <f ca="1"/>
        <v>Lio J</v>
      </c>
      <c r="CF49" s="4" t="e" vm="17">
        <f ca="1"/>
        <v>#VALUE!</v>
      </c>
      <c r="CG49" s="5" t="e">
        <f ca="1"/>
        <v>#VALUE!</v>
      </c>
      <c r="CI49" s="4">
        <f ca="1"/>
        <v>46</v>
      </c>
      <c r="CJ49" s="4" t="str">
        <f ca="1"/>
        <v>Lio J</v>
      </c>
      <c r="CK49" s="4" t="e" vm="17">
        <f ca="1"/>
        <v>#VALUE!</v>
      </c>
      <c r="CL49" s="5" t="e">
        <f ca="1"/>
        <v>#VALUE!</v>
      </c>
      <c r="CN49" s="4">
        <f ca="1"/>
        <v>46</v>
      </c>
      <c r="CO49" s="4" t="str">
        <f ca="1"/>
        <v>Tom Pele</v>
      </c>
      <c r="CP49" s="4" t="e" vm="15">
        <f ca="1"/>
        <v>#VALUE!</v>
      </c>
      <c r="CQ49" s="5" t="e">
        <f ca="1"/>
        <v>#VALUE!</v>
      </c>
      <c r="CS49" s="4">
        <f ca="1"/>
        <v>46</v>
      </c>
      <c r="CT49" s="4" t="str">
        <f ca="1"/>
        <v>Tom Pele</v>
      </c>
      <c r="CU49" s="4" t="e" vm="15">
        <f ca="1"/>
        <v>#VALUE!</v>
      </c>
      <c r="CV49" s="5" t="e">
        <f ca="1"/>
        <v>#VALUE!</v>
      </c>
    </row>
    <row r="50" spans="2:100">
      <c r="B50" s="4">
        <f ca="1"/>
        <v>47</v>
      </c>
      <c r="C50" s="4" t="str">
        <f ca="1"/>
        <v>Lio J</v>
      </c>
      <c r="D50" s="4" t="e" vm="17">
        <f ca="1"/>
        <v>#VALUE!</v>
      </c>
      <c r="E50" s="5" t="e">
        <f ca="1"/>
        <v>#VALUE!</v>
      </c>
      <c r="G50" s="4">
        <f ca="1"/>
        <v>47</v>
      </c>
      <c r="H50" s="4" t="str">
        <f ca="1"/>
        <v>Tom Pele</v>
      </c>
      <c r="I50" s="4" t="e" vm="15">
        <f ca="1"/>
        <v>#VALUE!</v>
      </c>
      <c r="J50" s="5" t="e">
        <f ca="1"/>
        <v>#VALUE!</v>
      </c>
      <c r="L50" s="4">
        <f ca="1"/>
        <v>47</v>
      </c>
      <c r="M50" s="4" t="str">
        <f ca="1"/>
        <v>Julien Fadensois</v>
      </c>
      <c r="N50" s="4" t="e" vm="15">
        <f ca="1"/>
        <v>#VALUE!</v>
      </c>
      <c r="O50" s="5" t="e">
        <f ca="1"/>
        <v>#VALUE!</v>
      </c>
      <c r="Q50" s="4">
        <f ca="1"/>
        <v>47</v>
      </c>
      <c r="R50" s="4" t="str">
        <f ca="1"/>
        <v>Tom Pele</v>
      </c>
      <c r="S50" s="4" t="e" vm="15">
        <f ca="1"/>
        <v>#VALUE!</v>
      </c>
      <c r="T50" s="5" t="e">
        <f ca="1"/>
        <v>#VALUE!</v>
      </c>
      <c r="V50" s="4">
        <f ca="1"/>
        <v>47</v>
      </c>
      <c r="W50" s="4" t="str">
        <f ca="1"/>
        <v>Tom Pele</v>
      </c>
      <c r="X50" s="4" t="e" vm="15">
        <f ca="1"/>
        <v>#VALUE!</v>
      </c>
      <c r="Y50" s="5" t="e">
        <f ca="1"/>
        <v>#VALUE!</v>
      </c>
      <c r="AA50" s="4">
        <f ca="1"/>
        <v>47</v>
      </c>
      <c r="AB50" s="4" t="str">
        <f ca="1"/>
        <v>Lio J</v>
      </c>
      <c r="AC50" s="4" t="e" vm="17">
        <f ca="1"/>
        <v>#VALUE!</v>
      </c>
      <c r="AD50" s="5" t="e">
        <f ca="1"/>
        <v>#VALUE!</v>
      </c>
      <c r="AF50" s="4">
        <f ca="1"/>
        <v>47</v>
      </c>
      <c r="AG50" s="4" t="str">
        <f ca="1"/>
        <v>Tom Pele</v>
      </c>
      <c r="AH50" s="4" t="e" vm="15">
        <f ca="1"/>
        <v>#VALUE!</v>
      </c>
      <c r="AI50" s="5" t="e">
        <f ca="1"/>
        <v>#VALUE!</v>
      </c>
      <c r="AK50" s="4">
        <f ca="1"/>
        <v>47</v>
      </c>
      <c r="AL50" s="4" t="str">
        <f ca="1"/>
        <v>Tom Pele</v>
      </c>
      <c r="AM50" s="4" t="e" vm="15">
        <f ca="1"/>
        <v>#VALUE!</v>
      </c>
      <c r="AN50" s="5" t="e">
        <f ca="1"/>
        <v>#VALUE!</v>
      </c>
      <c r="AP50" s="4">
        <f ca="1"/>
        <v>47</v>
      </c>
      <c r="AQ50" s="4" t="str">
        <f ca="1"/>
        <v>Tom Pele</v>
      </c>
      <c r="AR50" s="4" t="e" vm="15">
        <f ca="1"/>
        <v>#VALUE!</v>
      </c>
      <c r="AS50" s="5" t="e">
        <f ca="1"/>
        <v>#VALUE!</v>
      </c>
      <c r="AU50" s="4">
        <f ca="1"/>
        <v>47</v>
      </c>
      <c r="AV50" s="4" t="str">
        <f ca="1"/>
        <v>Lio J</v>
      </c>
      <c r="AW50" s="4" t="e" vm="17">
        <f ca="1"/>
        <v>#VALUE!</v>
      </c>
      <c r="AX50" s="5" t="e">
        <f ca="1"/>
        <v>#VALUE!</v>
      </c>
      <c r="AZ50" s="4">
        <f ca="1"/>
        <v>47</v>
      </c>
      <c r="BA50" s="4" t="str">
        <f ca="1"/>
        <v>Alessandro Sona</v>
      </c>
      <c r="BB50" s="4" t="e" vm="20">
        <f ca="1"/>
        <v>#VALUE!</v>
      </c>
      <c r="BC50" s="5" t="e">
        <f ca="1"/>
        <v>#VALUE!</v>
      </c>
      <c r="BE50" s="4">
        <f ca="1"/>
        <v>47</v>
      </c>
      <c r="BF50" s="4" t="str">
        <f ca="1"/>
        <v>Tom Pele</v>
      </c>
      <c r="BG50" s="4" t="e" vm="15">
        <f ca="1"/>
        <v>#VALUE!</v>
      </c>
      <c r="BH50" s="5" t="e">
        <f ca="1"/>
        <v>#VALUE!</v>
      </c>
      <c r="BJ50" s="4">
        <f ca="1"/>
        <v>47</v>
      </c>
      <c r="BK50" s="4" t="str">
        <f ca="1"/>
        <v>Tom Pele</v>
      </c>
      <c r="BL50" s="4" t="e" vm="15">
        <f ca="1"/>
        <v>#VALUE!</v>
      </c>
      <c r="BM50" s="5" t="e">
        <f ca="1"/>
        <v>#VALUE!</v>
      </c>
      <c r="BO50" s="4">
        <f ca="1"/>
        <v>47</v>
      </c>
      <c r="BP50" s="4" t="str">
        <f ca="1"/>
        <v>Tom Pele</v>
      </c>
      <c r="BQ50" s="4" t="e" vm="15">
        <f ca="1"/>
        <v>#VALUE!</v>
      </c>
      <c r="BR50" s="5" t="e">
        <f ca="1"/>
        <v>#VALUE!</v>
      </c>
      <c r="BT50" s="4">
        <f ca="1"/>
        <v>47</v>
      </c>
      <c r="BU50" s="4" t="str">
        <f ca="1"/>
        <v>Tom Pele</v>
      </c>
      <c r="BV50" s="4" t="e" vm="15">
        <f ca="1"/>
        <v>#VALUE!</v>
      </c>
      <c r="BW50" s="5" t="e">
        <f ca="1"/>
        <v>#VALUE!</v>
      </c>
      <c r="BY50" s="4">
        <f ca="1"/>
        <v>47</v>
      </c>
      <c r="BZ50" s="4" t="str">
        <f ca="1"/>
        <v>Tom Pele</v>
      </c>
      <c r="CA50" s="4" t="e" vm="15">
        <f ca="1"/>
        <v>#VALUE!</v>
      </c>
      <c r="CB50" s="5" t="e">
        <f ca="1"/>
        <v>#VALUE!</v>
      </c>
      <c r="CD50" s="4">
        <f ca="1"/>
        <v>47</v>
      </c>
      <c r="CE50" s="4" t="str">
        <f ca="1"/>
        <v>Tom Pele</v>
      </c>
      <c r="CF50" s="4" t="e" vm="15">
        <f ca="1"/>
        <v>#VALUE!</v>
      </c>
      <c r="CG50" s="5" t="e">
        <f ca="1"/>
        <v>#VALUE!</v>
      </c>
      <c r="CI50" s="4">
        <f ca="1"/>
        <v>47</v>
      </c>
      <c r="CJ50" s="4" t="str">
        <f ca="1"/>
        <v>Tom Pele</v>
      </c>
      <c r="CK50" s="4" t="e" vm="15">
        <f ca="1"/>
        <v>#VALUE!</v>
      </c>
      <c r="CL50" s="5" t="e">
        <f ca="1"/>
        <v>#VALUE!</v>
      </c>
      <c r="CN50" s="4">
        <f ca="1"/>
        <v>47</v>
      </c>
      <c r="CO50" s="4" t="str">
        <f ca="1"/>
        <v>Guillaume Salinaro</v>
      </c>
      <c r="CP50" s="4" t="e" vm="15">
        <f ca="1"/>
        <v>#VALUE!</v>
      </c>
      <c r="CQ50" s="5" t="e">
        <f ca="1"/>
        <v>#VALUE!</v>
      </c>
      <c r="CS50" s="4">
        <f ca="1"/>
        <v>47</v>
      </c>
      <c r="CT50" s="4" t="str">
        <f ca="1"/>
        <v>Lio J</v>
      </c>
      <c r="CU50" s="4" t="e" vm="17">
        <f ca="1"/>
        <v>#VALUE!</v>
      </c>
      <c r="CV50" s="5" t="e">
        <f ca="1"/>
        <v>#VALUE!</v>
      </c>
    </row>
    <row r="51" spans="2:100">
      <c r="G51" s="4"/>
      <c r="H51" s="4"/>
      <c r="I51" s="4"/>
      <c r="J51" s="5"/>
      <c r="L51" s="4"/>
      <c r="M51" s="4"/>
      <c r="N51" s="4"/>
      <c r="O51" s="5"/>
      <c r="Q51" s="4"/>
      <c r="R51" s="4"/>
      <c r="S51" s="4"/>
      <c r="T51" s="5"/>
      <c r="V51" s="4"/>
      <c r="W51" s="4"/>
      <c r="X51" s="4"/>
      <c r="Y51" s="5"/>
      <c r="AA51" s="4"/>
      <c r="AB51" s="4"/>
      <c r="AC51" s="4"/>
      <c r="AD51" s="5"/>
      <c r="AF51" s="4"/>
      <c r="AG51" s="4"/>
      <c r="AH51" s="4"/>
      <c r="AI51" s="5"/>
      <c r="AK51" s="4"/>
      <c r="AL51" s="4"/>
      <c r="AM51" s="4"/>
      <c r="AN51" s="5"/>
      <c r="AP51" s="4"/>
      <c r="AQ51" s="4"/>
      <c r="AR51" s="4"/>
      <c r="AS51" s="5"/>
      <c r="AU51" s="4"/>
      <c r="AV51" s="4"/>
      <c r="AW51" s="4"/>
      <c r="AX51" s="5"/>
      <c r="AZ51" s="4"/>
      <c r="BA51" s="4"/>
      <c r="BB51" s="4"/>
      <c r="BC51" s="5"/>
      <c r="BE51" s="4"/>
      <c r="BF51" s="4"/>
      <c r="BG51" s="4"/>
      <c r="BH51" s="5"/>
      <c r="BJ51" s="4"/>
      <c r="BK51" s="4"/>
      <c r="BL51" s="4"/>
      <c r="BM51" s="5"/>
      <c r="BO51" s="4"/>
      <c r="BP51" s="4"/>
      <c r="BQ51" s="4"/>
      <c r="BR51" s="5"/>
      <c r="BT51" s="4"/>
      <c r="BU51" s="4"/>
      <c r="BV51" s="4"/>
      <c r="BW51" s="5"/>
      <c r="BY51" s="4"/>
      <c r="BZ51" s="4"/>
      <c r="CA51" s="4"/>
      <c r="CB51" s="5"/>
      <c r="CD51" s="4"/>
      <c r="CE51" s="4"/>
      <c r="CF51" s="4"/>
      <c r="CG51" s="5"/>
      <c r="CI51" s="4"/>
      <c r="CJ51" s="4"/>
      <c r="CK51" s="4"/>
      <c r="CL51" s="5"/>
      <c r="CN51" s="4"/>
      <c r="CO51" s="4"/>
      <c r="CP51" s="4"/>
      <c r="CQ51" s="5"/>
      <c r="CS51" s="4"/>
      <c r="CT51" s="4"/>
      <c r="CU51" s="4"/>
      <c r="CV51" s="5"/>
    </row>
    <row r="52" spans="2:100">
      <c r="G52" s="4"/>
      <c r="H52" s="4"/>
      <c r="I52" s="4"/>
      <c r="J52" s="5"/>
      <c r="L52" s="4"/>
      <c r="M52" s="4"/>
      <c r="N52" s="4"/>
      <c r="O52" s="5"/>
      <c r="Q52" s="4"/>
      <c r="R52" s="4"/>
      <c r="S52" s="4"/>
      <c r="T52" s="5"/>
      <c r="V52" s="4"/>
      <c r="W52" s="4"/>
      <c r="X52" s="4"/>
      <c r="Y52" s="5"/>
      <c r="AA52" s="4"/>
      <c r="AB52" s="4"/>
      <c r="AC52" s="4"/>
      <c r="AD52" s="5"/>
      <c r="AF52" s="4"/>
      <c r="AG52" s="4"/>
      <c r="AH52" s="4"/>
      <c r="AI52" s="5"/>
      <c r="AK52" s="4"/>
      <c r="AL52" s="4"/>
      <c r="AM52" s="4"/>
      <c r="AN52" s="5"/>
      <c r="AP52" s="4"/>
      <c r="AQ52" s="4"/>
      <c r="AR52" s="4"/>
      <c r="AS52" s="5"/>
      <c r="AU52" s="4"/>
      <c r="AV52" s="4"/>
      <c r="AW52" s="4"/>
      <c r="AX52" s="5"/>
      <c r="AZ52" s="4"/>
      <c r="BA52" s="4"/>
      <c r="BB52" s="4"/>
      <c r="BC52" s="5"/>
      <c r="BE52" s="4"/>
      <c r="BF52" s="4"/>
      <c r="BG52" s="4"/>
      <c r="BH52" s="5"/>
      <c r="BJ52" s="4"/>
      <c r="BK52" s="4"/>
      <c r="BL52" s="4"/>
      <c r="BM52" s="5"/>
      <c r="BO52" s="4"/>
      <c r="BP52" s="4"/>
      <c r="BQ52" s="4"/>
      <c r="BR52" s="5"/>
      <c r="BT52" s="4"/>
      <c r="BU52" s="4"/>
      <c r="BV52" s="4"/>
      <c r="BW52" s="5"/>
      <c r="BY52" s="4"/>
      <c r="BZ52" s="4"/>
      <c r="CA52" s="4"/>
      <c r="CB52" s="5"/>
      <c r="CD52" s="4"/>
      <c r="CE52" s="4"/>
      <c r="CF52" s="4"/>
      <c r="CG52" s="5"/>
      <c r="CI52" s="4"/>
      <c r="CJ52" s="4"/>
      <c r="CK52" s="4"/>
      <c r="CL52" s="5"/>
      <c r="CN52" s="4"/>
      <c r="CO52" s="4"/>
      <c r="CP52" s="4"/>
      <c r="CQ52" s="5"/>
      <c r="CS52" s="4"/>
      <c r="CT52" s="4"/>
      <c r="CU52" s="4"/>
      <c r="CV52" s="5"/>
    </row>
    <row r="53" spans="2:100">
      <c r="G53" s="4"/>
      <c r="H53" s="4"/>
      <c r="I53" s="4"/>
      <c r="J53" s="5"/>
      <c r="L53" s="4"/>
      <c r="M53" s="4"/>
      <c r="N53" s="4"/>
      <c r="O53" s="5"/>
      <c r="Q53" s="4"/>
      <c r="R53" s="4"/>
      <c r="S53" s="4"/>
      <c r="T53" s="5"/>
      <c r="V53" s="4"/>
      <c r="W53" s="4"/>
      <c r="X53" s="4"/>
      <c r="Y53" s="5"/>
      <c r="AA53" s="4"/>
      <c r="AB53" s="4"/>
      <c r="AC53" s="4"/>
      <c r="AD53" s="5"/>
      <c r="AF53" s="4"/>
      <c r="AG53" s="4"/>
      <c r="AH53" s="4"/>
      <c r="AI53" s="5"/>
      <c r="AK53" s="4"/>
      <c r="AL53" s="4"/>
      <c r="AM53" s="4"/>
      <c r="AN53" s="5"/>
      <c r="AP53" s="4"/>
      <c r="AQ53" s="4"/>
      <c r="AR53" s="4"/>
      <c r="AS53" s="5"/>
      <c r="AU53" s="4"/>
      <c r="AV53" s="4"/>
      <c r="AW53" s="4"/>
      <c r="AX53" s="5"/>
      <c r="AZ53" s="4"/>
      <c r="BA53" s="4"/>
      <c r="BB53" s="4"/>
      <c r="BC53" s="5"/>
      <c r="BE53" s="4"/>
      <c r="BF53" s="4"/>
      <c r="BG53" s="4"/>
      <c r="BH53" s="5"/>
      <c r="BJ53" s="4"/>
      <c r="BK53" s="4"/>
      <c r="BL53" s="4"/>
      <c r="BM53" s="5"/>
      <c r="BO53" s="4"/>
      <c r="BP53" s="4"/>
      <c r="BQ53" s="4"/>
      <c r="BR53" s="5"/>
      <c r="BT53" s="4"/>
      <c r="BU53" s="4"/>
      <c r="BV53" s="4"/>
      <c r="BW53" s="5"/>
      <c r="BY53" s="4"/>
      <c r="BZ53" s="4"/>
      <c r="CA53" s="4"/>
      <c r="CB53" s="5"/>
      <c r="CD53" s="4"/>
      <c r="CE53" s="4"/>
      <c r="CF53" s="4"/>
      <c r="CG53" s="5"/>
      <c r="CI53" s="4"/>
      <c r="CJ53" s="4"/>
      <c r="CK53" s="4"/>
      <c r="CL53" s="5"/>
      <c r="CN53" s="4"/>
      <c r="CO53" s="4"/>
      <c r="CP53" s="4"/>
      <c r="CQ53" s="5"/>
      <c r="CS53" s="4"/>
      <c r="CT53" s="4"/>
      <c r="CU53" s="4"/>
      <c r="CV53" s="5"/>
    </row>
    <row r="54" spans="2:100">
      <c r="G54" s="4"/>
      <c r="H54" s="4"/>
      <c r="I54" s="4"/>
      <c r="J54" s="5"/>
      <c r="L54" s="4"/>
      <c r="M54" s="4"/>
      <c r="N54" s="4"/>
      <c r="O54" s="5"/>
      <c r="Q54" s="4"/>
      <c r="R54" s="4"/>
      <c r="S54" s="4"/>
      <c r="T54" s="5"/>
      <c r="V54" s="4"/>
      <c r="W54" s="4"/>
      <c r="X54" s="4"/>
      <c r="Y54" s="5"/>
      <c r="AA54" s="4"/>
      <c r="AB54" s="4"/>
      <c r="AC54" s="4"/>
      <c r="AD54" s="5"/>
      <c r="AF54" s="4"/>
      <c r="AG54" s="4"/>
      <c r="AH54" s="4"/>
      <c r="AI54" s="5"/>
      <c r="AK54" s="4"/>
      <c r="AL54" s="4"/>
      <c r="AM54" s="4"/>
      <c r="AN54" s="5"/>
      <c r="AP54" s="4"/>
      <c r="AQ54" s="4"/>
      <c r="AR54" s="4"/>
      <c r="AS54" s="5"/>
      <c r="AU54" s="4"/>
      <c r="AV54" s="4"/>
      <c r="AW54" s="4"/>
      <c r="AX54" s="5"/>
      <c r="AZ54" s="4"/>
      <c r="BA54" s="4"/>
      <c r="BB54" s="4"/>
      <c r="BC54" s="5"/>
      <c r="BE54" s="4"/>
      <c r="BF54" s="4"/>
      <c r="BG54" s="4"/>
      <c r="BH54" s="5"/>
      <c r="BJ54" s="4"/>
      <c r="BK54" s="4"/>
      <c r="BL54" s="4"/>
      <c r="BM54" s="5"/>
      <c r="BO54" s="4"/>
      <c r="BP54" s="4"/>
      <c r="BQ54" s="4"/>
      <c r="BR54" s="5"/>
      <c r="BT54" s="4"/>
      <c r="BU54" s="4"/>
      <c r="BV54" s="4"/>
      <c r="BW54" s="5"/>
      <c r="BY54" s="4"/>
      <c r="BZ54" s="4"/>
      <c r="CA54" s="4"/>
      <c r="CB54" s="5"/>
      <c r="CD54" s="4"/>
      <c r="CE54" s="4"/>
      <c r="CF54" s="4"/>
      <c r="CG54" s="5"/>
      <c r="CI54" s="4"/>
      <c r="CJ54" s="4"/>
      <c r="CK54" s="4"/>
      <c r="CL54" s="5"/>
      <c r="CN54" s="4"/>
      <c r="CO54" s="4"/>
      <c r="CP54" s="4"/>
      <c r="CQ54" s="5"/>
      <c r="CS54" s="4"/>
      <c r="CT54" s="4"/>
      <c r="CU54" s="4"/>
      <c r="CV54" s="5"/>
    </row>
    <row r="55" spans="2:100">
      <c r="G55" s="4"/>
      <c r="H55" s="4"/>
      <c r="I55" s="4"/>
      <c r="J55" s="5"/>
      <c r="L55" s="4"/>
      <c r="M55" s="4"/>
      <c r="N55" s="4"/>
      <c r="O55" s="5"/>
      <c r="Q55" s="4"/>
      <c r="R55" s="4"/>
      <c r="S55" s="4"/>
      <c r="T55" s="5"/>
      <c r="V55" s="4"/>
      <c r="W55" s="4"/>
      <c r="X55" s="4"/>
      <c r="Y55" s="5"/>
      <c r="AA55" s="4"/>
      <c r="AB55" s="4"/>
      <c r="AC55" s="4"/>
      <c r="AD55" s="5"/>
      <c r="AF55" s="4"/>
      <c r="AG55" s="4"/>
      <c r="AH55" s="4"/>
      <c r="AI55" s="5"/>
      <c r="AK55" s="4"/>
      <c r="AL55" s="4"/>
      <c r="AM55" s="4"/>
      <c r="AN55" s="5"/>
      <c r="AP55" s="4"/>
      <c r="AQ55" s="4"/>
      <c r="AR55" s="4"/>
      <c r="AS55" s="5"/>
      <c r="AU55" s="4"/>
      <c r="AV55" s="4"/>
      <c r="AW55" s="4"/>
      <c r="AX55" s="5"/>
      <c r="AZ55" s="4"/>
      <c r="BA55" s="4"/>
      <c r="BB55" s="4"/>
      <c r="BC55" s="5"/>
      <c r="BE55" s="4"/>
      <c r="BF55" s="4"/>
      <c r="BG55" s="4"/>
      <c r="BH55" s="5"/>
      <c r="BJ55" s="4"/>
      <c r="BK55" s="4"/>
      <c r="BL55" s="4"/>
      <c r="BM55" s="5"/>
      <c r="BO55" s="4"/>
      <c r="BP55" s="4"/>
      <c r="BQ55" s="4"/>
      <c r="BR55" s="5"/>
      <c r="BT55" s="4"/>
      <c r="BU55" s="4"/>
      <c r="BV55" s="4"/>
      <c r="BW55" s="5"/>
      <c r="BY55" s="4"/>
      <c r="BZ55" s="4"/>
      <c r="CA55" s="4"/>
      <c r="CB55" s="5"/>
      <c r="CD55" s="4"/>
      <c r="CE55" s="4"/>
      <c r="CF55" s="4"/>
      <c r="CG55" s="5"/>
      <c r="CI55" s="4"/>
      <c r="CJ55" s="4"/>
      <c r="CK55" s="4"/>
      <c r="CL55" s="5"/>
      <c r="CN55" s="4"/>
      <c r="CO55" s="4"/>
      <c r="CP55" s="4"/>
      <c r="CQ55" s="5"/>
      <c r="CS55" s="4"/>
      <c r="CT55" s="4"/>
      <c r="CU55" s="4"/>
      <c r="CV55" s="5"/>
    </row>
    <row r="56" spans="2:100">
      <c r="G56" s="4"/>
      <c r="H56" s="4"/>
      <c r="I56" s="4"/>
      <c r="J56" s="5"/>
      <c r="L56" s="4"/>
      <c r="M56" s="4"/>
      <c r="N56" s="4"/>
      <c r="O56" s="5"/>
      <c r="Q56" s="4"/>
      <c r="R56" s="4"/>
      <c r="S56" s="4"/>
      <c r="T56" s="5"/>
      <c r="V56" s="4"/>
      <c r="W56" s="4"/>
      <c r="X56" s="4"/>
      <c r="Y56" s="5"/>
      <c r="AA56" s="4"/>
      <c r="AB56" s="4"/>
      <c r="AC56" s="4"/>
      <c r="AD56" s="5"/>
      <c r="AF56" s="4"/>
      <c r="AG56" s="4"/>
      <c r="AH56" s="4"/>
      <c r="AI56" s="5"/>
      <c r="AK56" s="4"/>
      <c r="AL56" s="4"/>
      <c r="AM56" s="4"/>
      <c r="AN56" s="5"/>
      <c r="AP56" s="4"/>
      <c r="AQ56" s="4"/>
      <c r="AR56" s="4"/>
      <c r="AS56" s="5"/>
      <c r="AU56" s="4"/>
      <c r="AV56" s="4"/>
      <c r="AW56" s="4"/>
      <c r="AX56" s="5"/>
      <c r="AZ56" s="4"/>
      <c r="BA56" s="4"/>
      <c r="BB56" s="4"/>
      <c r="BC56" s="5"/>
      <c r="BE56" s="4"/>
      <c r="BF56" s="4"/>
      <c r="BG56" s="4"/>
      <c r="BH56" s="5"/>
      <c r="BJ56" s="4"/>
      <c r="BK56" s="4"/>
      <c r="BL56" s="4"/>
      <c r="BM56" s="5"/>
      <c r="BO56" s="4"/>
      <c r="BP56" s="4"/>
      <c r="BQ56" s="4"/>
      <c r="BR56" s="5"/>
      <c r="BT56" s="4"/>
      <c r="BU56" s="4"/>
      <c r="BV56" s="4"/>
      <c r="BW56" s="5"/>
      <c r="BY56" s="4"/>
      <c r="BZ56" s="4"/>
      <c r="CA56" s="4"/>
      <c r="CB56" s="5"/>
      <c r="CD56" s="4"/>
      <c r="CE56" s="4"/>
      <c r="CF56" s="4"/>
      <c r="CG56" s="5"/>
      <c r="CI56" s="4"/>
      <c r="CJ56" s="4"/>
      <c r="CK56" s="4"/>
      <c r="CL56" s="5"/>
      <c r="CN56" s="4"/>
      <c r="CO56" s="4"/>
      <c r="CP56" s="4"/>
      <c r="CQ56" s="5"/>
      <c r="CS56" s="4"/>
      <c r="CT56" s="4"/>
      <c r="CU56" s="4"/>
      <c r="CV56" s="5"/>
    </row>
    <row r="57" spans="2:100">
      <c r="G57" s="4"/>
      <c r="H57" s="4"/>
      <c r="I57" s="4"/>
      <c r="J57" s="5"/>
      <c r="L57" s="4"/>
      <c r="M57" s="4"/>
      <c r="N57" s="4"/>
      <c r="O57" s="5"/>
      <c r="Q57" s="4"/>
      <c r="R57" s="4"/>
      <c r="S57" s="4"/>
      <c r="T57" s="5"/>
      <c r="V57" s="4"/>
      <c r="W57" s="4"/>
      <c r="X57" s="4"/>
      <c r="Y57" s="5"/>
      <c r="AA57" s="4"/>
      <c r="AB57" s="4"/>
      <c r="AC57" s="4"/>
      <c r="AD57" s="5"/>
      <c r="AF57" s="4"/>
      <c r="AG57" s="4"/>
      <c r="AH57" s="4"/>
      <c r="AI57" s="5"/>
      <c r="AK57" s="4"/>
      <c r="AL57" s="4"/>
      <c r="AM57" s="4"/>
      <c r="AN57" s="5"/>
      <c r="AP57" s="4"/>
      <c r="AQ57" s="4"/>
      <c r="AR57" s="4"/>
      <c r="AS57" s="5"/>
      <c r="AU57" s="4"/>
      <c r="AV57" s="4"/>
      <c r="AW57" s="4"/>
      <c r="AX57" s="5"/>
      <c r="AZ57" s="4"/>
      <c r="BA57" s="4"/>
      <c r="BB57" s="4"/>
      <c r="BC57" s="5"/>
      <c r="BE57" s="4"/>
      <c r="BF57" s="4"/>
      <c r="BG57" s="4"/>
      <c r="BH57" s="5"/>
      <c r="BJ57" s="4"/>
      <c r="BK57" s="4"/>
      <c r="BL57" s="4"/>
      <c r="BM57" s="5"/>
      <c r="BO57" s="4"/>
      <c r="BP57" s="4"/>
      <c r="BQ57" s="4"/>
      <c r="BR57" s="5"/>
      <c r="BT57" s="4"/>
      <c r="BU57" s="4"/>
      <c r="BV57" s="4"/>
      <c r="BW57" s="5"/>
      <c r="BY57" s="4"/>
      <c r="BZ57" s="4"/>
      <c r="CA57" s="4"/>
      <c r="CB57" s="5"/>
      <c r="CD57" s="4"/>
      <c r="CE57" s="4"/>
      <c r="CF57" s="4"/>
      <c r="CG57" s="5"/>
      <c r="CI57" s="4"/>
      <c r="CJ57" s="4"/>
      <c r="CK57" s="4"/>
      <c r="CL57" s="5"/>
      <c r="CN57" s="4"/>
      <c r="CO57" s="4"/>
      <c r="CP57" s="4"/>
      <c r="CQ57" s="5"/>
      <c r="CS57" s="4"/>
      <c r="CT57" s="4"/>
      <c r="CU57" s="4"/>
      <c r="CV57" s="5"/>
    </row>
    <row r="58" spans="2:100">
      <c r="G58" s="4"/>
      <c r="H58" s="4"/>
      <c r="I58" s="4"/>
      <c r="J58" s="5"/>
      <c r="L58" s="4"/>
      <c r="M58" s="4"/>
      <c r="N58" s="4"/>
      <c r="O58" s="5"/>
      <c r="Q58" s="4"/>
      <c r="R58" s="4"/>
      <c r="S58" s="4"/>
      <c r="T58" s="5"/>
      <c r="V58" s="4"/>
      <c r="W58" s="4"/>
      <c r="X58" s="4"/>
      <c r="Y58" s="5"/>
      <c r="AA58" s="4"/>
      <c r="AB58" s="4"/>
      <c r="AC58" s="4"/>
      <c r="AD58" s="5"/>
      <c r="AF58" s="4"/>
      <c r="AG58" s="4"/>
      <c r="AH58" s="4"/>
      <c r="AI58" s="5"/>
      <c r="AK58" s="4"/>
      <c r="AL58" s="4"/>
      <c r="AM58" s="4"/>
      <c r="AN58" s="5"/>
      <c r="AP58" s="4"/>
      <c r="AQ58" s="4"/>
      <c r="AR58" s="4"/>
      <c r="AS58" s="5"/>
      <c r="AU58" s="4"/>
      <c r="AV58" s="4"/>
      <c r="AW58" s="4"/>
      <c r="AX58" s="5"/>
      <c r="AZ58" s="4"/>
      <c r="BA58" s="4"/>
      <c r="BB58" s="4"/>
      <c r="BC58" s="5"/>
      <c r="BE58" s="4"/>
      <c r="BF58" s="4"/>
      <c r="BG58" s="4"/>
      <c r="BH58" s="5"/>
      <c r="BJ58" s="4"/>
      <c r="BK58" s="4"/>
      <c r="BL58" s="4"/>
      <c r="BM58" s="5"/>
      <c r="BO58" s="4"/>
      <c r="BP58" s="4"/>
      <c r="BQ58" s="4"/>
      <c r="BR58" s="5"/>
      <c r="BT58" s="4"/>
      <c r="BU58" s="4"/>
      <c r="BV58" s="4"/>
      <c r="BW58" s="5"/>
      <c r="BY58" s="4"/>
      <c r="BZ58" s="4"/>
      <c r="CA58" s="4"/>
      <c r="CB58" s="5"/>
      <c r="CD58" s="4"/>
      <c r="CE58" s="4"/>
      <c r="CF58" s="4"/>
      <c r="CG58" s="5"/>
      <c r="CI58" s="4"/>
      <c r="CJ58" s="4"/>
      <c r="CK58" s="4"/>
      <c r="CL58" s="5"/>
      <c r="CN58" s="4"/>
      <c r="CO58" s="4"/>
      <c r="CP58" s="4"/>
      <c r="CQ58" s="5"/>
      <c r="CS58" s="4"/>
      <c r="CT58" s="4"/>
      <c r="CU58" s="4"/>
      <c r="CV58" s="5"/>
    </row>
    <row r="59" spans="2:100">
      <c r="G59" s="4"/>
      <c r="H59" s="4"/>
      <c r="I59" s="4"/>
      <c r="J59" s="5"/>
      <c r="L59" s="4"/>
      <c r="M59" s="4"/>
      <c r="N59" s="4"/>
      <c r="O59" s="5"/>
      <c r="Q59" s="4"/>
      <c r="R59" s="4"/>
      <c r="S59" s="4"/>
      <c r="T59" s="5"/>
      <c r="V59" s="4"/>
      <c r="W59" s="4"/>
      <c r="X59" s="4"/>
      <c r="Y59" s="5"/>
      <c r="AA59" s="4"/>
      <c r="AB59" s="4"/>
      <c r="AC59" s="4"/>
      <c r="AD59" s="5"/>
      <c r="AF59" s="4"/>
      <c r="AG59" s="4"/>
      <c r="AH59" s="4"/>
      <c r="AI59" s="5"/>
      <c r="AK59" s="4"/>
      <c r="AL59" s="4"/>
      <c r="AM59" s="4"/>
      <c r="AN59" s="5"/>
      <c r="AP59" s="4"/>
      <c r="AQ59" s="4"/>
      <c r="AR59" s="4"/>
      <c r="AS59" s="5"/>
      <c r="AU59" s="4"/>
      <c r="AV59" s="4"/>
      <c r="AW59" s="4"/>
      <c r="AX59" s="5"/>
      <c r="AZ59" s="4"/>
      <c r="BA59" s="4"/>
      <c r="BB59" s="4"/>
      <c r="BC59" s="5"/>
      <c r="BE59" s="4"/>
      <c r="BF59" s="4"/>
      <c r="BG59" s="4"/>
      <c r="BH59" s="5"/>
      <c r="BJ59" s="4"/>
      <c r="BK59" s="4"/>
      <c r="BL59" s="4"/>
      <c r="BM59" s="5"/>
      <c r="BO59" s="4"/>
      <c r="BP59" s="4"/>
      <c r="BQ59" s="4"/>
      <c r="BR59" s="5"/>
      <c r="BT59" s="4"/>
      <c r="BU59" s="4"/>
      <c r="BV59" s="4"/>
      <c r="BW59" s="5"/>
      <c r="BY59" s="4"/>
      <c r="BZ59" s="4"/>
      <c r="CA59" s="4"/>
      <c r="CB59" s="5"/>
      <c r="CD59" s="4"/>
      <c r="CE59" s="4"/>
      <c r="CF59" s="4"/>
      <c r="CG59" s="5"/>
      <c r="CI59" s="4"/>
      <c r="CJ59" s="4"/>
      <c r="CK59" s="4"/>
      <c r="CL59" s="5"/>
      <c r="CN59" s="4"/>
      <c r="CO59" s="4"/>
      <c r="CP59" s="4"/>
      <c r="CQ59" s="5"/>
      <c r="CS59" s="4"/>
      <c r="CT59" s="4"/>
      <c r="CU59" s="4"/>
      <c r="CV59" s="5"/>
    </row>
    <row r="60" spans="2:100">
      <c r="G60" s="4"/>
      <c r="H60" s="4"/>
      <c r="I60" s="4"/>
      <c r="J60" s="5"/>
      <c r="L60" s="4"/>
      <c r="M60" s="4"/>
      <c r="N60" s="4"/>
      <c r="O60" s="5"/>
      <c r="Q60" s="4"/>
      <c r="R60" s="4"/>
      <c r="S60" s="4"/>
      <c r="T60" s="5"/>
      <c r="V60" s="4"/>
      <c r="W60" s="4"/>
      <c r="X60" s="4"/>
      <c r="Y60" s="5"/>
      <c r="AA60" s="4"/>
      <c r="AB60" s="4"/>
      <c r="AC60" s="4"/>
      <c r="AD60" s="5"/>
      <c r="AF60" s="4"/>
      <c r="AG60" s="4"/>
      <c r="AH60" s="4"/>
      <c r="AI60" s="5"/>
      <c r="AK60" s="4"/>
      <c r="AL60" s="4"/>
      <c r="AM60" s="4"/>
      <c r="AN60" s="5"/>
      <c r="AP60" s="4"/>
      <c r="AQ60" s="4"/>
      <c r="AR60" s="4"/>
      <c r="AS60" s="5"/>
      <c r="AU60" s="4"/>
      <c r="AV60" s="4"/>
      <c r="AW60" s="4"/>
      <c r="AX60" s="5"/>
      <c r="AZ60" s="4"/>
      <c r="BA60" s="4"/>
      <c r="BB60" s="4"/>
      <c r="BC60" s="5"/>
      <c r="BE60" s="4"/>
      <c r="BF60" s="4"/>
      <c r="BG60" s="4"/>
      <c r="BH60" s="5"/>
      <c r="BJ60" s="4"/>
      <c r="BK60" s="4"/>
      <c r="BL60" s="4"/>
      <c r="BM60" s="5"/>
      <c r="BO60" s="4"/>
      <c r="BP60" s="4"/>
      <c r="BQ60" s="4"/>
      <c r="BR60" s="5"/>
      <c r="BT60" s="4"/>
      <c r="BU60" s="4"/>
      <c r="BV60" s="4"/>
      <c r="BW60" s="5"/>
      <c r="BY60" s="4"/>
      <c r="BZ60" s="4"/>
      <c r="CA60" s="4"/>
      <c r="CB60" s="5"/>
      <c r="CD60" s="4"/>
      <c r="CE60" s="4"/>
      <c r="CF60" s="4"/>
      <c r="CG60" s="5"/>
      <c r="CI60" s="4"/>
      <c r="CJ60" s="4"/>
      <c r="CK60" s="4"/>
      <c r="CL60" s="5"/>
      <c r="CN60" s="4"/>
      <c r="CO60" s="4"/>
      <c r="CP60" s="4"/>
      <c r="CQ60" s="5"/>
      <c r="CS60" s="4"/>
      <c r="CT60" s="4"/>
      <c r="CU60" s="4"/>
      <c r="CV60" s="5"/>
    </row>
    <row r="61" spans="2:100">
      <c r="G61" s="4"/>
      <c r="H61" s="4"/>
      <c r="I61" s="4"/>
      <c r="J61" s="5"/>
      <c r="L61" s="4"/>
      <c r="M61" s="4"/>
      <c r="N61" s="4"/>
      <c r="O61" s="5"/>
      <c r="Q61" s="4"/>
      <c r="R61" s="4"/>
      <c r="S61" s="4"/>
      <c r="T61" s="5"/>
      <c r="V61" s="4"/>
      <c r="W61" s="4"/>
      <c r="X61" s="4"/>
      <c r="Y61" s="5"/>
      <c r="AA61" s="4"/>
      <c r="AB61" s="4"/>
      <c r="AC61" s="4"/>
      <c r="AD61" s="5"/>
      <c r="AF61" s="4"/>
      <c r="AG61" s="4"/>
      <c r="AH61" s="4"/>
      <c r="AI61" s="5"/>
      <c r="AK61" s="4"/>
      <c r="AL61" s="4"/>
      <c r="AM61" s="4"/>
      <c r="AN61" s="5"/>
      <c r="AP61" s="4"/>
      <c r="AQ61" s="4"/>
      <c r="AR61" s="4"/>
      <c r="AS61" s="5"/>
      <c r="AU61" s="4"/>
      <c r="AV61" s="4"/>
      <c r="AW61" s="4"/>
      <c r="AX61" s="5"/>
      <c r="AZ61" s="4"/>
      <c r="BA61" s="4"/>
      <c r="BB61" s="4"/>
      <c r="BC61" s="5"/>
      <c r="BE61" s="4"/>
      <c r="BF61" s="4"/>
      <c r="BG61" s="4"/>
      <c r="BH61" s="5"/>
      <c r="BJ61" s="4"/>
      <c r="BK61" s="4"/>
      <c r="BL61" s="4"/>
      <c r="BM61" s="5"/>
      <c r="BO61" s="4"/>
      <c r="BP61" s="4"/>
      <c r="BQ61" s="4"/>
      <c r="BR61" s="5"/>
      <c r="BT61" s="4"/>
      <c r="BU61" s="4"/>
      <c r="BV61" s="4"/>
      <c r="BW61" s="5"/>
      <c r="BY61" s="4"/>
      <c r="BZ61" s="4"/>
      <c r="CA61" s="4"/>
      <c r="CB61" s="5"/>
      <c r="CD61" s="4"/>
      <c r="CE61" s="4"/>
      <c r="CF61" s="4"/>
      <c r="CG61" s="5"/>
      <c r="CI61" s="4"/>
      <c r="CJ61" s="4"/>
      <c r="CK61" s="4"/>
      <c r="CL61" s="5"/>
      <c r="CN61" s="4"/>
      <c r="CO61" s="4"/>
      <c r="CP61" s="4"/>
      <c r="CQ61" s="5"/>
      <c r="CS61" s="4"/>
      <c r="CT61" s="4"/>
      <c r="CU61" s="4"/>
      <c r="CV61" s="5"/>
    </row>
    <row r="62" spans="2:100">
      <c r="G62" s="4"/>
      <c r="H62" s="4"/>
      <c r="I62" s="4"/>
      <c r="J62" s="5"/>
      <c r="L62" s="4"/>
      <c r="M62" s="4"/>
      <c r="N62" s="4"/>
      <c r="O62" s="5"/>
      <c r="Q62" s="4"/>
      <c r="R62" s="4"/>
      <c r="S62" s="4"/>
      <c r="T62" s="5"/>
      <c r="V62" s="4"/>
      <c r="W62" s="4"/>
      <c r="X62" s="4"/>
      <c r="Y62" s="5"/>
      <c r="AA62" s="4"/>
      <c r="AB62" s="4"/>
      <c r="AC62" s="4"/>
      <c r="AD62" s="5"/>
      <c r="AF62" s="4"/>
      <c r="AG62" s="4"/>
      <c r="AH62" s="4"/>
      <c r="AI62" s="5"/>
      <c r="AK62" s="4"/>
      <c r="AL62" s="4"/>
      <c r="AM62" s="4"/>
      <c r="AN62" s="5"/>
      <c r="AP62" s="4"/>
      <c r="AQ62" s="4"/>
      <c r="AR62" s="4"/>
      <c r="AS62" s="5"/>
      <c r="AU62" s="4"/>
      <c r="AV62" s="4"/>
      <c r="AW62" s="4"/>
      <c r="AX62" s="5"/>
      <c r="AZ62" s="4"/>
      <c r="BA62" s="4"/>
      <c r="BB62" s="4"/>
      <c r="BC62" s="5"/>
      <c r="BE62" s="4"/>
      <c r="BF62" s="4"/>
      <c r="BG62" s="4"/>
      <c r="BH62" s="5"/>
      <c r="BJ62" s="4"/>
      <c r="BK62" s="4"/>
      <c r="BL62" s="4"/>
      <c r="BM62" s="5"/>
      <c r="BO62" s="4"/>
      <c r="BP62" s="4"/>
      <c r="BQ62" s="4"/>
      <c r="BR62" s="5"/>
      <c r="BT62" s="4"/>
      <c r="BU62" s="4"/>
      <c r="BV62" s="4"/>
      <c r="BW62" s="5"/>
      <c r="BY62" s="4"/>
      <c r="BZ62" s="4"/>
      <c r="CA62" s="4"/>
      <c r="CB62" s="5"/>
      <c r="CD62" s="4"/>
      <c r="CE62" s="4"/>
      <c r="CF62" s="4"/>
      <c r="CG62" s="5"/>
      <c r="CI62" s="4"/>
      <c r="CJ62" s="4"/>
      <c r="CK62" s="4"/>
      <c r="CL62" s="5"/>
      <c r="CN62" s="4"/>
      <c r="CO62" s="4"/>
      <c r="CP62" s="4"/>
      <c r="CQ62" s="5"/>
      <c r="CS62" s="4"/>
      <c r="CT62" s="4"/>
      <c r="CU62" s="4"/>
      <c r="CV62" s="5"/>
    </row>
    <row r="63" spans="2:100">
      <c r="G63" s="4"/>
      <c r="H63" s="4"/>
      <c r="I63" s="4"/>
      <c r="J63" s="5"/>
      <c r="L63" s="4"/>
      <c r="M63" s="4"/>
      <c r="N63" s="4"/>
      <c r="O63" s="5"/>
      <c r="Q63" s="4"/>
      <c r="R63" s="4"/>
      <c r="S63" s="4"/>
      <c r="T63" s="5"/>
      <c r="V63" s="4"/>
      <c r="W63" s="4"/>
      <c r="X63" s="4"/>
      <c r="Y63" s="5"/>
      <c r="AA63" s="4"/>
      <c r="AB63" s="4"/>
      <c r="AC63" s="4"/>
      <c r="AD63" s="5"/>
      <c r="AF63" s="4"/>
      <c r="AG63" s="4"/>
      <c r="AH63" s="4"/>
      <c r="AI63" s="5"/>
      <c r="AK63" s="4"/>
      <c r="AL63" s="4"/>
      <c r="AM63" s="4"/>
      <c r="AN63" s="5"/>
      <c r="AP63" s="4"/>
      <c r="AQ63" s="4"/>
      <c r="AR63" s="4"/>
      <c r="AS63" s="5"/>
      <c r="AU63" s="4"/>
      <c r="AV63" s="4"/>
      <c r="AW63" s="4"/>
      <c r="AX63" s="5"/>
      <c r="AZ63" s="4"/>
      <c r="BA63" s="4"/>
      <c r="BB63" s="4"/>
      <c r="BC63" s="5"/>
      <c r="BE63" s="4"/>
      <c r="BF63" s="4"/>
      <c r="BG63" s="4"/>
      <c r="BH63" s="5"/>
      <c r="BJ63" s="4"/>
      <c r="BK63" s="4"/>
      <c r="BL63" s="4"/>
      <c r="BM63" s="5"/>
      <c r="BO63" s="4"/>
      <c r="BP63" s="4"/>
      <c r="BQ63" s="4"/>
      <c r="BR63" s="5"/>
      <c r="BT63" s="4"/>
      <c r="BU63" s="4"/>
      <c r="BV63" s="4"/>
      <c r="BW63" s="5"/>
      <c r="BY63" s="4"/>
      <c r="BZ63" s="4"/>
      <c r="CA63" s="4"/>
      <c r="CB63" s="5"/>
      <c r="CD63" s="4"/>
      <c r="CE63" s="4"/>
      <c r="CF63" s="4"/>
      <c r="CG63" s="5"/>
      <c r="CI63" s="4"/>
      <c r="CJ63" s="4"/>
      <c r="CK63" s="4"/>
      <c r="CL63" s="5"/>
      <c r="CN63" s="4"/>
      <c r="CO63" s="4"/>
      <c r="CP63" s="4"/>
      <c r="CQ63" s="5"/>
      <c r="CS63" s="4"/>
      <c r="CT63" s="4"/>
      <c r="CU63" s="4"/>
      <c r="CV63" s="5"/>
    </row>
    <row r="64" spans="2:100">
      <c r="G64" s="4"/>
      <c r="H64" s="4"/>
      <c r="I64" s="4"/>
      <c r="J64" s="5"/>
      <c r="L64" s="4"/>
      <c r="M64" s="4"/>
      <c r="N64" s="4"/>
      <c r="O64" s="5"/>
      <c r="Q64" s="4"/>
      <c r="R64" s="4"/>
      <c r="S64" s="4"/>
      <c r="T64" s="5"/>
      <c r="V64" s="4"/>
      <c r="W64" s="4"/>
      <c r="X64" s="4"/>
      <c r="Y64" s="5"/>
      <c r="AA64" s="4"/>
      <c r="AB64" s="4"/>
      <c r="AC64" s="4"/>
      <c r="AD64" s="5"/>
      <c r="AF64" s="4"/>
      <c r="AG64" s="4"/>
      <c r="AH64" s="4"/>
      <c r="AI64" s="5"/>
      <c r="AK64" s="4"/>
      <c r="AL64" s="4"/>
      <c r="AM64" s="4"/>
      <c r="AN64" s="5"/>
      <c r="AP64" s="4"/>
      <c r="AQ64" s="4"/>
      <c r="AR64" s="4"/>
      <c r="AS64" s="5"/>
      <c r="AU64" s="4"/>
      <c r="AV64" s="4"/>
      <c r="AW64" s="4"/>
      <c r="AX64" s="5"/>
      <c r="AZ64" s="4"/>
      <c r="BA64" s="4"/>
      <c r="BB64" s="4"/>
      <c r="BC64" s="5"/>
      <c r="BE64" s="4"/>
      <c r="BF64" s="4"/>
      <c r="BG64" s="4"/>
      <c r="BH64" s="5"/>
      <c r="BJ64" s="4"/>
      <c r="BK64" s="4"/>
      <c r="BL64" s="4"/>
      <c r="BM64" s="5"/>
      <c r="BO64" s="4"/>
      <c r="BP64" s="4"/>
      <c r="BQ64" s="4"/>
      <c r="BR64" s="5"/>
      <c r="BT64" s="4"/>
      <c r="BU64" s="4"/>
      <c r="BV64" s="4"/>
      <c r="BW64" s="5"/>
      <c r="BY64" s="4"/>
      <c r="BZ64" s="4"/>
      <c r="CA64" s="4"/>
      <c r="CB64" s="5"/>
      <c r="CD64" s="4"/>
      <c r="CE64" s="4"/>
      <c r="CF64" s="4"/>
      <c r="CG64" s="5"/>
      <c r="CI64" s="4"/>
      <c r="CJ64" s="4"/>
      <c r="CK64" s="4"/>
      <c r="CL64" s="5"/>
      <c r="CN64" s="4"/>
      <c r="CO64" s="4"/>
      <c r="CP64" s="4"/>
      <c r="CQ64" s="5"/>
      <c r="CS64" s="4"/>
      <c r="CT64" s="4"/>
      <c r="CU64" s="4"/>
      <c r="CV64" s="5"/>
    </row>
    <row r="65" spans="7:100">
      <c r="G65" s="4"/>
      <c r="H65" s="4"/>
      <c r="I65" s="4"/>
      <c r="J65" s="5"/>
      <c r="L65" s="4"/>
      <c r="M65" s="4"/>
      <c r="N65" s="4"/>
      <c r="O65" s="5"/>
      <c r="Q65" s="4"/>
      <c r="R65" s="4"/>
      <c r="S65" s="4"/>
      <c r="T65" s="5"/>
      <c r="V65" s="4"/>
      <c r="W65" s="4"/>
      <c r="X65" s="4"/>
      <c r="Y65" s="5"/>
      <c r="AA65" s="4"/>
      <c r="AB65" s="4"/>
      <c r="AC65" s="4"/>
      <c r="AD65" s="5"/>
      <c r="AF65" s="4"/>
      <c r="AG65" s="4"/>
      <c r="AH65" s="4"/>
      <c r="AI65" s="5"/>
      <c r="AK65" s="4"/>
      <c r="AL65" s="4"/>
      <c r="AM65" s="4"/>
      <c r="AN65" s="5"/>
      <c r="AP65" s="4"/>
      <c r="AQ65" s="4"/>
      <c r="AR65" s="4"/>
      <c r="AS65" s="5"/>
      <c r="AU65" s="4"/>
      <c r="AV65" s="4"/>
      <c r="AW65" s="4"/>
      <c r="AX65" s="5"/>
      <c r="AZ65" s="4"/>
      <c r="BA65" s="4"/>
      <c r="BB65" s="4"/>
      <c r="BC65" s="5"/>
      <c r="BE65" s="4"/>
      <c r="BF65" s="4"/>
      <c r="BG65" s="4"/>
      <c r="BH65" s="5"/>
      <c r="BJ65" s="4"/>
      <c r="BK65" s="4"/>
      <c r="BL65" s="4"/>
      <c r="BM65" s="5"/>
      <c r="BO65" s="4"/>
      <c r="BP65" s="4"/>
      <c r="BQ65" s="4"/>
      <c r="BR65" s="5"/>
      <c r="BT65" s="4"/>
      <c r="BU65" s="4"/>
      <c r="BV65" s="4"/>
      <c r="BW65" s="5"/>
      <c r="BY65" s="4"/>
      <c r="BZ65" s="4"/>
      <c r="CA65" s="4"/>
      <c r="CB65" s="5"/>
      <c r="CD65" s="4"/>
      <c r="CE65" s="4"/>
      <c r="CF65" s="4"/>
      <c r="CG65" s="5"/>
      <c r="CI65" s="4"/>
      <c r="CJ65" s="4"/>
      <c r="CK65" s="4"/>
      <c r="CL65" s="5"/>
      <c r="CN65" s="4"/>
      <c r="CO65" s="4"/>
      <c r="CP65" s="4"/>
      <c r="CQ65" s="5"/>
      <c r="CS65" s="4"/>
      <c r="CT65" s="4"/>
      <c r="CU65" s="4"/>
      <c r="CV65" s="5"/>
    </row>
    <row r="66" spans="7:100">
      <c r="G66" s="4"/>
      <c r="H66" s="4"/>
      <c r="I66" s="4"/>
      <c r="J66" s="5"/>
      <c r="L66" s="4"/>
      <c r="M66" s="4"/>
      <c r="N66" s="4"/>
      <c r="O66" s="5"/>
      <c r="Q66" s="4"/>
      <c r="R66" s="4"/>
      <c r="S66" s="4"/>
      <c r="T66" s="5"/>
      <c r="V66" s="4"/>
      <c r="W66" s="4"/>
      <c r="X66" s="4"/>
      <c r="Y66" s="5"/>
      <c r="AA66" s="4"/>
      <c r="AB66" s="4"/>
      <c r="AC66" s="4"/>
      <c r="AD66" s="5"/>
      <c r="AF66" s="4"/>
      <c r="AG66" s="4"/>
      <c r="AH66" s="4"/>
      <c r="AI66" s="5"/>
      <c r="AK66" s="4"/>
      <c r="AL66" s="4"/>
      <c r="AM66" s="4"/>
      <c r="AN66" s="5"/>
      <c r="AP66" s="4"/>
      <c r="AQ66" s="4"/>
      <c r="AR66" s="4"/>
      <c r="AS66" s="5"/>
      <c r="AU66" s="4"/>
      <c r="AV66" s="4"/>
      <c r="AW66" s="4"/>
      <c r="AX66" s="5"/>
      <c r="AZ66" s="4"/>
      <c r="BA66" s="4"/>
      <c r="BB66" s="4"/>
      <c r="BC66" s="5"/>
      <c r="BE66" s="4"/>
      <c r="BF66" s="4"/>
      <c r="BG66" s="4"/>
      <c r="BH66" s="5"/>
      <c r="BJ66" s="4"/>
      <c r="BK66" s="4"/>
      <c r="BL66" s="4"/>
      <c r="BM66" s="5"/>
      <c r="BO66" s="4"/>
      <c r="BP66" s="4"/>
      <c r="BQ66" s="4"/>
      <c r="BR66" s="5"/>
      <c r="BT66" s="4"/>
      <c r="BU66" s="4"/>
      <c r="BV66" s="4"/>
      <c r="BW66" s="5"/>
      <c r="BY66" s="4"/>
      <c r="BZ66" s="4"/>
      <c r="CA66" s="4"/>
      <c r="CB66" s="5"/>
      <c r="CD66" s="4"/>
      <c r="CE66" s="4"/>
      <c r="CF66" s="4"/>
      <c r="CG66" s="5"/>
      <c r="CI66" s="4"/>
      <c r="CJ66" s="4"/>
      <c r="CK66" s="4"/>
      <c r="CL66" s="5"/>
      <c r="CN66" s="4"/>
      <c r="CO66" s="4"/>
      <c r="CP66" s="4"/>
      <c r="CQ66" s="5"/>
      <c r="CS66" s="4"/>
      <c r="CT66" s="4"/>
      <c r="CU66" s="4"/>
      <c r="CV66" s="5"/>
    </row>
    <row r="67" spans="7:100">
      <c r="G67" s="4"/>
      <c r="H67" s="4"/>
      <c r="I67" s="4"/>
      <c r="J67" s="5"/>
      <c r="L67" s="4"/>
      <c r="M67" s="4"/>
      <c r="N67" s="4"/>
      <c r="O67" s="5"/>
      <c r="Q67" s="4"/>
      <c r="R67" s="4"/>
      <c r="S67" s="4"/>
      <c r="T67" s="5"/>
      <c r="V67" s="4"/>
      <c r="W67" s="4"/>
      <c r="X67" s="4"/>
      <c r="Y67" s="5"/>
      <c r="AA67" s="4"/>
      <c r="AB67" s="4"/>
      <c r="AC67" s="4"/>
      <c r="AD67" s="5"/>
      <c r="AF67" s="4"/>
      <c r="AG67" s="4"/>
      <c r="AH67" s="4"/>
      <c r="AI67" s="5"/>
      <c r="AK67" s="4"/>
      <c r="AL67" s="4"/>
      <c r="AM67" s="4"/>
      <c r="AN67" s="5"/>
      <c r="AP67" s="4"/>
      <c r="AQ67" s="4"/>
      <c r="AR67" s="4"/>
      <c r="AS67" s="5"/>
      <c r="AU67" s="4"/>
      <c r="AV67" s="4"/>
      <c r="AW67" s="4"/>
      <c r="AX67" s="5"/>
      <c r="AZ67" s="4"/>
      <c r="BA67" s="4"/>
      <c r="BB67" s="4"/>
      <c r="BC67" s="5"/>
      <c r="BE67" s="4"/>
      <c r="BF67" s="4"/>
      <c r="BG67" s="4"/>
      <c r="BH67" s="5"/>
      <c r="BJ67" s="4"/>
      <c r="BK67" s="4"/>
      <c r="BL67" s="4"/>
      <c r="BM67" s="5"/>
      <c r="BO67" s="4"/>
      <c r="BP67" s="4"/>
      <c r="BQ67" s="4"/>
      <c r="BR67" s="5"/>
      <c r="BT67" s="4"/>
      <c r="BU67" s="4"/>
      <c r="BV67" s="4"/>
      <c r="BW67" s="5"/>
      <c r="BY67" s="4"/>
      <c r="BZ67" s="4"/>
      <c r="CA67" s="4"/>
      <c r="CB67" s="5"/>
      <c r="CD67" s="4"/>
      <c r="CE67" s="4"/>
      <c r="CF67" s="4"/>
      <c r="CG67" s="5"/>
      <c r="CI67" s="4"/>
      <c r="CJ67" s="4"/>
      <c r="CK67" s="4"/>
      <c r="CL67" s="5"/>
      <c r="CN67" s="4"/>
      <c r="CO67" s="4"/>
      <c r="CP67" s="4"/>
      <c r="CQ67" s="5"/>
      <c r="CS67" s="4"/>
      <c r="CT67" s="4"/>
      <c r="CU67" s="4"/>
      <c r="CV67" s="5"/>
    </row>
  </sheetData>
  <mergeCells count="20">
    <mergeCell ref="BE2:BH2"/>
    <mergeCell ref="B2:E2"/>
    <mergeCell ref="G2:J2"/>
    <mergeCell ref="L2:O2"/>
    <mergeCell ref="Q2:T2"/>
    <mergeCell ref="V2:Y2"/>
    <mergeCell ref="AA2:AD2"/>
    <mergeCell ref="AF2:AI2"/>
    <mergeCell ref="AK2:AN2"/>
    <mergeCell ref="AP2:AS2"/>
    <mergeCell ref="AU2:AX2"/>
    <mergeCell ref="AZ2:BC2"/>
    <mergeCell ref="CN2:CQ2"/>
    <mergeCell ref="CS2:CV2"/>
    <mergeCell ref="BJ2:BM2"/>
    <mergeCell ref="BO2:BR2"/>
    <mergeCell ref="BT2:BW2"/>
    <mergeCell ref="BY2:CB2"/>
    <mergeCell ref="CD2:CG2"/>
    <mergeCell ref="CI2:CL2"/>
  </mergeCells>
  <conditionalFormatting sqref="B4:B68">
    <cfRule type="notContainsBlanks" dxfId="235" priority="40">
      <formula>LEN(TRIM(B4))&gt;0</formula>
    </cfRule>
  </conditionalFormatting>
  <conditionalFormatting sqref="C4:E67">
    <cfRule type="notContainsBlanks" dxfId="234" priority="39">
      <formula>LEN(TRIM(C4))&gt;0</formula>
    </cfRule>
  </conditionalFormatting>
  <conditionalFormatting sqref="G4:G67">
    <cfRule type="notContainsBlanks" dxfId="233" priority="38">
      <formula>LEN(TRIM(G4))&gt;0</formula>
    </cfRule>
  </conditionalFormatting>
  <conditionalFormatting sqref="H4:J67">
    <cfRule type="notContainsBlanks" dxfId="232" priority="37">
      <formula>LEN(TRIM(H4))&gt;0</formula>
    </cfRule>
  </conditionalFormatting>
  <conditionalFormatting sqref="L4:L67">
    <cfRule type="notContainsBlanks" dxfId="231" priority="36">
      <formula>LEN(TRIM(L4))&gt;0</formula>
    </cfRule>
  </conditionalFormatting>
  <conditionalFormatting sqref="M4:O67">
    <cfRule type="notContainsBlanks" dxfId="230" priority="35">
      <formula>LEN(TRIM(M4))&gt;0</formula>
    </cfRule>
  </conditionalFormatting>
  <conditionalFormatting sqref="Q4:Q67">
    <cfRule type="notContainsBlanks" dxfId="229" priority="34">
      <formula>LEN(TRIM(Q4))&gt;0</formula>
    </cfRule>
  </conditionalFormatting>
  <conditionalFormatting sqref="R4:T67">
    <cfRule type="notContainsBlanks" dxfId="228" priority="33">
      <formula>LEN(TRIM(R4))&gt;0</formula>
    </cfRule>
  </conditionalFormatting>
  <conditionalFormatting sqref="V4:V67">
    <cfRule type="notContainsBlanks" dxfId="227" priority="32">
      <formula>LEN(TRIM(V4))&gt;0</formula>
    </cfRule>
  </conditionalFormatting>
  <conditionalFormatting sqref="W4:Y67">
    <cfRule type="notContainsBlanks" dxfId="226" priority="31">
      <formula>LEN(TRIM(W4))&gt;0</formula>
    </cfRule>
  </conditionalFormatting>
  <conditionalFormatting sqref="AA4:AA67">
    <cfRule type="notContainsBlanks" dxfId="225" priority="30">
      <formula>LEN(TRIM(AA4))&gt;0</formula>
    </cfRule>
  </conditionalFormatting>
  <conditionalFormatting sqref="AB4:AD67">
    <cfRule type="notContainsBlanks" dxfId="224" priority="29">
      <formula>LEN(TRIM(AB4))&gt;0</formula>
    </cfRule>
  </conditionalFormatting>
  <conditionalFormatting sqref="AF4:AF67">
    <cfRule type="notContainsBlanks" dxfId="223" priority="28">
      <formula>LEN(TRIM(AF4))&gt;0</formula>
    </cfRule>
  </conditionalFormatting>
  <conditionalFormatting sqref="AG4:AI67">
    <cfRule type="notContainsBlanks" dxfId="222" priority="27">
      <formula>LEN(TRIM(AG4))&gt;0</formula>
    </cfRule>
  </conditionalFormatting>
  <conditionalFormatting sqref="AK4:AK67">
    <cfRule type="notContainsBlanks" dxfId="221" priority="26">
      <formula>LEN(TRIM(AK4))&gt;0</formula>
    </cfRule>
  </conditionalFormatting>
  <conditionalFormatting sqref="AL4:AN67">
    <cfRule type="notContainsBlanks" dxfId="220" priority="25">
      <formula>LEN(TRIM(AL4))&gt;0</formula>
    </cfRule>
  </conditionalFormatting>
  <conditionalFormatting sqref="AP4:AP67">
    <cfRule type="notContainsBlanks" dxfId="219" priority="24">
      <formula>LEN(TRIM(AP4))&gt;0</formula>
    </cfRule>
  </conditionalFormatting>
  <conditionalFormatting sqref="AQ4:AS67">
    <cfRule type="notContainsBlanks" dxfId="218" priority="23">
      <formula>LEN(TRIM(AQ4))&gt;0</formula>
    </cfRule>
  </conditionalFormatting>
  <conditionalFormatting sqref="AU4:AU67">
    <cfRule type="notContainsBlanks" dxfId="217" priority="22">
      <formula>LEN(TRIM(AU4))&gt;0</formula>
    </cfRule>
  </conditionalFormatting>
  <conditionalFormatting sqref="AV4:AX67">
    <cfRule type="notContainsBlanks" dxfId="216" priority="21">
      <formula>LEN(TRIM(AV4))&gt;0</formula>
    </cfRule>
  </conditionalFormatting>
  <conditionalFormatting sqref="AZ4:AZ67">
    <cfRule type="notContainsBlanks" dxfId="215" priority="20">
      <formula>LEN(TRIM(AZ4))&gt;0</formula>
    </cfRule>
  </conditionalFormatting>
  <conditionalFormatting sqref="BA4:BC67">
    <cfRule type="notContainsBlanks" dxfId="214" priority="19">
      <formula>LEN(TRIM(BA4))&gt;0</formula>
    </cfRule>
  </conditionalFormatting>
  <conditionalFormatting sqref="BE4:BE67">
    <cfRule type="notContainsBlanks" dxfId="213" priority="18">
      <formula>LEN(TRIM(BE4))&gt;0</formula>
    </cfRule>
  </conditionalFormatting>
  <conditionalFormatting sqref="BF4:BH67">
    <cfRule type="notContainsBlanks" dxfId="212" priority="17">
      <formula>LEN(TRIM(BF4))&gt;0</formula>
    </cfRule>
  </conditionalFormatting>
  <conditionalFormatting sqref="BJ4:BJ67">
    <cfRule type="notContainsBlanks" dxfId="211" priority="16">
      <formula>LEN(TRIM(BJ4))&gt;0</formula>
    </cfRule>
  </conditionalFormatting>
  <conditionalFormatting sqref="BK4:BM67">
    <cfRule type="notContainsBlanks" dxfId="210" priority="15">
      <formula>LEN(TRIM(BK4))&gt;0</formula>
    </cfRule>
  </conditionalFormatting>
  <conditionalFormatting sqref="BO4:BO67">
    <cfRule type="notContainsBlanks" dxfId="209" priority="14">
      <formula>LEN(TRIM(BO4))&gt;0</formula>
    </cfRule>
  </conditionalFormatting>
  <conditionalFormatting sqref="BP4:BR67">
    <cfRule type="notContainsBlanks" dxfId="208" priority="13">
      <formula>LEN(TRIM(BP4))&gt;0</formula>
    </cfRule>
  </conditionalFormatting>
  <conditionalFormatting sqref="BT4:BT67">
    <cfRule type="notContainsBlanks" dxfId="207" priority="12">
      <formula>LEN(TRIM(BT4))&gt;0</formula>
    </cfRule>
  </conditionalFormatting>
  <conditionalFormatting sqref="BU4:BW67">
    <cfRule type="notContainsBlanks" dxfId="206" priority="11">
      <formula>LEN(TRIM(BU4))&gt;0</formula>
    </cfRule>
  </conditionalFormatting>
  <conditionalFormatting sqref="BY4:BY67">
    <cfRule type="notContainsBlanks" dxfId="205" priority="10">
      <formula>LEN(TRIM(BY4))&gt;0</formula>
    </cfRule>
  </conditionalFormatting>
  <conditionalFormatting sqref="BZ4:CB67">
    <cfRule type="notContainsBlanks" dxfId="204" priority="9">
      <formula>LEN(TRIM(BZ4))&gt;0</formula>
    </cfRule>
  </conditionalFormatting>
  <conditionalFormatting sqref="CD4:CD67">
    <cfRule type="notContainsBlanks" dxfId="203" priority="8">
      <formula>LEN(TRIM(CD4))&gt;0</formula>
    </cfRule>
  </conditionalFormatting>
  <conditionalFormatting sqref="CE4:CG67">
    <cfRule type="notContainsBlanks" dxfId="202" priority="7">
      <formula>LEN(TRIM(CE4))&gt;0</formula>
    </cfRule>
  </conditionalFormatting>
  <conditionalFormatting sqref="CI4:CI67">
    <cfRule type="notContainsBlanks" dxfId="201" priority="6">
      <formula>LEN(TRIM(CI4))&gt;0</formula>
    </cfRule>
  </conditionalFormatting>
  <conditionalFormatting sqref="CJ4:CL67">
    <cfRule type="notContainsBlanks" dxfId="200" priority="5">
      <formula>LEN(TRIM(CJ4))&gt;0</formula>
    </cfRule>
  </conditionalFormatting>
  <conditionalFormatting sqref="CN4:CN67">
    <cfRule type="notContainsBlanks" dxfId="199" priority="4">
      <formula>LEN(TRIM(CN4))&gt;0</formula>
    </cfRule>
  </conditionalFormatting>
  <conditionalFormatting sqref="CO4:CQ67">
    <cfRule type="notContainsBlanks" dxfId="198" priority="3">
      <formula>LEN(TRIM(CO4))&gt;0</formula>
    </cfRule>
  </conditionalFormatting>
  <conditionalFormatting sqref="CS4:CS67">
    <cfRule type="notContainsBlanks" dxfId="197" priority="2">
      <formula>LEN(TRIM(CS4))&gt;0</formula>
    </cfRule>
  </conditionalFormatting>
  <conditionalFormatting sqref="CT4:CV67">
    <cfRule type="notContainsBlanks" dxfId="196" priority="1">
      <formula>LEN(TRIM(CT4))&gt;0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E8C61-CAA5-4794-91DE-ACE4AE6E4E9B}">
  <sheetPr codeName="Sheet13">
    <tabColor rgb="FFFF0000"/>
  </sheetPr>
  <dimension ref="A1:AN768"/>
  <sheetViews>
    <sheetView zoomScaleNormal="100" workbookViewId="0">
      <selection activeCell="S2" sqref="S2"/>
    </sheetView>
  </sheetViews>
  <sheetFormatPr defaultColWidth="5.5703125" defaultRowHeight="12.75"/>
  <cols>
    <col min="1" max="1" width="3.28515625" style="1" bestFit="1" customWidth="1"/>
    <col min="2" max="2" width="12.42578125" style="1" bestFit="1" customWidth="1"/>
    <col min="3" max="3" width="8.28515625" style="1" bestFit="1" customWidth="1"/>
    <col min="4" max="4" width="5.7109375" style="1" customWidth="1"/>
    <col min="5" max="5" width="6.42578125" style="1" bestFit="1" customWidth="1"/>
    <col min="6" max="6" width="8.28515625" style="1" bestFit="1" customWidth="1"/>
    <col min="7" max="7" width="15.7109375" style="1" customWidth="1"/>
    <col min="8" max="8" width="8.42578125" style="1" bestFit="1" customWidth="1"/>
    <col min="9" max="14" width="4.7109375" style="1" customWidth="1"/>
    <col min="15" max="15" width="6.7109375" style="1" bestFit="1" customWidth="1"/>
    <col min="16" max="16" width="4.42578125" style="1" bestFit="1" customWidth="1"/>
    <col min="17" max="17" width="6.28515625" style="1" bestFit="1" customWidth="1"/>
    <col min="18" max="18" width="1.7109375" style="1" customWidth="1"/>
    <col min="19" max="19" width="6.7109375" style="1" bestFit="1" customWidth="1"/>
    <col min="20" max="20" width="5.28515625" style="1" bestFit="1" customWidth="1"/>
    <col min="21" max="21" width="6.85546875" style="1" bestFit="1" customWidth="1"/>
    <col min="22" max="22" width="12.85546875" style="1" bestFit="1" customWidth="1"/>
    <col min="23" max="23" width="5.5703125" style="1"/>
    <col min="24" max="24" width="1.85546875" style="1" bestFit="1" customWidth="1"/>
    <col min="25" max="25" width="5.7109375" style="1" customWidth="1"/>
    <col min="26" max="26" width="12.85546875" style="1" bestFit="1" customWidth="1"/>
    <col min="27" max="27" width="6.85546875" style="1" bestFit="1" customWidth="1"/>
    <col min="28" max="28" width="2.85546875" style="1" hidden="1" customWidth="1"/>
    <col min="29" max="30" width="2.140625" style="1" hidden="1" customWidth="1"/>
    <col min="31" max="31" width="1.28515625" style="1" customWidth="1"/>
    <col min="32" max="32" width="3.28515625" style="1" bestFit="1" customWidth="1"/>
    <col min="33" max="33" width="12.42578125" style="1" bestFit="1" customWidth="1"/>
    <col min="34" max="34" width="6.7109375" style="1" bestFit="1" customWidth="1"/>
    <col min="35" max="35" width="6.28515625" style="1" bestFit="1" customWidth="1"/>
    <col min="36" max="36" width="1.42578125" style="1" customWidth="1"/>
    <col min="37" max="37" width="5.5703125" style="1"/>
    <col min="38" max="38" width="12.42578125" style="1" bestFit="1" customWidth="1"/>
    <col min="39" max="39" width="5.5703125" style="1"/>
    <col min="40" max="40" width="6.28515625" style="1" bestFit="1" customWidth="1"/>
    <col min="41" max="16384" width="5.5703125" style="1"/>
  </cols>
  <sheetData>
    <row r="1" spans="1:40" ht="12.75" customHeight="1">
      <c r="A1" s="59" t="s">
        <v>0</v>
      </c>
      <c r="B1" s="59" t="s">
        <v>330</v>
      </c>
      <c r="C1" s="59" t="s">
        <v>219</v>
      </c>
      <c r="E1" s="59" t="s">
        <v>331</v>
      </c>
      <c r="F1" s="59" t="s">
        <v>219</v>
      </c>
      <c r="G1" s="59" t="s">
        <v>1</v>
      </c>
      <c r="H1" s="59" t="s">
        <v>3</v>
      </c>
      <c r="I1" s="59" t="s">
        <v>332</v>
      </c>
      <c r="J1" s="59" t="s">
        <v>333</v>
      </c>
      <c r="K1" s="59" t="s">
        <v>334</v>
      </c>
      <c r="L1" s="59" t="s">
        <v>335</v>
      </c>
      <c r="M1" s="59" t="s">
        <v>336</v>
      </c>
      <c r="N1" s="59" t="s">
        <v>337</v>
      </c>
      <c r="O1" s="59" t="s">
        <v>224</v>
      </c>
      <c r="P1" s="59" t="s">
        <v>338</v>
      </c>
      <c r="Q1" s="59" t="s">
        <v>220</v>
      </c>
      <c r="S1" s="58" t="s">
        <v>339</v>
      </c>
      <c r="T1" s="58" t="s">
        <v>340</v>
      </c>
      <c r="U1" s="58" t="s">
        <v>341</v>
      </c>
      <c r="V1" s="58" t="s">
        <v>1</v>
      </c>
      <c r="W1" s="69" t="s">
        <v>220</v>
      </c>
      <c r="X1" s="70"/>
      <c r="Y1" s="71"/>
      <c r="Z1" s="58" t="s">
        <v>1</v>
      </c>
      <c r="AA1" s="58" t="s">
        <v>341</v>
      </c>
      <c r="AB1" s="1" t="s">
        <v>333</v>
      </c>
      <c r="AC1" s="1" t="s">
        <v>334</v>
      </c>
      <c r="AD1" s="1" t="s">
        <v>335</v>
      </c>
      <c r="AF1" s="59" t="s">
        <v>0</v>
      </c>
      <c r="AG1" s="59" t="s">
        <v>1</v>
      </c>
      <c r="AH1" s="59" t="s">
        <v>224</v>
      </c>
      <c r="AI1" s="59" t="s">
        <v>220</v>
      </c>
      <c r="AK1" s="59" t="s">
        <v>0</v>
      </c>
      <c r="AL1" s="59" t="s">
        <v>1</v>
      </c>
    </row>
    <row r="2" spans="1:40" ht="12.75" customHeight="1">
      <c r="A2" s="17" cm="1">
        <f t="array" ref="A2:A46">_xlfn.SEQUENCE(ROWS(_xlfn.ANCHORARRAY(B2)))</f>
        <v>1</v>
      </c>
      <c r="B2" s="13" t="str" cm="1">
        <f t="array" ref="B2:B46">_xlfn._xlws.FILTER(Registration[Nickname],Registration[BM]="Yes")</f>
        <v>Ale</v>
      </c>
      <c r="C2" s="13" cm="1">
        <f t="array" ref="C2:C46">_xlfn.XLOOKUP(_xlfn.ANCHORARRAY(B2),Registration[Nickname],Registration[BM Order])</f>
        <v>37</v>
      </c>
      <c r="D2" s="13"/>
      <c r="E2" s="13" t="str" cm="1">
        <f t="array" ref="E2:E47">_xlfn.VSTACK(IF('Main Hub'!P4&gt;0,IF(_xlfn.SEQUENCE('Main Hub'!P2/'Main Hub'!P4),"A"),"X"),IF('Main Hub'!P4&gt;1,IF(_xlfn.SEQUENCE('Main Hub'!P2/'Main Hub'!P4),"B"),"X"),IF('Main Hub'!P4&gt;2,IF(_xlfn.SEQUENCE('Main Hub'!P2/'Main Hub'!P4),"C"),"X"),IF('Main Hub'!P4&gt;3,IF(_xlfn.SEQUENCE('Main Hub'!P2/'Main Hub'!P4),"D"),"X"))</f>
        <v>A</v>
      </c>
      <c r="F2" s="13" cm="1">
        <f t="array" ref="F2:F47">_xlfn.VSTACK(IF('Main Hub'!P4&gt;0,_xlfn.SEQUENCE('Main Hub'!P2/'Main Hub'!P4,1,1,'Main Hub'!P4),""),IF('Main Hub'!P4&gt;1,_xlfn.SEQUENCE('Main Hub'!P2/'Main Hub'!P4,1,2,'Main Hub'!P4),""),IF('Main Hub'!P4&gt;2,_xlfn.SEQUENCE('Main Hub'!P2/'Main Hub'!P4,1,3,'Main Hub'!P4),""),IF('Main Hub'!P4&gt;3,_xlfn.SEQUENCE('Main Hub'!P2/'Main Hub'!P4,1,4,'Main Hub'!P4),""))</f>
        <v>1</v>
      </c>
      <c r="G2" s="13" t="str" cm="1">
        <f t="array" ref="G2:G47">IFERROR(_xlfn.XLOOKUP(_xlfn.ANCHORARRAY(F2),$C:$C,$B:$B),"")</f>
        <v>Drew</v>
      </c>
      <c r="H2" s="13" t="e" cm="1" vm="14">
        <f t="array" aca="1" ref="H2:H47" ca="1">IFERROR(_xlfn.XLOOKUP(_xlfn.ANCHORARRAY(G2),Registration[Nickname],_FV(Registration[Country],"Image")),"")</f>
        <v>#VALUE!</v>
      </c>
      <c r="I2" s="13" cm="1">
        <f t="array" ref="I2:I47">_xlfn.ANCHORARRAY(J2)+_xlfn.ANCHORARRAY(K2)+_xlfn.ANCHORARRAY(L2)</f>
        <v>15</v>
      </c>
      <c r="J2" s="13" cm="1">
        <f t="array" ref="J2:J47">SUMIF(V:V,_xlfn.ANCHORARRAY(G2),AB:AB)</f>
        <v>12</v>
      </c>
      <c r="K2" s="13" cm="1">
        <f t="array" ref="K2:K47">SUMIF(V:V,_xlfn.ANCHORARRAY(G2),AC:AC)</f>
        <v>3</v>
      </c>
      <c r="L2" s="13" cm="1">
        <f t="array" ref="L2:L47">SUMIF(V:V,_xlfn.ANCHORARRAY(G2),AD:AD)</f>
        <v>0</v>
      </c>
      <c r="M2" s="13" cm="1">
        <f t="array" ref="M2:M47">SUMIF(V:V,_xlfn.ANCHORARRAY(G2),W:W)</f>
        <v>51</v>
      </c>
      <c r="N2" s="13" cm="1">
        <f t="array" ref="N2:N47">SUMIF(V:V,_xlfn.ANCHORARRAY(G2),Y:Y)</f>
        <v>9</v>
      </c>
      <c r="O2" s="13" cm="1">
        <f t="array" ref="O2:O47">_xlfn.ANCHORARRAY(M2)-_xlfn.ANCHORARRAY(N2)</f>
        <v>42</v>
      </c>
      <c r="P2" s="13">
        <v>0</v>
      </c>
      <c r="Q2" s="13" cm="1">
        <f t="array" ref="Q2:Q47">INT(IFERROR(1000*_xlfn.ANCHORARRAY(J2)/_xlfn.ANCHORARRAY(I2)+500*_xlfn.ANCHORARRAY(K2)/_xlfn.ANCHORARRAY(I2),0))</f>
        <v>900</v>
      </c>
      <c r="S2" s="17">
        <v>1</v>
      </c>
      <c r="T2" s="18"/>
      <c r="U2" s="17">
        <v>2</v>
      </c>
      <c r="V2" s="17" t="s">
        <v>39</v>
      </c>
      <c r="W2" s="18">
        <v>4</v>
      </c>
      <c r="X2" s="18" t="s">
        <v>342</v>
      </c>
      <c r="Y2" s="18">
        <f>IF(W2="","",4-W2)</f>
        <v>0</v>
      </c>
      <c r="Z2" s="17" t="s">
        <v>343</v>
      </c>
      <c r="AA2" s="17">
        <v>1</v>
      </c>
      <c r="AB2" s="1">
        <f>IF(W2="",0,IF(W2&gt;Y2,1,0))</f>
        <v>1</v>
      </c>
      <c r="AC2" s="1">
        <f>IF(W2="",0,IF(W2=Y2,1,0))</f>
        <v>0</v>
      </c>
      <c r="AD2" s="1">
        <f>IF(W2="",0,IF(W2&lt;Y2,1,0))</f>
        <v>0</v>
      </c>
      <c r="AF2" s="17" cm="1">
        <f t="array" ref="AF2:AF47">_xlfn.VSTACK(IF('Main Hub'!P4&gt;0,_xlfn.SEQUENCE('Main Hub'!P2/'Main Hub'!P4),""),IF('Main Hub'!P4&gt;1,_xlfn.SEQUENCE('Main Hub'!P2/'Main Hub'!P4),""),IF('Main Hub'!P4&gt;2,_xlfn.SEQUENCE('Main Hub'!P2/'Main Hub'!P4),""),IF('Main Hub'!P4&gt;3,_xlfn.SEQUENCE('Main Hub'!P2/'Main Hub'!P4),""))</f>
        <v>1</v>
      </c>
      <c r="AG2" s="13" t="str" cm="1">
        <f t="array" ref="AG2:AG47">_xlfn.SORTBY(_xlfn.ANCHORARRAY(G2),_xlfn.ANCHORARRAY(E2),1,_xlfn.ANCHORARRAY(Q2),-1,_xlfn.ANCHORARRAY(O2),-1)</f>
        <v>KVD</v>
      </c>
      <c r="AH2" s="13" cm="1">
        <f t="array" ref="AH2:AH47">_xlfn.XLOOKUP(_xlfn.ANCHORARRAY(AG2),_xlfn.ANCHORARRAY(G2),_xlfn.ANCHORARRAY(O2))</f>
        <v>48</v>
      </c>
      <c r="AI2" s="13" cm="1">
        <f t="array" ref="AI2:AI47">_xlfn.XLOOKUP(_xlfn.ANCHORARRAY(AG2),_xlfn.ANCHORARRAY(G2),_xlfn.ANCHORARRAY(Q2))</f>
        <v>966</v>
      </c>
      <c r="AJ2" s="13"/>
      <c r="AK2" s="13" cm="1">
        <f t="array" ref="AK2:AK46">_xlfn.SEQUENCE('Main Hub'!P2)</f>
        <v>1</v>
      </c>
      <c r="AL2" s="13" t="str" cm="1">
        <f t="array" ref="AL2:AL47">IF('Main Hub'!P4=3,_xlfn.SORTBY(_xlfn.ANCHORARRAY(AG2),_xlfn.ANCHORARRAY(AF2),1,_xlfn.ANCHORARRAY(AI2),-1,_xlfn.ANCHORARRAY(AH2),-1),_xlfn.SORTBY(_xlfn.ANCHORARRAY(AG2),_xlfn.ANCHORARRAY(AF2),1))</f>
        <v>Geo</v>
      </c>
      <c r="AM2" s="1" t="s">
        <v>344</v>
      </c>
      <c r="AN2" s="1">
        <v>1</v>
      </c>
    </row>
    <row r="3" spans="1:40">
      <c r="A3" s="17">
        <v>2</v>
      </c>
      <c r="B3" s="13" t="str">
        <v>Ashley</v>
      </c>
      <c r="C3" s="13">
        <v>42</v>
      </c>
      <c r="D3" s="13"/>
      <c r="E3" s="13" t="str">
        <v>A</v>
      </c>
      <c r="F3" s="13">
        <v>4</v>
      </c>
      <c r="G3" s="13" t="str">
        <v>KVD</v>
      </c>
      <c r="H3" s="13" t="e" vm="12">
        <f ca="1"/>
        <v>#VALUE!</v>
      </c>
      <c r="I3" s="13">
        <v>15</v>
      </c>
      <c r="J3" s="13">
        <v>14</v>
      </c>
      <c r="K3" s="13">
        <v>1</v>
      </c>
      <c r="L3" s="13">
        <v>0</v>
      </c>
      <c r="M3" s="13">
        <v>54</v>
      </c>
      <c r="N3" s="13">
        <v>6</v>
      </c>
      <c r="O3" s="13">
        <v>48</v>
      </c>
      <c r="P3" s="13">
        <v>0</v>
      </c>
      <c r="Q3" s="13">
        <v>966</v>
      </c>
      <c r="S3" s="17">
        <v>2</v>
      </c>
      <c r="T3" s="18"/>
      <c r="U3" s="17">
        <v>1</v>
      </c>
      <c r="V3" s="17" t="s">
        <v>39</v>
      </c>
      <c r="W3" s="18">
        <v>4</v>
      </c>
      <c r="X3" s="18" t="s">
        <v>342</v>
      </c>
      <c r="Y3" s="18">
        <f t="shared" ref="Y3:Y16" si="0">IF(W3="","",4-W3)</f>
        <v>0</v>
      </c>
      <c r="Z3" s="17" t="s">
        <v>85</v>
      </c>
      <c r="AA3" s="17">
        <v>2</v>
      </c>
      <c r="AB3" s="1">
        <f t="shared" ref="AB3:AB66" si="1">IF(W3="",0,IF(W3&gt;Y3,1,0))</f>
        <v>1</v>
      </c>
      <c r="AC3" s="1">
        <f t="shared" ref="AC3:AC66" si="2">IF(W3="",0,IF(W3=Y3,1,0))</f>
        <v>0</v>
      </c>
      <c r="AD3" s="1">
        <f t="shared" ref="AD3:AD66" si="3">IF(W3="",0,IF(W3&lt;Y3,1,0))</f>
        <v>0</v>
      </c>
      <c r="AF3" s="17">
        <v>2</v>
      </c>
      <c r="AG3" s="13" t="str">
        <v>Drew</v>
      </c>
      <c r="AH3" s="13">
        <v>42</v>
      </c>
      <c r="AI3" s="13">
        <v>900</v>
      </c>
      <c r="AJ3" s="13"/>
      <c r="AK3" s="13">
        <v>2</v>
      </c>
      <c r="AL3" s="13" t="str">
        <v>Sami</v>
      </c>
      <c r="AM3" s="1" t="s">
        <v>344</v>
      </c>
    </row>
    <row r="4" spans="1:40">
      <c r="A4" s="17">
        <v>3</v>
      </c>
      <c r="B4" s="13" t="str">
        <v>Bluh</v>
      </c>
      <c r="C4" s="13">
        <v>40</v>
      </c>
      <c r="D4" s="13"/>
      <c r="E4" s="13" t="str">
        <v>A</v>
      </c>
      <c r="F4" s="13">
        <v>7</v>
      </c>
      <c r="G4" s="13" t="str">
        <v>Kasmo</v>
      </c>
      <c r="H4" s="13" t="e" vm="16">
        <f ca="1"/>
        <v>#VALUE!</v>
      </c>
      <c r="I4" s="13">
        <v>15</v>
      </c>
      <c r="J4" s="13">
        <v>11</v>
      </c>
      <c r="K4" s="13">
        <v>3</v>
      </c>
      <c r="L4" s="13">
        <v>1</v>
      </c>
      <c r="M4" s="13">
        <v>49</v>
      </c>
      <c r="N4" s="13">
        <v>11</v>
      </c>
      <c r="O4" s="13">
        <v>38</v>
      </c>
      <c r="P4" s="13">
        <v>0</v>
      </c>
      <c r="Q4" s="13">
        <v>833</v>
      </c>
      <c r="S4" s="17">
        <v>3</v>
      </c>
      <c r="T4" s="18"/>
      <c r="U4" s="17">
        <v>2</v>
      </c>
      <c r="V4" s="17" t="s">
        <v>39</v>
      </c>
      <c r="W4" s="18">
        <v>4</v>
      </c>
      <c r="X4" s="18" t="s">
        <v>342</v>
      </c>
      <c r="Y4" s="18">
        <f t="shared" si="0"/>
        <v>0</v>
      </c>
      <c r="Z4" s="17" t="s">
        <v>21</v>
      </c>
      <c r="AA4" s="17">
        <v>1</v>
      </c>
      <c r="AB4" s="1">
        <f t="shared" si="1"/>
        <v>1</v>
      </c>
      <c r="AC4" s="1">
        <f t="shared" si="2"/>
        <v>0</v>
      </c>
      <c r="AD4" s="1">
        <f t="shared" si="3"/>
        <v>0</v>
      </c>
      <c r="AF4" s="17">
        <v>3</v>
      </c>
      <c r="AG4" s="13" t="str">
        <v>Kasmo</v>
      </c>
      <c r="AH4" s="13">
        <v>38</v>
      </c>
      <c r="AI4" s="13">
        <v>833</v>
      </c>
      <c r="AJ4" s="13"/>
      <c r="AK4" s="13">
        <v>3</v>
      </c>
      <c r="AL4" s="13" t="str">
        <v>KVD</v>
      </c>
    </row>
    <row r="5" spans="1:40">
      <c r="A5" s="17">
        <v>4</v>
      </c>
      <c r="B5" s="13" t="str">
        <v>Chachamaxx</v>
      </c>
      <c r="C5" s="13">
        <v>26</v>
      </c>
      <c r="D5" s="13"/>
      <c r="E5" s="13" t="str">
        <v>A</v>
      </c>
      <c r="F5" s="13">
        <v>10</v>
      </c>
      <c r="G5" s="13" t="str">
        <v>Thibault</v>
      </c>
      <c r="H5" s="13" t="e" vm="15">
        <f ca="1"/>
        <v>#VALUE!</v>
      </c>
      <c r="I5" s="13">
        <v>15</v>
      </c>
      <c r="J5" s="13">
        <v>9</v>
      </c>
      <c r="K5" s="13">
        <v>3</v>
      </c>
      <c r="L5" s="13">
        <v>3</v>
      </c>
      <c r="M5" s="13">
        <v>39</v>
      </c>
      <c r="N5" s="13">
        <v>21</v>
      </c>
      <c r="O5" s="13">
        <v>18</v>
      </c>
      <c r="P5" s="13">
        <v>0</v>
      </c>
      <c r="Q5" s="13">
        <v>700</v>
      </c>
      <c r="S5" s="17">
        <v>4</v>
      </c>
      <c r="T5" s="18"/>
      <c r="U5" s="17">
        <v>1</v>
      </c>
      <c r="V5" s="17" t="s">
        <v>39</v>
      </c>
      <c r="W5" s="18">
        <v>4</v>
      </c>
      <c r="X5" s="18" t="s">
        <v>342</v>
      </c>
      <c r="Y5" s="18">
        <f t="shared" si="0"/>
        <v>0</v>
      </c>
      <c r="Z5" s="17" t="s">
        <v>14</v>
      </c>
      <c r="AA5" s="17">
        <v>2</v>
      </c>
      <c r="AB5" s="1">
        <f t="shared" si="1"/>
        <v>1</v>
      </c>
      <c r="AC5" s="1">
        <f t="shared" si="2"/>
        <v>0</v>
      </c>
      <c r="AD5" s="1">
        <f t="shared" si="3"/>
        <v>0</v>
      </c>
      <c r="AF5" s="17">
        <v>4</v>
      </c>
      <c r="AG5" s="13" t="str">
        <v>Zarkov</v>
      </c>
      <c r="AH5" s="13">
        <v>24</v>
      </c>
      <c r="AI5" s="13">
        <v>766</v>
      </c>
      <c r="AJ5" s="13"/>
      <c r="AK5" s="13">
        <v>4</v>
      </c>
      <c r="AL5" s="13" t="str">
        <v>Champix</v>
      </c>
    </row>
    <row r="6" spans="1:40">
      <c r="A6" s="17">
        <v>5</v>
      </c>
      <c r="B6" s="13" t="str">
        <v>Zarkov</v>
      </c>
      <c r="C6" s="13">
        <v>19</v>
      </c>
      <c r="D6" s="13"/>
      <c r="E6" s="13" t="str">
        <v>A</v>
      </c>
      <c r="F6" s="13">
        <v>13</v>
      </c>
      <c r="G6" s="13" t="str">
        <v>Patrick</v>
      </c>
      <c r="H6" s="13" t="e" vm="12">
        <f ca="1"/>
        <v>#VALUE!</v>
      </c>
      <c r="I6" s="13">
        <v>15</v>
      </c>
      <c r="J6" s="13">
        <v>9</v>
      </c>
      <c r="K6" s="13">
        <v>2</v>
      </c>
      <c r="L6" s="13">
        <v>4</v>
      </c>
      <c r="M6" s="13">
        <v>44</v>
      </c>
      <c r="N6" s="13">
        <v>16</v>
      </c>
      <c r="O6" s="13">
        <v>28</v>
      </c>
      <c r="P6" s="13">
        <v>0</v>
      </c>
      <c r="Q6" s="13">
        <v>666</v>
      </c>
      <c r="S6" s="17">
        <v>5</v>
      </c>
      <c r="T6" s="18"/>
      <c r="U6" s="17">
        <v>1</v>
      </c>
      <c r="V6" s="17" t="s">
        <v>39</v>
      </c>
      <c r="W6" s="18">
        <v>4</v>
      </c>
      <c r="X6" s="18" t="s">
        <v>342</v>
      </c>
      <c r="Y6" s="18">
        <f t="shared" si="0"/>
        <v>0</v>
      </c>
      <c r="Z6" s="17" t="s">
        <v>53</v>
      </c>
      <c r="AA6" s="17">
        <v>2</v>
      </c>
      <c r="AB6" s="1">
        <f t="shared" si="1"/>
        <v>1</v>
      </c>
      <c r="AC6" s="1">
        <f t="shared" si="2"/>
        <v>0</v>
      </c>
      <c r="AD6" s="1">
        <f t="shared" si="3"/>
        <v>0</v>
      </c>
      <c r="AF6" s="17">
        <v>5</v>
      </c>
      <c r="AG6" s="13" t="str">
        <v>Thibault</v>
      </c>
      <c r="AH6" s="13">
        <v>18</v>
      </c>
      <c r="AI6" s="13">
        <v>700</v>
      </c>
      <c r="AJ6" s="13"/>
      <c r="AK6" s="13">
        <v>5</v>
      </c>
      <c r="AL6" s="13" t="str">
        <v>Drew</v>
      </c>
      <c r="AM6" s="1" t="s">
        <v>344</v>
      </c>
      <c r="AN6" s="1">
        <v>1</v>
      </c>
    </row>
    <row r="7" spans="1:40">
      <c r="A7" s="17">
        <v>6</v>
      </c>
      <c r="B7" s="13" t="str">
        <v>Kasmo</v>
      </c>
      <c r="C7" s="13">
        <v>7</v>
      </c>
      <c r="D7" s="13"/>
      <c r="E7" s="13" t="str">
        <v>A</v>
      </c>
      <c r="F7" s="13">
        <v>16</v>
      </c>
      <c r="G7" s="13" t="str">
        <v>Sargoth</v>
      </c>
      <c r="H7" s="13" t="e" vm="22">
        <f ca="1"/>
        <v>#VALUE!</v>
      </c>
      <c r="I7" s="13">
        <v>15</v>
      </c>
      <c r="J7" s="13">
        <v>8</v>
      </c>
      <c r="K7" s="13">
        <v>3</v>
      </c>
      <c r="L7" s="13">
        <v>4</v>
      </c>
      <c r="M7" s="13">
        <v>36</v>
      </c>
      <c r="N7" s="13">
        <v>24</v>
      </c>
      <c r="O7" s="13">
        <v>12</v>
      </c>
      <c r="P7" s="13">
        <v>0</v>
      </c>
      <c r="Q7" s="13">
        <v>633</v>
      </c>
      <c r="S7" s="17">
        <v>6</v>
      </c>
      <c r="T7" s="18"/>
      <c r="U7" s="17">
        <v>1</v>
      </c>
      <c r="V7" s="17" t="s">
        <v>39</v>
      </c>
      <c r="W7" s="18">
        <v>4</v>
      </c>
      <c r="X7" s="18" t="s">
        <v>342</v>
      </c>
      <c r="Y7" s="18">
        <f t="shared" si="0"/>
        <v>0</v>
      </c>
      <c r="Z7" s="17" t="s">
        <v>69</v>
      </c>
      <c r="AA7" s="17">
        <v>2</v>
      </c>
      <c r="AB7" s="1">
        <f t="shared" si="1"/>
        <v>1</v>
      </c>
      <c r="AC7" s="1">
        <f t="shared" si="2"/>
        <v>0</v>
      </c>
      <c r="AD7" s="1">
        <f t="shared" si="3"/>
        <v>0</v>
      </c>
      <c r="AF7" s="17">
        <v>6</v>
      </c>
      <c r="AG7" s="13" t="str">
        <v>Patrick</v>
      </c>
      <c r="AH7" s="13">
        <v>28</v>
      </c>
      <c r="AI7" s="13">
        <v>666</v>
      </c>
      <c r="AJ7" s="13"/>
      <c r="AK7" s="13">
        <v>6</v>
      </c>
      <c r="AL7" s="13" t="str">
        <v>Lafungo</v>
      </c>
      <c r="AM7" s="1" t="s">
        <v>344</v>
      </c>
    </row>
    <row r="8" spans="1:40">
      <c r="A8" s="17">
        <v>7</v>
      </c>
      <c r="B8" s="13" t="str">
        <v>FF</v>
      </c>
      <c r="C8" s="13">
        <v>29</v>
      </c>
      <c r="D8" s="13"/>
      <c r="E8" s="13" t="str">
        <v>A</v>
      </c>
      <c r="F8" s="13">
        <v>19</v>
      </c>
      <c r="G8" s="13" t="str">
        <v>Zarkov</v>
      </c>
      <c r="H8" s="13" t="e" vm="13">
        <f ca="1"/>
        <v>#VALUE!</v>
      </c>
      <c r="I8" s="13">
        <v>15</v>
      </c>
      <c r="J8" s="13">
        <v>10</v>
      </c>
      <c r="K8" s="13">
        <v>3</v>
      </c>
      <c r="L8" s="13">
        <v>2</v>
      </c>
      <c r="M8" s="13">
        <v>42</v>
      </c>
      <c r="N8" s="13">
        <v>18</v>
      </c>
      <c r="O8" s="13">
        <v>24</v>
      </c>
      <c r="P8" s="13">
        <v>0</v>
      </c>
      <c r="Q8" s="13">
        <v>766</v>
      </c>
      <c r="S8" s="17">
        <v>7</v>
      </c>
      <c r="T8" s="18"/>
      <c r="U8" s="17">
        <v>1</v>
      </c>
      <c r="V8" s="17" t="s">
        <v>39</v>
      </c>
      <c r="W8" s="18">
        <v>4</v>
      </c>
      <c r="X8" s="18" t="s">
        <v>342</v>
      </c>
      <c r="Y8" s="18">
        <f t="shared" si="0"/>
        <v>0</v>
      </c>
      <c r="Z8" s="17" t="s">
        <v>117</v>
      </c>
      <c r="AA8" s="17">
        <v>2</v>
      </c>
      <c r="AB8" s="1">
        <f t="shared" si="1"/>
        <v>1</v>
      </c>
      <c r="AC8" s="1">
        <f t="shared" si="2"/>
        <v>0</v>
      </c>
      <c r="AD8" s="1">
        <f t="shared" si="3"/>
        <v>0</v>
      </c>
      <c r="AF8" s="17">
        <v>7</v>
      </c>
      <c r="AG8" s="13" t="str">
        <v>Sargoth</v>
      </c>
      <c r="AH8" s="13">
        <v>12</v>
      </c>
      <c r="AI8" s="13">
        <v>633</v>
      </c>
      <c r="AJ8" s="13"/>
      <c r="AK8" s="13">
        <v>7</v>
      </c>
      <c r="AL8" s="13" t="str">
        <v>Antistar</v>
      </c>
    </row>
    <row r="9" spans="1:40">
      <c r="A9" s="17">
        <v>8</v>
      </c>
      <c r="B9" s="13" t="str">
        <v>Danny</v>
      </c>
      <c r="C9" s="13">
        <v>44</v>
      </c>
      <c r="D9" s="13"/>
      <c r="E9" s="13" t="str">
        <v>A</v>
      </c>
      <c r="F9" s="13">
        <v>22</v>
      </c>
      <c r="G9" s="13" t="str">
        <v>Rune</v>
      </c>
      <c r="H9" s="13" t="e" vm="12">
        <f ca="1"/>
        <v>#VALUE!</v>
      </c>
      <c r="I9" s="13">
        <v>15</v>
      </c>
      <c r="J9" s="13">
        <v>6</v>
      </c>
      <c r="K9" s="13">
        <v>5</v>
      </c>
      <c r="L9" s="13">
        <v>4</v>
      </c>
      <c r="M9" s="13">
        <v>34</v>
      </c>
      <c r="N9" s="13">
        <v>26</v>
      </c>
      <c r="O9" s="13">
        <v>8</v>
      </c>
      <c r="P9" s="13">
        <v>0</v>
      </c>
      <c r="Q9" s="13">
        <v>566</v>
      </c>
      <c r="S9" s="17">
        <v>8</v>
      </c>
      <c r="T9" s="18"/>
      <c r="U9" s="17">
        <v>1</v>
      </c>
      <c r="V9" s="17" t="s">
        <v>39</v>
      </c>
      <c r="W9" s="18">
        <v>4</v>
      </c>
      <c r="X9" s="18" t="s">
        <v>342</v>
      </c>
      <c r="Y9" s="18">
        <f t="shared" si="0"/>
        <v>0</v>
      </c>
      <c r="Z9" s="17" t="s">
        <v>119</v>
      </c>
      <c r="AA9" s="17">
        <v>2</v>
      </c>
      <c r="AB9" s="1">
        <f t="shared" si="1"/>
        <v>1</v>
      </c>
      <c r="AC9" s="1">
        <f t="shared" si="2"/>
        <v>0</v>
      </c>
      <c r="AD9" s="1">
        <f t="shared" si="3"/>
        <v>0</v>
      </c>
      <c r="AF9" s="17">
        <v>8</v>
      </c>
      <c r="AG9" s="13" t="str">
        <v>Rune</v>
      </c>
      <c r="AH9" s="13">
        <v>8</v>
      </c>
      <c r="AI9" s="13">
        <v>566</v>
      </c>
      <c r="AJ9" s="13"/>
      <c r="AK9" s="13">
        <v>8</v>
      </c>
      <c r="AL9" s="13" t="str">
        <v>Kasmo</v>
      </c>
      <c r="AM9" s="1" t="s">
        <v>344</v>
      </c>
    </row>
    <row r="10" spans="1:40">
      <c r="A10" s="17">
        <v>9</v>
      </c>
      <c r="B10" s="13" t="str">
        <v>Moll</v>
      </c>
      <c r="C10" s="13">
        <v>11</v>
      </c>
      <c r="D10" s="13"/>
      <c r="E10" s="13" t="str">
        <v>A</v>
      </c>
      <c r="F10" s="13">
        <v>25</v>
      </c>
      <c r="G10" s="13" t="str">
        <v>Sjors</v>
      </c>
      <c r="H10" s="13" t="e" vm="12">
        <f ca="1"/>
        <v>#VALUE!</v>
      </c>
      <c r="I10" s="13">
        <v>15</v>
      </c>
      <c r="J10" s="13">
        <v>5</v>
      </c>
      <c r="K10" s="13">
        <v>2</v>
      </c>
      <c r="L10" s="13">
        <v>8</v>
      </c>
      <c r="M10" s="13">
        <v>26</v>
      </c>
      <c r="N10" s="13">
        <v>34</v>
      </c>
      <c r="O10" s="13">
        <v>-8</v>
      </c>
      <c r="P10" s="13">
        <v>0</v>
      </c>
      <c r="Q10" s="13">
        <v>400</v>
      </c>
      <c r="S10" s="17">
        <v>9</v>
      </c>
      <c r="T10" s="18"/>
      <c r="U10" s="17">
        <v>1</v>
      </c>
      <c r="V10" s="17" t="s">
        <v>39</v>
      </c>
      <c r="W10" s="18">
        <v>4</v>
      </c>
      <c r="X10" s="18" t="s">
        <v>342</v>
      </c>
      <c r="Y10" s="18">
        <f t="shared" si="0"/>
        <v>0</v>
      </c>
      <c r="Z10" s="17" t="s">
        <v>111</v>
      </c>
      <c r="AA10" s="17">
        <v>2</v>
      </c>
      <c r="AB10" s="1">
        <f t="shared" si="1"/>
        <v>1</v>
      </c>
      <c r="AC10" s="1">
        <f t="shared" si="2"/>
        <v>0</v>
      </c>
      <c r="AD10" s="1">
        <f t="shared" si="3"/>
        <v>0</v>
      </c>
      <c r="AF10" s="17">
        <v>9</v>
      </c>
      <c r="AG10" s="13" t="str">
        <v>Rejemy</v>
      </c>
      <c r="AH10" s="13">
        <v>0</v>
      </c>
      <c r="AI10" s="13">
        <v>466</v>
      </c>
      <c r="AJ10" s="13"/>
      <c r="AK10" s="13">
        <v>9</v>
      </c>
      <c r="AL10" s="13" t="str">
        <v>Takashi</v>
      </c>
      <c r="AM10" s="1" t="s">
        <v>344</v>
      </c>
      <c r="AN10" s="1">
        <v>1</v>
      </c>
    </row>
    <row r="11" spans="1:40">
      <c r="A11" s="17">
        <v>10</v>
      </c>
      <c r="B11" s="13" t="str">
        <v>tif</v>
      </c>
      <c r="C11" s="13">
        <v>12</v>
      </c>
      <c r="D11" s="13"/>
      <c r="E11" s="13" t="str">
        <v>A</v>
      </c>
      <c r="F11" s="13">
        <v>28</v>
      </c>
      <c r="G11" s="13" t="str">
        <v>Narnet</v>
      </c>
      <c r="H11" s="13" t="e" vm="19">
        <f ca="1"/>
        <v>#VALUE!</v>
      </c>
      <c r="I11" s="13">
        <v>15</v>
      </c>
      <c r="J11" s="13">
        <v>4</v>
      </c>
      <c r="K11" s="13">
        <v>2</v>
      </c>
      <c r="L11" s="13">
        <v>9</v>
      </c>
      <c r="M11" s="13">
        <v>22</v>
      </c>
      <c r="N11" s="13">
        <v>38</v>
      </c>
      <c r="O11" s="13">
        <v>-16</v>
      </c>
      <c r="P11" s="13">
        <v>0</v>
      </c>
      <c r="Q11" s="13">
        <v>333</v>
      </c>
      <c r="S11" s="17">
        <v>10</v>
      </c>
      <c r="T11" s="18"/>
      <c r="U11" s="17">
        <v>2</v>
      </c>
      <c r="V11" s="17" t="s">
        <v>39</v>
      </c>
      <c r="W11" s="18">
        <v>2</v>
      </c>
      <c r="X11" s="18" t="s">
        <v>342</v>
      </c>
      <c r="Y11" s="18">
        <f t="shared" si="0"/>
        <v>2</v>
      </c>
      <c r="Z11" s="17" t="s">
        <v>27</v>
      </c>
      <c r="AA11" s="17">
        <v>1</v>
      </c>
      <c r="AB11" s="1">
        <f t="shared" si="1"/>
        <v>0</v>
      </c>
      <c r="AC11" s="1">
        <f t="shared" si="2"/>
        <v>1</v>
      </c>
      <c r="AD11" s="1">
        <f t="shared" si="3"/>
        <v>0</v>
      </c>
      <c r="AF11" s="17">
        <v>10</v>
      </c>
      <c r="AG11" s="13" t="str">
        <v>Sjors</v>
      </c>
      <c r="AH11" s="13">
        <v>-8</v>
      </c>
      <c r="AI11" s="13">
        <v>400</v>
      </c>
      <c r="AJ11" s="13"/>
      <c r="AK11" s="13">
        <v>10</v>
      </c>
      <c r="AL11" s="13" t="str">
        <v>Onwa</v>
      </c>
    </row>
    <row r="12" spans="1:40">
      <c r="A12" s="17">
        <v>11</v>
      </c>
      <c r="B12" s="13" t="str">
        <v>Drew</v>
      </c>
      <c r="C12" s="13">
        <v>1</v>
      </c>
      <c r="D12" s="13"/>
      <c r="E12" s="13" t="str">
        <v>A</v>
      </c>
      <c r="F12" s="13">
        <v>31</v>
      </c>
      <c r="G12" s="13" t="str">
        <v>Rejemy</v>
      </c>
      <c r="H12" s="13" t="e" vm="15">
        <f ca="1"/>
        <v>#VALUE!</v>
      </c>
      <c r="I12" s="13">
        <v>15</v>
      </c>
      <c r="J12" s="13">
        <v>6</v>
      </c>
      <c r="K12" s="13">
        <v>2</v>
      </c>
      <c r="L12" s="13">
        <v>7</v>
      </c>
      <c r="M12" s="13">
        <v>30</v>
      </c>
      <c r="N12" s="13">
        <v>30</v>
      </c>
      <c r="O12" s="13">
        <v>0</v>
      </c>
      <c r="P12" s="13">
        <v>0</v>
      </c>
      <c r="Q12" s="13">
        <v>466</v>
      </c>
      <c r="S12" s="17">
        <v>11</v>
      </c>
      <c r="T12" s="18"/>
      <c r="U12" s="17">
        <v>2</v>
      </c>
      <c r="V12" s="17" t="s">
        <v>39</v>
      </c>
      <c r="W12" s="18">
        <v>3</v>
      </c>
      <c r="X12" s="18" t="s">
        <v>342</v>
      </c>
      <c r="Y12" s="18">
        <f t="shared" si="0"/>
        <v>1</v>
      </c>
      <c r="Z12" s="17" t="s">
        <v>97</v>
      </c>
      <c r="AA12" s="17">
        <v>1</v>
      </c>
      <c r="AB12" s="1">
        <f t="shared" si="1"/>
        <v>1</v>
      </c>
      <c r="AC12" s="1">
        <f t="shared" si="2"/>
        <v>0</v>
      </c>
      <c r="AD12" s="1">
        <f t="shared" si="3"/>
        <v>0</v>
      </c>
      <c r="AF12" s="17">
        <v>11</v>
      </c>
      <c r="AG12" s="13" t="str">
        <v>Narnet</v>
      </c>
      <c r="AH12" s="13">
        <v>-16</v>
      </c>
      <c r="AI12" s="13">
        <v>333</v>
      </c>
      <c r="AJ12" s="13"/>
      <c r="AK12" s="13">
        <v>11</v>
      </c>
      <c r="AL12" s="13" t="str">
        <v>Moll</v>
      </c>
    </row>
    <row r="13" spans="1:40">
      <c r="A13" s="17">
        <v>12</v>
      </c>
      <c r="B13" s="13" t="str">
        <v>Edwin</v>
      </c>
      <c r="C13" s="13">
        <v>30</v>
      </c>
      <c r="D13" s="13"/>
      <c r="E13" s="13" t="str">
        <v>A</v>
      </c>
      <c r="F13" s="13">
        <v>34</v>
      </c>
      <c r="G13" s="13" t="str">
        <v>L'escargot</v>
      </c>
      <c r="H13" s="13" t="e" vm="15">
        <f ca="1"/>
        <v>#VALUE!</v>
      </c>
      <c r="I13" s="13">
        <v>15</v>
      </c>
      <c r="J13" s="13">
        <v>2</v>
      </c>
      <c r="K13" s="13">
        <v>2</v>
      </c>
      <c r="L13" s="13">
        <v>11</v>
      </c>
      <c r="M13" s="13">
        <v>15</v>
      </c>
      <c r="N13" s="13">
        <v>45</v>
      </c>
      <c r="O13" s="13">
        <v>-30</v>
      </c>
      <c r="P13" s="13">
        <v>0</v>
      </c>
      <c r="Q13" s="13">
        <v>200</v>
      </c>
      <c r="S13" s="17">
        <v>12</v>
      </c>
      <c r="T13" s="18"/>
      <c r="U13" s="17">
        <v>2</v>
      </c>
      <c r="V13" s="17" t="s">
        <v>39</v>
      </c>
      <c r="W13" s="18">
        <v>3</v>
      </c>
      <c r="X13" s="18" t="s">
        <v>342</v>
      </c>
      <c r="Y13" s="18">
        <f t="shared" si="0"/>
        <v>1</v>
      </c>
      <c r="Z13" s="17" t="s">
        <v>107</v>
      </c>
      <c r="AA13" s="17">
        <v>1</v>
      </c>
      <c r="AB13" s="1">
        <f t="shared" si="1"/>
        <v>1</v>
      </c>
      <c r="AC13" s="1">
        <f t="shared" si="2"/>
        <v>0</v>
      </c>
      <c r="AD13" s="1">
        <f t="shared" si="3"/>
        <v>0</v>
      </c>
      <c r="AF13" s="17">
        <v>12</v>
      </c>
      <c r="AG13" s="13" t="str">
        <v>Bluh</v>
      </c>
      <c r="AH13" s="13">
        <v>-22</v>
      </c>
      <c r="AI13" s="13">
        <v>300</v>
      </c>
      <c r="AJ13" s="13"/>
      <c r="AK13" s="13">
        <v>12</v>
      </c>
      <c r="AL13" s="13" t="str">
        <v>Zarkov</v>
      </c>
    </row>
    <row r="14" spans="1:40">
      <c r="A14" s="17">
        <v>13</v>
      </c>
      <c r="B14" s="13" t="str">
        <v>Zip</v>
      </c>
      <c r="C14" s="13">
        <v>39</v>
      </c>
      <c r="D14" s="13"/>
      <c r="E14" s="13" t="str">
        <v>A</v>
      </c>
      <c r="F14" s="13">
        <v>37</v>
      </c>
      <c r="G14" s="13" t="str">
        <v>Ale</v>
      </c>
      <c r="H14" s="13" t="e" vm="20">
        <f ca="1"/>
        <v>#VALUE!</v>
      </c>
      <c r="I14" s="13">
        <v>15</v>
      </c>
      <c r="J14" s="13">
        <v>1</v>
      </c>
      <c r="K14" s="13">
        <v>3</v>
      </c>
      <c r="L14" s="13">
        <v>11</v>
      </c>
      <c r="M14" s="13">
        <v>10</v>
      </c>
      <c r="N14" s="13">
        <v>50</v>
      </c>
      <c r="O14" s="13">
        <v>-40</v>
      </c>
      <c r="P14" s="13">
        <v>0</v>
      </c>
      <c r="Q14" s="13">
        <v>166</v>
      </c>
      <c r="S14" s="17">
        <v>13</v>
      </c>
      <c r="T14" s="18"/>
      <c r="U14" s="17">
        <v>1</v>
      </c>
      <c r="V14" s="17" t="s">
        <v>39</v>
      </c>
      <c r="W14" s="18">
        <v>3</v>
      </c>
      <c r="X14" s="18" t="s">
        <v>342</v>
      </c>
      <c r="Y14" s="18">
        <f t="shared" si="0"/>
        <v>1</v>
      </c>
      <c r="Z14" s="17" t="s">
        <v>125</v>
      </c>
      <c r="AA14" s="17">
        <v>2</v>
      </c>
      <c r="AB14" s="1">
        <f t="shared" si="1"/>
        <v>1</v>
      </c>
      <c r="AC14" s="1">
        <f t="shared" si="2"/>
        <v>0</v>
      </c>
      <c r="AD14" s="1">
        <f t="shared" si="3"/>
        <v>0</v>
      </c>
      <c r="AF14" s="17">
        <v>13</v>
      </c>
      <c r="AG14" s="13" t="str">
        <v>L'escargot</v>
      </c>
      <c r="AH14" s="13">
        <v>-30</v>
      </c>
      <c r="AI14" s="13">
        <v>200</v>
      </c>
      <c r="AJ14" s="13"/>
      <c r="AK14" s="13">
        <v>13</v>
      </c>
      <c r="AL14" s="13" t="str">
        <v>Jarmou</v>
      </c>
    </row>
    <row r="15" spans="1:40">
      <c r="A15" s="17">
        <v>14</v>
      </c>
      <c r="B15" s="13" t="str">
        <v>Lenain</v>
      </c>
      <c r="C15" s="13">
        <v>32</v>
      </c>
      <c r="D15" s="13"/>
      <c r="E15" s="13" t="str">
        <v>A</v>
      </c>
      <c r="F15" s="13">
        <v>40</v>
      </c>
      <c r="G15" s="13" t="str">
        <v>Bluh</v>
      </c>
      <c r="H15" s="13" t="e" vm="15">
        <f ca="1"/>
        <v>#VALUE!</v>
      </c>
      <c r="I15" s="13">
        <v>15</v>
      </c>
      <c r="J15" s="13">
        <v>4</v>
      </c>
      <c r="K15" s="13">
        <v>1</v>
      </c>
      <c r="L15" s="13">
        <v>10</v>
      </c>
      <c r="M15" s="13">
        <v>19</v>
      </c>
      <c r="N15" s="13">
        <v>41</v>
      </c>
      <c r="O15" s="13">
        <v>-22</v>
      </c>
      <c r="P15" s="13">
        <v>0</v>
      </c>
      <c r="Q15" s="13">
        <v>300</v>
      </c>
      <c r="S15" s="17">
        <v>14</v>
      </c>
      <c r="T15" s="18"/>
      <c r="U15" s="17">
        <v>2</v>
      </c>
      <c r="V15" s="17" t="s">
        <v>39</v>
      </c>
      <c r="W15" s="18">
        <v>2</v>
      </c>
      <c r="X15" s="18" t="s">
        <v>342</v>
      </c>
      <c r="Y15" s="18">
        <f t="shared" si="0"/>
        <v>2</v>
      </c>
      <c r="Z15" s="17" t="s">
        <v>29</v>
      </c>
      <c r="AA15" s="17">
        <v>1</v>
      </c>
      <c r="AB15" s="1">
        <f t="shared" si="1"/>
        <v>0</v>
      </c>
      <c r="AC15" s="1">
        <f t="shared" si="2"/>
        <v>1</v>
      </c>
      <c r="AD15" s="1">
        <f t="shared" si="3"/>
        <v>0</v>
      </c>
      <c r="AF15" s="17">
        <v>14</v>
      </c>
      <c r="AG15" s="13" t="str">
        <v>Ale</v>
      </c>
      <c r="AH15" s="13">
        <v>-40</v>
      </c>
      <c r="AI15" s="13">
        <v>166</v>
      </c>
      <c r="AJ15" s="13"/>
      <c r="AK15" s="13">
        <v>14</v>
      </c>
      <c r="AL15" s="13" t="str">
        <v>Leyla</v>
      </c>
    </row>
    <row r="16" spans="1:40">
      <c r="A16" s="17">
        <v>15</v>
      </c>
      <c r="B16" s="13" t="str">
        <v>Flo</v>
      </c>
      <c r="C16" s="13">
        <v>20</v>
      </c>
      <c r="D16" s="13"/>
      <c r="E16" s="13" t="str">
        <v>A</v>
      </c>
      <c r="F16" s="13">
        <v>43</v>
      </c>
      <c r="G16" s="13" t="str">
        <v>Lio</v>
      </c>
      <c r="H16" s="13" t="e" vm="17">
        <f ca="1"/>
        <v>#VALUE!</v>
      </c>
      <c r="I16" s="13">
        <v>15</v>
      </c>
      <c r="J16" s="13">
        <v>1</v>
      </c>
      <c r="K16" s="13">
        <v>1</v>
      </c>
      <c r="L16" s="13">
        <v>13</v>
      </c>
      <c r="M16" s="13">
        <v>10</v>
      </c>
      <c r="N16" s="13">
        <v>50</v>
      </c>
      <c r="O16" s="13">
        <v>-40</v>
      </c>
      <c r="P16" s="13">
        <v>0</v>
      </c>
      <c r="Q16" s="13">
        <v>100</v>
      </c>
      <c r="S16" s="17">
        <v>15</v>
      </c>
      <c r="T16" s="18"/>
      <c r="U16" s="17">
        <v>1</v>
      </c>
      <c r="V16" s="17" t="s">
        <v>39</v>
      </c>
      <c r="W16" s="18">
        <v>2</v>
      </c>
      <c r="X16" s="18" t="s">
        <v>342</v>
      </c>
      <c r="Y16" s="18">
        <f t="shared" si="0"/>
        <v>2</v>
      </c>
      <c r="Z16" s="17" t="s">
        <v>81</v>
      </c>
      <c r="AA16" s="17">
        <v>2</v>
      </c>
      <c r="AB16" s="1">
        <f t="shared" si="1"/>
        <v>0</v>
      </c>
      <c r="AC16" s="1">
        <f t="shared" si="2"/>
        <v>1</v>
      </c>
      <c r="AD16" s="1">
        <f t="shared" si="3"/>
        <v>0</v>
      </c>
      <c r="AF16" s="17">
        <v>15</v>
      </c>
      <c r="AG16" s="13" t="str">
        <v>Lio</v>
      </c>
      <c r="AH16" s="13">
        <v>-40</v>
      </c>
      <c r="AI16" s="13">
        <v>100</v>
      </c>
      <c r="AJ16" s="13"/>
      <c r="AK16" s="13">
        <v>15</v>
      </c>
      <c r="AL16" s="13" t="str">
        <v>Thibault</v>
      </c>
    </row>
    <row r="17" spans="1:40" ht="12.75" customHeight="1">
      <c r="A17" s="17">
        <v>16</v>
      </c>
      <c r="B17" s="13" t="str">
        <v>Champix</v>
      </c>
      <c r="C17" s="13">
        <v>9</v>
      </c>
      <c r="D17" s="13"/>
      <c r="E17" s="13" t="str">
        <v>B</v>
      </c>
      <c r="F17" s="13">
        <v>2</v>
      </c>
      <c r="G17" s="13" t="str">
        <v>Geo</v>
      </c>
      <c r="H17" s="13" t="e" vm="15">
        <f ca="1"/>
        <v>#VALUE!</v>
      </c>
      <c r="I17" s="13">
        <v>15</v>
      </c>
      <c r="J17" s="13">
        <v>15</v>
      </c>
      <c r="K17" s="13">
        <v>0</v>
      </c>
      <c r="L17" s="13">
        <v>0</v>
      </c>
      <c r="M17" s="13">
        <v>59</v>
      </c>
      <c r="N17" s="13">
        <v>1</v>
      </c>
      <c r="O17" s="13">
        <v>58</v>
      </c>
      <c r="P17" s="13">
        <v>0</v>
      </c>
      <c r="Q17" s="13">
        <v>1000</v>
      </c>
      <c r="S17" s="58" t="s">
        <v>339</v>
      </c>
      <c r="T17" s="58" t="s">
        <v>340</v>
      </c>
      <c r="U17" s="58" t="s">
        <v>341</v>
      </c>
      <c r="V17" s="58" t="s">
        <v>1</v>
      </c>
      <c r="W17" s="69" t="s">
        <v>220</v>
      </c>
      <c r="X17" s="70"/>
      <c r="Y17" s="71"/>
      <c r="Z17" s="58" t="s">
        <v>1</v>
      </c>
      <c r="AA17" s="58" t="s">
        <v>341</v>
      </c>
      <c r="AB17" s="1">
        <f t="shared" si="1"/>
        <v>1</v>
      </c>
      <c r="AC17" s="1">
        <f t="shared" si="2"/>
        <v>0</v>
      </c>
      <c r="AD17" s="1">
        <f t="shared" si="3"/>
        <v>0</v>
      </c>
      <c r="AF17" s="17">
        <v>1</v>
      </c>
      <c r="AG17" s="13" t="str">
        <v>Geo</v>
      </c>
      <c r="AH17" s="13">
        <v>58</v>
      </c>
      <c r="AI17" s="13">
        <v>1000</v>
      </c>
      <c r="AJ17" s="13"/>
      <c r="AK17" s="13">
        <v>16</v>
      </c>
      <c r="AL17" s="13" t="str">
        <v>tif</v>
      </c>
    </row>
    <row r="18" spans="1:40">
      <c r="A18" s="17">
        <v>17</v>
      </c>
      <c r="B18" s="13" t="str">
        <v>L'escargot</v>
      </c>
      <c r="C18" s="13">
        <v>34</v>
      </c>
      <c r="D18" s="13"/>
      <c r="E18" s="13" t="str">
        <v>B</v>
      </c>
      <c r="F18" s="13">
        <v>5</v>
      </c>
      <c r="G18" s="13" t="str">
        <v>Antistar</v>
      </c>
      <c r="H18" s="13" t="e" vm="15">
        <f ca="1"/>
        <v>#VALUE!</v>
      </c>
      <c r="I18" s="13">
        <v>15</v>
      </c>
      <c r="J18" s="13">
        <v>13</v>
      </c>
      <c r="K18" s="13">
        <v>1</v>
      </c>
      <c r="L18" s="13">
        <v>1</v>
      </c>
      <c r="M18" s="13">
        <v>47</v>
      </c>
      <c r="N18" s="13">
        <v>13</v>
      </c>
      <c r="O18" s="13">
        <v>34</v>
      </c>
      <c r="P18" s="13">
        <v>0</v>
      </c>
      <c r="Q18" s="13">
        <v>900</v>
      </c>
      <c r="S18" s="17">
        <v>1</v>
      </c>
      <c r="T18" s="18"/>
      <c r="U18" s="17">
        <v>1</v>
      </c>
      <c r="V18" s="17" t="s">
        <v>81</v>
      </c>
      <c r="W18" s="18">
        <v>4</v>
      </c>
      <c r="X18" s="18" t="s">
        <v>342</v>
      </c>
      <c r="Y18" s="18">
        <f>IF(W18="","",4-W18)</f>
        <v>0</v>
      </c>
      <c r="Z18" s="17" t="s">
        <v>85</v>
      </c>
      <c r="AA18" s="17">
        <v>2</v>
      </c>
      <c r="AB18" s="1">
        <f t="shared" si="1"/>
        <v>1</v>
      </c>
      <c r="AC18" s="1">
        <f t="shared" si="2"/>
        <v>0</v>
      </c>
      <c r="AD18" s="1">
        <f t="shared" si="3"/>
        <v>0</v>
      </c>
      <c r="AF18" s="17">
        <v>2</v>
      </c>
      <c r="AG18" s="13" t="str">
        <v>Lafungo</v>
      </c>
      <c r="AH18" s="13">
        <v>42</v>
      </c>
      <c r="AI18" s="13">
        <v>900</v>
      </c>
      <c r="AJ18" s="13"/>
      <c r="AK18" s="13">
        <v>17</v>
      </c>
      <c r="AL18" s="13" t="str">
        <v>Patrick</v>
      </c>
    </row>
    <row r="19" spans="1:40" ht="12.75" customHeight="1">
      <c r="A19" s="17">
        <v>18</v>
      </c>
      <c r="B19" s="13" t="str">
        <v>Geo</v>
      </c>
      <c r="C19" s="13">
        <v>2</v>
      </c>
      <c r="D19" s="13"/>
      <c r="E19" s="13" t="str">
        <v>B</v>
      </c>
      <c r="F19" s="13">
        <v>8</v>
      </c>
      <c r="G19" s="13" t="str">
        <v>Lafungo</v>
      </c>
      <c r="H19" s="13" t="e" vm="14">
        <f ca="1"/>
        <v>#VALUE!</v>
      </c>
      <c r="I19" s="13">
        <v>15</v>
      </c>
      <c r="J19" s="13">
        <v>13</v>
      </c>
      <c r="K19" s="13">
        <v>1</v>
      </c>
      <c r="L19" s="13">
        <v>1</v>
      </c>
      <c r="M19" s="13">
        <v>51</v>
      </c>
      <c r="N19" s="13">
        <v>9</v>
      </c>
      <c r="O19" s="13">
        <v>42</v>
      </c>
      <c r="P19" s="13">
        <v>0</v>
      </c>
      <c r="Q19" s="13">
        <v>900</v>
      </c>
      <c r="S19" s="17">
        <v>2</v>
      </c>
      <c r="T19" s="18"/>
      <c r="U19" s="17">
        <v>2</v>
      </c>
      <c r="V19" s="17" t="s">
        <v>81</v>
      </c>
      <c r="W19" s="18">
        <v>4</v>
      </c>
      <c r="X19" s="18" t="s">
        <v>342</v>
      </c>
      <c r="Y19" s="18">
        <f t="shared" ref="Y19:Y32" si="4">IF(W19="","",4-W19)</f>
        <v>0</v>
      </c>
      <c r="Z19" s="17" t="s">
        <v>343</v>
      </c>
      <c r="AA19" s="17">
        <v>1</v>
      </c>
      <c r="AB19" s="1">
        <f t="shared" si="1"/>
        <v>1</v>
      </c>
      <c r="AC19" s="1">
        <f t="shared" si="2"/>
        <v>0</v>
      </c>
      <c r="AD19" s="1">
        <f t="shared" si="3"/>
        <v>0</v>
      </c>
      <c r="AF19" s="17">
        <v>3</v>
      </c>
      <c r="AG19" s="13" t="str">
        <v>Antistar</v>
      </c>
      <c r="AH19" s="13">
        <v>34</v>
      </c>
      <c r="AI19" s="13">
        <v>900</v>
      </c>
      <c r="AJ19" s="13"/>
      <c r="AK19" s="13">
        <v>18</v>
      </c>
      <c r="AL19" s="13" t="str">
        <v>Rub</v>
      </c>
    </row>
    <row r="20" spans="1:40">
      <c r="A20" s="17">
        <v>19</v>
      </c>
      <c r="B20" s="13" t="str">
        <v>BigMountain</v>
      </c>
      <c r="C20" s="13">
        <v>35</v>
      </c>
      <c r="D20" s="13"/>
      <c r="E20" s="13" t="str">
        <v>B</v>
      </c>
      <c r="F20" s="13">
        <v>11</v>
      </c>
      <c r="G20" s="13" t="str">
        <v>Moll</v>
      </c>
      <c r="H20" s="13" t="e" vm="13">
        <f ca="1"/>
        <v>#VALUE!</v>
      </c>
      <c r="I20" s="13">
        <v>15</v>
      </c>
      <c r="J20" s="13">
        <v>11</v>
      </c>
      <c r="K20" s="13">
        <v>1</v>
      </c>
      <c r="L20" s="13">
        <v>3</v>
      </c>
      <c r="M20" s="13">
        <v>43</v>
      </c>
      <c r="N20" s="13">
        <v>17</v>
      </c>
      <c r="O20" s="13">
        <v>26</v>
      </c>
      <c r="P20" s="13">
        <v>0</v>
      </c>
      <c r="Q20" s="13">
        <v>766</v>
      </c>
      <c r="S20" s="17">
        <v>3</v>
      </c>
      <c r="T20" s="18"/>
      <c r="U20" s="17">
        <v>2</v>
      </c>
      <c r="V20" s="17" t="s">
        <v>81</v>
      </c>
      <c r="W20" s="18">
        <v>4</v>
      </c>
      <c r="X20" s="18" t="s">
        <v>342</v>
      </c>
      <c r="Y20" s="18">
        <f t="shared" si="4"/>
        <v>0</v>
      </c>
      <c r="Z20" s="17" t="s">
        <v>14</v>
      </c>
      <c r="AA20" s="17">
        <v>1</v>
      </c>
      <c r="AB20" s="1">
        <f t="shared" si="1"/>
        <v>1</v>
      </c>
      <c r="AC20" s="1">
        <f t="shared" si="2"/>
        <v>0</v>
      </c>
      <c r="AD20" s="1">
        <f t="shared" si="3"/>
        <v>0</v>
      </c>
      <c r="AF20" s="17">
        <v>4</v>
      </c>
      <c r="AG20" s="13" t="str">
        <v>Moll</v>
      </c>
      <c r="AH20" s="13">
        <v>26</v>
      </c>
      <c r="AI20" s="13">
        <v>766</v>
      </c>
      <c r="AJ20" s="13"/>
      <c r="AK20" s="13">
        <v>19</v>
      </c>
      <c r="AL20" s="13" t="str">
        <v>Sargoth</v>
      </c>
    </row>
    <row r="21" spans="1:40">
      <c r="A21" s="17">
        <v>20</v>
      </c>
      <c r="B21" s="13" t="str">
        <v>Rub</v>
      </c>
      <c r="C21" s="13">
        <v>17</v>
      </c>
      <c r="D21" s="13"/>
      <c r="E21" s="13" t="str">
        <v>B</v>
      </c>
      <c r="F21" s="13">
        <v>14</v>
      </c>
      <c r="G21" s="13" t="str">
        <v>Jarmou</v>
      </c>
      <c r="H21" s="13" t="e" vm="17">
        <f ca="1"/>
        <v>#VALUE!</v>
      </c>
      <c r="I21" s="13">
        <v>15</v>
      </c>
      <c r="J21" s="13">
        <v>11</v>
      </c>
      <c r="K21" s="13">
        <v>0</v>
      </c>
      <c r="L21" s="13">
        <v>4</v>
      </c>
      <c r="M21" s="13">
        <v>46</v>
      </c>
      <c r="N21" s="13">
        <v>14</v>
      </c>
      <c r="O21" s="13">
        <v>32</v>
      </c>
      <c r="P21" s="13">
        <v>0</v>
      </c>
      <c r="Q21" s="13">
        <v>733</v>
      </c>
      <c r="S21" s="17">
        <v>4</v>
      </c>
      <c r="T21" s="18"/>
      <c r="U21" s="17">
        <v>2</v>
      </c>
      <c r="V21" s="17" t="s">
        <v>81</v>
      </c>
      <c r="W21" s="18">
        <v>4</v>
      </c>
      <c r="X21" s="18" t="s">
        <v>342</v>
      </c>
      <c r="Y21" s="18">
        <f t="shared" si="4"/>
        <v>0</v>
      </c>
      <c r="Z21" s="17" t="s">
        <v>21</v>
      </c>
      <c r="AA21" s="17">
        <v>1</v>
      </c>
      <c r="AB21" s="1">
        <f t="shared" si="1"/>
        <v>1</v>
      </c>
      <c r="AC21" s="1">
        <f t="shared" si="2"/>
        <v>0</v>
      </c>
      <c r="AD21" s="1">
        <f t="shared" si="3"/>
        <v>0</v>
      </c>
      <c r="AF21" s="17">
        <v>5</v>
      </c>
      <c r="AG21" s="13" t="str">
        <v>Jarmou</v>
      </c>
      <c r="AH21" s="13">
        <v>32</v>
      </c>
      <c r="AI21" s="13">
        <v>733</v>
      </c>
      <c r="AJ21" s="13"/>
      <c r="AK21" s="13">
        <v>20</v>
      </c>
      <c r="AL21" s="13" t="str">
        <v>Flo</v>
      </c>
      <c r="AM21" s="1" t="s">
        <v>344</v>
      </c>
    </row>
    <row r="22" spans="1:40">
      <c r="A22" s="17">
        <v>21</v>
      </c>
      <c r="B22" s="13" t="str">
        <v>Getarez</v>
      </c>
      <c r="C22" s="13">
        <v>41</v>
      </c>
      <c r="D22" s="13"/>
      <c r="E22" s="13" t="str">
        <v>B</v>
      </c>
      <c r="F22" s="13">
        <v>17</v>
      </c>
      <c r="G22" s="13" t="str">
        <v>Rub</v>
      </c>
      <c r="H22" s="13" t="e" vm="12">
        <f ca="1"/>
        <v>#VALUE!</v>
      </c>
      <c r="I22" s="13">
        <v>15</v>
      </c>
      <c r="J22" s="13">
        <v>10</v>
      </c>
      <c r="K22" s="13">
        <v>0</v>
      </c>
      <c r="L22" s="13">
        <v>5</v>
      </c>
      <c r="M22" s="13">
        <v>41</v>
      </c>
      <c r="N22" s="13">
        <v>19</v>
      </c>
      <c r="O22" s="13">
        <v>22</v>
      </c>
      <c r="P22" s="13">
        <v>0</v>
      </c>
      <c r="Q22" s="13">
        <v>666</v>
      </c>
      <c r="S22" s="17">
        <v>5</v>
      </c>
      <c r="T22" s="18"/>
      <c r="U22" s="17">
        <v>1</v>
      </c>
      <c r="V22" s="17" t="s">
        <v>81</v>
      </c>
      <c r="W22" s="18">
        <v>4</v>
      </c>
      <c r="X22" s="18" t="s">
        <v>342</v>
      </c>
      <c r="Y22" s="18">
        <f t="shared" si="4"/>
        <v>0</v>
      </c>
      <c r="Z22" s="17" t="s">
        <v>69</v>
      </c>
      <c r="AA22" s="17">
        <v>2</v>
      </c>
      <c r="AB22" s="1">
        <f t="shared" si="1"/>
        <v>1</v>
      </c>
      <c r="AC22" s="1">
        <f t="shared" si="2"/>
        <v>0</v>
      </c>
      <c r="AD22" s="1">
        <f t="shared" si="3"/>
        <v>0</v>
      </c>
      <c r="AF22" s="17">
        <v>6</v>
      </c>
      <c r="AG22" s="13" t="str">
        <v>Rub</v>
      </c>
      <c r="AH22" s="13">
        <v>22</v>
      </c>
      <c r="AI22" s="13">
        <v>666</v>
      </c>
      <c r="AJ22" s="13"/>
      <c r="AK22" s="13">
        <v>21</v>
      </c>
      <c r="AL22" s="13" t="str">
        <v>Mark</v>
      </c>
      <c r="AM22" s="1" t="s">
        <v>344</v>
      </c>
      <c r="AN22" s="1">
        <v>1</v>
      </c>
    </row>
    <row r="23" spans="1:40">
      <c r="A23" s="17">
        <v>22</v>
      </c>
      <c r="B23" s="13" t="str">
        <v>Antistar</v>
      </c>
      <c r="C23" s="13">
        <v>5</v>
      </c>
      <c r="D23" s="13"/>
      <c r="E23" s="13" t="str">
        <v>B</v>
      </c>
      <c r="F23" s="13">
        <v>20</v>
      </c>
      <c r="G23" s="13" t="str">
        <v>Flo</v>
      </c>
      <c r="H23" s="13" t="e" vm="15">
        <f ca="1"/>
        <v>#VALUE!</v>
      </c>
      <c r="I23" s="13">
        <v>15</v>
      </c>
      <c r="J23" s="13">
        <v>8</v>
      </c>
      <c r="K23" s="13">
        <v>2</v>
      </c>
      <c r="L23" s="13">
        <v>5</v>
      </c>
      <c r="M23" s="13">
        <v>38</v>
      </c>
      <c r="N23" s="13">
        <v>22</v>
      </c>
      <c r="O23" s="13">
        <v>16</v>
      </c>
      <c r="P23" s="13">
        <v>0</v>
      </c>
      <c r="Q23" s="13">
        <v>600</v>
      </c>
      <c r="S23" s="17">
        <v>6</v>
      </c>
      <c r="T23" s="18"/>
      <c r="U23" s="17">
        <v>2</v>
      </c>
      <c r="V23" s="17" t="s">
        <v>81</v>
      </c>
      <c r="W23" s="18">
        <v>3</v>
      </c>
      <c r="X23" s="18" t="s">
        <v>342</v>
      </c>
      <c r="Y23" s="18">
        <f t="shared" si="4"/>
        <v>1</v>
      </c>
      <c r="Z23" s="17" t="s">
        <v>53</v>
      </c>
      <c r="AA23" s="17">
        <v>1</v>
      </c>
      <c r="AB23" s="1">
        <f t="shared" si="1"/>
        <v>1</v>
      </c>
      <c r="AC23" s="1">
        <f t="shared" si="2"/>
        <v>0</v>
      </c>
      <c r="AD23" s="1">
        <f t="shared" si="3"/>
        <v>0</v>
      </c>
      <c r="AF23" s="17">
        <v>7</v>
      </c>
      <c r="AG23" s="13" t="str">
        <v>Flo</v>
      </c>
      <c r="AH23" s="13">
        <v>16</v>
      </c>
      <c r="AI23" s="13">
        <v>600</v>
      </c>
      <c r="AJ23" s="13"/>
      <c r="AK23" s="13">
        <v>22</v>
      </c>
      <c r="AL23" s="13" t="str">
        <v>Rune</v>
      </c>
    </row>
    <row r="24" spans="1:40">
      <c r="A24" s="17">
        <v>23</v>
      </c>
      <c r="B24" s="13" t="str">
        <v>Cap</v>
      </c>
      <c r="C24" s="13">
        <v>33</v>
      </c>
      <c r="D24" s="13"/>
      <c r="E24" s="13" t="str">
        <v>B</v>
      </c>
      <c r="F24" s="13">
        <v>23</v>
      </c>
      <c r="G24" s="13" t="str">
        <v>JDR</v>
      </c>
      <c r="H24" s="13" t="e" vm="15">
        <f ca="1"/>
        <v>#VALUE!</v>
      </c>
      <c r="I24" s="13">
        <v>15</v>
      </c>
      <c r="J24" s="13">
        <v>6</v>
      </c>
      <c r="K24" s="13">
        <v>2</v>
      </c>
      <c r="L24" s="13">
        <v>7</v>
      </c>
      <c r="M24" s="13">
        <v>29</v>
      </c>
      <c r="N24" s="13">
        <v>31</v>
      </c>
      <c r="O24" s="13">
        <v>-2</v>
      </c>
      <c r="P24" s="13">
        <v>0</v>
      </c>
      <c r="Q24" s="13">
        <v>466</v>
      </c>
      <c r="S24" s="17">
        <v>7</v>
      </c>
      <c r="T24" s="18"/>
      <c r="U24" s="17">
        <v>1</v>
      </c>
      <c r="V24" s="17" t="s">
        <v>81</v>
      </c>
      <c r="W24" s="18">
        <v>4</v>
      </c>
      <c r="X24" s="18" t="s">
        <v>342</v>
      </c>
      <c r="Y24" s="18">
        <f t="shared" si="4"/>
        <v>0</v>
      </c>
      <c r="Z24" s="17" t="s">
        <v>119</v>
      </c>
      <c r="AA24" s="17">
        <v>2</v>
      </c>
      <c r="AB24" s="1">
        <f t="shared" si="1"/>
        <v>1</v>
      </c>
      <c r="AC24" s="1">
        <f t="shared" si="2"/>
        <v>0</v>
      </c>
      <c r="AD24" s="1">
        <f t="shared" si="3"/>
        <v>0</v>
      </c>
      <c r="AF24" s="17">
        <v>8</v>
      </c>
      <c r="AG24" s="13" t="str">
        <v>JDR</v>
      </c>
      <c r="AH24" s="13">
        <v>-2</v>
      </c>
      <c r="AI24" s="13">
        <v>466</v>
      </c>
      <c r="AJ24" s="13"/>
      <c r="AK24" s="13">
        <v>23</v>
      </c>
      <c r="AL24" s="13" t="str">
        <v>Banana</v>
      </c>
    </row>
    <row r="25" spans="1:40">
      <c r="A25" s="17">
        <v>24</v>
      </c>
      <c r="B25" s="13" t="str">
        <v>Onwa</v>
      </c>
      <c r="C25" s="13">
        <v>15</v>
      </c>
      <c r="D25" s="13"/>
      <c r="E25" s="13" t="str">
        <v>B</v>
      </c>
      <c r="F25" s="13">
        <v>26</v>
      </c>
      <c r="G25" s="13" t="str">
        <v>Chachamaxx</v>
      </c>
      <c r="H25" s="13" t="e" vm="15">
        <f ca="1"/>
        <v>#VALUE!</v>
      </c>
      <c r="I25" s="13">
        <v>15</v>
      </c>
      <c r="J25" s="13">
        <v>5</v>
      </c>
      <c r="K25" s="13">
        <v>2</v>
      </c>
      <c r="L25" s="13">
        <v>8</v>
      </c>
      <c r="M25" s="13">
        <v>24</v>
      </c>
      <c r="N25" s="13">
        <v>36</v>
      </c>
      <c r="O25" s="13">
        <v>-12</v>
      </c>
      <c r="P25" s="13">
        <v>0</v>
      </c>
      <c r="Q25" s="13">
        <v>400</v>
      </c>
      <c r="S25" s="17">
        <v>8</v>
      </c>
      <c r="T25" s="18"/>
      <c r="U25" s="17">
        <v>1</v>
      </c>
      <c r="V25" s="17" t="s">
        <v>81</v>
      </c>
      <c r="W25" s="18">
        <v>3</v>
      </c>
      <c r="X25" s="18" t="s">
        <v>342</v>
      </c>
      <c r="Y25" s="18">
        <f t="shared" si="4"/>
        <v>1</v>
      </c>
      <c r="Z25" s="17" t="s">
        <v>117</v>
      </c>
      <c r="AA25" s="17">
        <v>2</v>
      </c>
      <c r="AB25" s="1">
        <f t="shared" si="1"/>
        <v>1</v>
      </c>
      <c r="AC25" s="1">
        <f t="shared" si="2"/>
        <v>0</v>
      </c>
      <c r="AD25" s="1">
        <f t="shared" si="3"/>
        <v>0</v>
      </c>
      <c r="AF25" s="17">
        <v>9</v>
      </c>
      <c r="AG25" s="13" t="str">
        <v>Chachamaxx</v>
      </c>
      <c r="AH25" s="13">
        <v>-12</v>
      </c>
      <c r="AI25" s="13">
        <v>400</v>
      </c>
      <c r="AJ25" s="13"/>
      <c r="AK25" s="13">
        <v>24</v>
      </c>
      <c r="AL25" s="13" t="str">
        <v>JDR</v>
      </c>
    </row>
    <row r="26" spans="1:40">
      <c r="A26" s="17">
        <v>25</v>
      </c>
      <c r="B26" s="13" t="str">
        <v>Rejemy</v>
      </c>
      <c r="C26" s="13">
        <v>31</v>
      </c>
      <c r="D26" s="13"/>
      <c r="E26" s="13" t="str">
        <v>B</v>
      </c>
      <c r="F26" s="13">
        <v>29</v>
      </c>
      <c r="G26" s="13" t="str">
        <v>FF</v>
      </c>
      <c r="H26" s="13" t="e" vm="15">
        <f ca="1"/>
        <v>#VALUE!</v>
      </c>
      <c r="I26" s="13">
        <v>15</v>
      </c>
      <c r="J26" s="13">
        <v>3</v>
      </c>
      <c r="K26" s="13">
        <v>3</v>
      </c>
      <c r="L26" s="13">
        <v>9</v>
      </c>
      <c r="M26" s="13">
        <v>20</v>
      </c>
      <c r="N26" s="13">
        <v>40</v>
      </c>
      <c r="O26" s="13">
        <v>-20</v>
      </c>
      <c r="P26" s="13">
        <v>0</v>
      </c>
      <c r="Q26" s="13">
        <v>300</v>
      </c>
      <c r="S26" s="17">
        <v>9</v>
      </c>
      <c r="T26" s="18"/>
      <c r="U26" s="17">
        <v>2</v>
      </c>
      <c r="V26" s="17" t="s">
        <v>81</v>
      </c>
      <c r="W26" s="18">
        <v>4</v>
      </c>
      <c r="X26" s="18" t="s">
        <v>342</v>
      </c>
      <c r="Y26" s="18">
        <f t="shared" si="4"/>
        <v>0</v>
      </c>
      <c r="Z26" s="17" t="s">
        <v>27</v>
      </c>
      <c r="AA26" s="17">
        <v>1</v>
      </c>
      <c r="AB26" s="1">
        <f t="shared" si="1"/>
        <v>1</v>
      </c>
      <c r="AC26" s="1">
        <f t="shared" si="2"/>
        <v>0</v>
      </c>
      <c r="AD26" s="1">
        <f t="shared" si="3"/>
        <v>0</v>
      </c>
      <c r="AF26" s="17">
        <v>10</v>
      </c>
      <c r="AG26" s="13" t="str">
        <v>Oni</v>
      </c>
      <c r="AH26" s="13">
        <v>-16</v>
      </c>
      <c r="AI26" s="13">
        <v>400</v>
      </c>
      <c r="AJ26" s="13"/>
      <c r="AK26" s="13">
        <v>25</v>
      </c>
      <c r="AL26" s="13" t="str">
        <v>Rejemy</v>
      </c>
    </row>
    <row r="27" spans="1:40">
      <c r="A27" s="17">
        <v>26</v>
      </c>
      <c r="B27" s="13" t="str">
        <v>JDR</v>
      </c>
      <c r="C27" s="13">
        <v>23</v>
      </c>
      <c r="D27" s="13"/>
      <c r="E27" s="13" t="str">
        <v>B</v>
      </c>
      <c r="F27" s="13">
        <v>32</v>
      </c>
      <c r="G27" s="13" t="str">
        <v>Lenain</v>
      </c>
      <c r="H27" s="13" t="e" vm="15">
        <f ca="1"/>
        <v>#VALUE!</v>
      </c>
      <c r="I27" s="13">
        <v>15</v>
      </c>
      <c r="J27" s="13">
        <v>2</v>
      </c>
      <c r="K27" s="13">
        <v>3</v>
      </c>
      <c r="L27" s="13">
        <v>10</v>
      </c>
      <c r="M27" s="13">
        <v>18</v>
      </c>
      <c r="N27" s="13">
        <v>42</v>
      </c>
      <c r="O27" s="13">
        <v>-24</v>
      </c>
      <c r="P27" s="13">
        <v>0</v>
      </c>
      <c r="Q27" s="13">
        <v>233</v>
      </c>
      <c r="S27" s="17">
        <v>10</v>
      </c>
      <c r="T27" s="18"/>
      <c r="U27" s="17">
        <v>2</v>
      </c>
      <c r="V27" s="17" t="s">
        <v>81</v>
      </c>
      <c r="W27" s="18">
        <v>4</v>
      </c>
      <c r="X27" s="18" t="s">
        <v>342</v>
      </c>
      <c r="Y27" s="18">
        <f t="shared" si="4"/>
        <v>0</v>
      </c>
      <c r="Z27" s="17" t="s">
        <v>111</v>
      </c>
      <c r="AA27" s="17">
        <v>1</v>
      </c>
      <c r="AB27" s="1">
        <f t="shared" si="1"/>
        <v>1</v>
      </c>
      <c r="AC27" s="1">
        <f t="shared" si="2"/>
        <v>0</v>
      </c>
      <c r="AD27" s="1">
        <f t="shared" si="3"/>
        <v>0</v>
      </c>
      <c r="AF27" s="17">
        <v>11</v>
      </c>
      <c r="AG27" s="13" t="str">
        <v>FF</v>
      </c>
      <c r="AH27" s="13">
        <v>-20</v>
      </c>
      <c r="AI27" s="13">
        <v>300</v>
      </c>
      <c r="AJ27" s="13"/>
      <c r="AK27" s="13">
        <v>26</v>
      </c>
      <c r="AL27" s="13" t="str">
        <v>Ours</v>
      </c>
    </row>
    <row r="28" spans="1:40">
      <c r="A28" s="17">
        <v>27</v>
      </c>
      <c r="B28" s="13" t="str">
        <v>Lafungo</v>
      </c>
      <c r="C28" s="13">
        <v>8</v>
      </c>
      <c r="D28" s="13"/>
      <c r="E28" s="13" t="str">
        <v>B</v>
      </c>
      <c r="F28" s="13">
        <v>35</v>
      </c>
      <c r="G28" s="13" t="str">
        <v>BigMountain</v>
      </c>
      <c r="H28" s="13" t="e" vm="15">
        <f ca="1"/>
        <v>#VALUE!</v>
      </c>
      <c r="I28" s="13">
        <v>15</v>
      </c>
      <c r="J28" s="13">
        <v>1</v>
      </c>
      <c r="K28" s="13">
        <v>3</v>
      </c>
      <c r="L28" s="13">
        <v>11</v>
      </c>
      <c r="M28" s="13">
        <v>10</v>
      </c>
      <c r="N28" s="13">
        <v>50</v>
      </c>
      <c r="O28" s="13">
        <v>-40</v>
      </c>
      <c r="P28" s="13">
        <v>0</v>
      </c>
      <c r="Q28" s="13">
        <v>166</v>
      </c>
      <c r="S28" s="17">
        <v>11</v>
      </c>
      <c r="T28" s="18"/>
      <c r="U28" s="17">
        <v>1</v>
      </c>
      <c r="V28" s="17" t="s">
        <v>81</v>
      </c>
      <c r="W28" s="18">
        <v>3</v>
      </c>
      <c r="X28" s="18" t="s">
        <v>342</v>
      </c>
      <c r="Y28" s="18">
        <f t="shared" si="4"/>
        <v>1</v>
      </c>
      <c r="Z28" s="17" t="s">
        <v>107</v>
      </c>
      <c r="AA28" s="17">
        <v>2</v>
      </c>
      <c r="AB28" s="1">
        <f t="shared" si="1"/>
        <v>1</v>
      </c>
      <c r="AC28" s="1">
        <f t="shared" si="2"/>
        <v>0</v>
      </c>
      <c r="AD28" s="1">
        <f t="shared" si="3"/>
        <v>0</v>
      </c>
      <c r="AF28" s="17">
        <v>12</v>
      </c>
      <c r="AG28" s="13" t="str">
        <v>Getarez</v>
      </c>
      <c r="AH28" s="13">
        <v>-22</v>
      </c>
      <c r="AI28" s="13">
        <v>300</v>
      </c>
      <c r="AJ28" s="13"/>
      <c r="AK28" s="13">
        <v>27</v>
      </c>
      <c r="AL28" s="13" t="str">
        <v>Chachamaxx</v>
      </c>
    </row>
    <row r="29" spans="1:40">
      <c r="A29" s="17">
        <v>28</v>
      </c>
      <c r="B29" s="13" t="str">
        <v>Oni</v>
      </c>
      <c r="C29" s="13">
        <v>38</v>
      </c>
      <c r="D29" s="13"/>
      <c r="E29" s="13" t="str">
        <v>B</v>
      </c>
      <c r="F29" s="13">
        <v>38</v>
      </c>
      <c r="G29" s="13" t="str">
        <v>Oni</v>
      </c>
      <c r="H29" s="13" t="e" vm="15">
        <f ca="1"/>
        <v>#VALUE!</v>
      </c>
      <c r="I29" s="13">
        <v>15</v>
      </c>
      <c r="J29" s="13">
        <v>5</v>
      </c>
      <c r="K29" s="13">
        <v>2</v>
      </c>
      <c r="L29" s="13">
        <v>8</v>
      </c>
      <c r="M29" s="13">
        <v>22</v>
      </c>
      <c r="N29" s="13">
        <v>38</v>
      </c>
      <c r="O29" s="13">
        <v>-16</v>
      </c>
      <c r="P29" s="13">
        <v>0</v>
      </c>
      <c r="Q29" s="13">
        <v>400</v>
      </c>
      <c r="S29" s="17">
        <v>12</v>
      </c>
      <c r="T29" s="18"/>
      <c r="U29" s="17">
        <v>2</v>
      </c>
      <c r="V29" s="17" t="s">
        <v>81</v>
      </c>
      <c r="W29" s="18">
        <v>4</v>
      </c>
      <c r="X29" s="18" t="s">
        <v>342</v>
      </c>
      <c r="Y29" s="18">
        <f t="shared" si="4"/>
        <v>0</v>
      </c>
      <c r="Z29" s="17" t="s">
        <v>97</v>
      </c>
      <c r="AA29" s="17">
        <v>1</v>
      </c>
      <c r="AB29" s="1">
        <f t="shared" si="1"/>
        <v>1</v>
      </c>
      <c r="AC29" s="1">
        <f t="shared" si="2"/>
        <v>0</v>
      </c>
      <c r="AD29" s="1">
        <f t="shared" si="3"/>
        <v>0</v>
      </c>
      <c r="AF29" s="17">
        <v>13</v>
      </c>
      <c r="AG29" s="13" t="str">
        <v>Lenain</v>
      </c>
      <c r="AH29" s="13">
        <v>-24</v>
      </c>
      <c r="AI29" s="13">
        <v>233</v>
      </c>
      <c r="AJ29" s="13"/>
      <c r="AK29" s="13">
        <v>28</v>
      </c>
      <c r="AL29" s="13" t="str">
        <v>Edwin</v>
      </c>
    </row>
    <row r="30" spans="1:40">
      <c r="A30" s="17">
        <v>29</v>
      </c>
      <c r="B30" s="13" t="str">
        <v>KVD</v>
      </c>
      <c r="C30" s="13">
        <v>4</v>
      </c>
      <c r="D30" s="13"/>
      <c r="E30" s="13" t="str">
        <v>B</v>
      </c>
      <c r="F30" s="13">
        <v>41</v>
      </c>
      <c r="G30" s="13" t="str">
        <v>Getarez</v>
      </c>
      <c r="H30" s="13" t="e" vm="15">
        <f ca="1"/>
        <v>#VALUE!</v>
      </c>
      <c r="I30" s="13">
        <v>15</v>
      </c>
      <c r="J30" s="13">
        <v>3</v>
      </c>
      <c r="K30" s="13">
        <v>3</v>
      </c>
      <c r="L30" s="13">
        <v>9</v>
      </c>
      <c r="M30" s="13">
        <v>19</v>
      </c>
      <c r="N30" s="13">
        <v>41</v>
      </c>
      <c r="O30" s="13">
        <v>-22</v>
      </c>
      <c r="P30" s="13">
        <v>0</v>
      </c>
      <c r="Q30" s="13">
        <v>300</v>
      </c>
      <c r="S30" s="17">
        <v>13</v>
      </c>
      <c r="T30" s="18"/>
      <c r="U30" s="17">
        <v>1</v>
      </c>
      <c r="V30" s="17" t="s">
        <v>81</v>
      </c>
      <c r="W30" s="18">
        <v>3</v>
      </c>
      <c r="X30" s="18" t="s">
        <v>342</v>
      </c>
      <c r="Y30" s="18">
        <f t="shared" si="4"/>
        <v>1</v>
      </c>
      <c r="Z30" s="17" t="s">
        <v>29</v>
      </c>
      <c r="AA30" s="17">
        <v>2</v>
      </c>
      <c r="AB30" s="1">
        <f t="shared" si="1"/>
        <v>1</v>
      </c>
      <c r="AC30" s="1">
        <f t="shared" si="2"/>
        <v>0</v>
      </c>
      <c r="AD30" s="1">
        <f t="shared" si="3"/>
        <v>0</v>
      </c>
      <c r="AF30" s="17">
        <v>14</v>
      </c>
      <c r="AG30" s="13" t="str">
        <v>Danny</v>
      </c>
      <c r="AH30" s="13">
        <v>-34</v>
      </c>
      <c r="AI30" s="13">
        <v>166</v>
      </c>
      <c r="AJ30" s="13"/>
      <c r="AK30" s="13">
        <v>29</v>
      </c>
      <c r="AL30" s="13" t="str">
        <v>Sjors</v>
      </c>
    </row>
    <row r="31" spans="1:40">
      <c r="A31" s="17">
        <v>30</v>
      </c>
      <c r="B31" s="13" t="str">
        <v>Leyla</v>
      </c>
      <c r="C31" s="13">
        <v>18</v>
      </c>
      <c r="D31" s="13"/>
      <c r="E31" s="13" t="str">
        <v>B</v>
      </c>
      <c r="F31" s="13">
        <v>44</v>
      </c>
      <c r="G31" s="13" t="str">
        <v>Danny</v>
      </c>
      <c r="H31" s="13" t="e" vm="21">
        <f ca="1"/>
        <v>#VALUE!</v>
      </c>
      <c r="I31" s="13">
        <v>15</v>
      </c>
      <c r="J31" s="13">
        <v>1</v>
      </c>
      <c r="K31" s="13">
        <v>3</v>
      </c>
      <c r="L31" s="13">
        <v>11</v>
      </c>
      <c r="M31" s="13">
        <v>13</v>
      </c>
      <c r="N31" s="13">
        <v>47</v>
      </c>
      <c r="O31" s="13">
        <v>-34</v>
      </c>
      <c r="P31" s="13">
        <v>0</v>
      </c>
      <c r="Q31" s="13">
        <v>166</v>
      </c>
      <c r="S31" s="17">
        <v>14</v>
      </c>
      <c r="T31" s="18"/>
      <c r="U31" s="17">
        <v>1</v>
      </c>
      <c r="V31" s="17" t="s">
        <v>81</v>
      </c>
      <c r="W31" s="18">
        <v>4</v>
      </c>
      <c r="X31" s="18" t="s">
        <v>342</v>
      </c>
      <c r="Y31" s="18">
        <f t="shared" si="4"/>
        <v>0</v>
      </c>
      <c r="Z31" s="17" t="s">
        <v>125</v>
      </c>
      <c r="AA31" s="17">
        <v>2</v>
      </c>
      <c r="AB31" s="1">
        <f t="shared" si="1"/>
        <v>1</v>
      </c>
      <c r="AC31" s="1">
        <f t="shared" si="2"/>
        <v>0</v>
      </c>
      <c r="AD31" s="1">
        <f t="shared" si="3"/>
        <v>0</v>
      </c>
      <c r="AF31" s="17">
        <v>15</v>
      </c>
      <c r="AG31" s="13" t="str">
        <v>BigMountain</v>
      </c>
      <c r="AH31" s="13">
        <v>-40</v>
      </c>
      <c r="AI31" s="13">
        <v>166</v>
      </c>
      <c r="AJ31" s="13"/>
      <c r="AK31" s="13">
        <v>30</v>
      </c>
      <c r="AL31" s="13" t="str">
        <v>Oni</v>
      </c>
    </row>
    <row r="32" spans="1:40">
      <c r="A32" s="17">
        <v>31</v>
      </c>
      <c r="B32" s="13" t="str">
        <v>Lio</v>
      </c>
      <c r="C32" s="13">
        <v>43</v>
      </c>
      <c r="D32" s="13"/>
      <c r="E32" s="13" t="str">
        <v>C</v>
      </c>
      <c r="F32" s="13">
        <v>3</v>
      </c>
      <c r="G32" s="13" t="str">
        <v>Sami</v>
      </c>
      <c r="H32" s="13" t="e" vm="13">
        <f ca="1"/>
        <v>#VALUE!</v>
      </c>
      <c r="I32" s="13">
        <v>15</v>
      </c>
      <c r="J32" s="13">
        <v>15</v>
      </c>
      <c r="K32" s="13">
        <v>0</v>
      </c>
      <c r="L32" s="13">
        <v>0</v>
      </c>
      <c r="M32" s="13">
        <v>59</v>
      </c>
      <c r="N32" s="13">
        <v>1</v>
      </c>
      <c r="O32" s="13">
        <v>58</v>
      </c>
      <c r="P32" s="13">
        <v>0</v>
      </c>
      <c r="Q32" s="13">
        <v>1000</v>
      </c>
      <c r="S32" s="17">
        <v>15</v>
      </c>
      <c r="T32" s="18"/>
      <c r="U32" s="17">
        <v>2</v>
      </c>
      <c r="V32" s="17" t="s">
        <v>81</v>
      </c>
      <c r="W32" s="18">
        <v>2</v>
      </c>
      <c r="X32" s="18" t="s">
        <v>342</v>
      </c>
      <c r="Y32" s="18">
        <f t="shared" si="4"/>
        <v>2</v>
      </c>
      <c r="Z32" s="17" t="s">
        <v>39</v>
      </c>
      <c r="AA32" s="17">
        <v>1</v>
      </c>
      <c r="AB32" s="1">
        <f t="shared" si="1"/>
        <v>0</v>
      </c>
      <c r="AC32" s="1">
        <f t="shared" si="2"/>
        <v>1</v>
      </c>
      <c r="AD32" s="1">
        <f t="shared" si="3"/>
        <v>0</v>
      </c>
      <c r="AF32" s="17">
        <v>1</v>
      </c>
      <c r="AG32" s="13" t="str">
        <v>Sami</v>
      </c>
      <c r="AH32" s="13">
        <v>58</v>
      </c>
      <c r="AI32" s="13">
        <v>1000</v>
      </c>
      <c r="AJ32" s="13"/>
      <c r="AK32" s="13">
        <v>31</v>
      </c>
      <c r="AL32" s="13" t="str">
        <v>Ashley</v>
      </c>
    </row>
    <row r="33" spans="1:38" ht="12.75" customHeight="1">
      <c r="A33" s="17">
        <v>32</v>
      </c>
      <c r="B33" s="13" t="str">
        <v>Miku</v>
      </c>
      <c r="C33" s="13">
        <v>36</v>
      </c>
      <c r="D33" s="13"/>
      <c r="E33" s="13" t="str">
        <v>C</v>
      </c>
      <c r="F33" s="13">
        <v>6</v>
      </c>
      <c r="G33" s="13" t="str">
        <v>Takashi</v>
      </c>
      <c r="H33" s="13" t="e" vm="16">
        <f ca="1"/>
        <v>#VALUE!</v>
      </c>
      <c r="I33" s="13">
        <v>15</v>
      </c>
      <c r="J33" s="13">
        <v>12</v>
      </c>
      <c r="K33" s="13">
        <v>1</v>
      </c>
      <c r="L33" s="13">
        <v>2</v>
      </c>
      <c r="M33" s="13">
        <v>49</v>
      </c>
      <c r="N33" s="13">
        <v>11</v>
      </c>
      <c r="O33" s="13">
        <v>38</v>
      </c>
      <c r="P33" s="13">
        <v>0</v>
      </c>
      <c r="Q33" s="13">
        <v>833</v>
      </c>
      <c r="S33" s="58" t="s">
        <v>339</v>
      </c>
      <c r="T33" s="58" t="s">
        <v>340</v>
      </c>
      <c r="U33" s="58" t="s">
        <v>341</v>
      </c>
      <c r="V33" s="58" t="s">
        <v>1</v>
      </c>
      <c r="W33" s="69" t="s">
        <v>220</v>
      </c>
      <c r="X33" s="70"/>
      <c r="Y33" s="71"/>
      <c r="Z33" s="58" t="s">
        <v>1</v>
      </c>
      <c r="AA33" s="58" t="s">
        <v>341</v>
      </c>
      <c r="AB33" s="1">
        <f t="shared" si="1"/>
        <v>1</v>
      </c>
      <c r="AC33" s="1">
        <f t="shared" si="2"/>
        <v>0</v>
      </c>
      <c r="AD33" s="1">
        <f t="shared" si="3"/>
        <v>0</v>
      </c>
      <c r="AF33" s="17">
        <v>2</v>
      </c>
      <c r="AG33" s="13" t="str">
        <v>Champix</v>
      </c>
      <c r="AH33" s="13">
        <v>38</v>
      </c>
      <c r="AI33" s="13">
        <v>933</v>
      </c>
      <c r="AJ33" s="13"/>
      <c r="AK33" s="13">
        <v>32</v>
      </c>
      <c r="AL33" s="13" t="str">
        <v>Narnet</v>
      </c>
    </row>
    <row r="34" spans="1:38">
      <c r="A34" s="17">
        <v>33</v>
      </c>
      <c r="B34" s="13" t="str">
        <v>Sargoth</v>
      </c>
      <c r="C34" s="13">
        <v>16</v>
      </c>
      <c r="D34" s="13"/>
      <c r="E34" s="13" t="str">
        <v>C</v>
      </c>
      <c r="F34" s="13">
        <v>9</v>
      </c>
      <c r="G34" s="13" t="str">
        <v>Champix</v>
      </c>
      <c r="H34" s="13" t="e" vm="15">
        <f ca="1"/>
        <v>#VALUE!</v>
      </c>
      <c r="I34" s="13">
        <v>15</v>
      </c>
      <c r="J34" s="13">
        <v>14</v>
      </c>
      <c r="K34" s="13">
        <v>0</v>
      </c>
      <c r="L34" s="13">
        <v>1</v>
      </c>
      <c r="M34" s="13">
        <v>49</v>
      </c>
      <c r="N34" s="13">
        <v>11</v>
      </c>
      <c r="O34" s="13">
        <v>38</v>
      </c>
      <c r="P34" s="13">
        <v>0</v>
      </c>
      <c r="Q34" s="13">
        <v>933</v>
      </c>
      <c r="S34" s="17">
        <v>1</v>
      </c>
      <c r="T34" s="18"/>
      <c r="U34" s="17">
        <v>2</v>
      </c>
      <c r="V34" s="17" t="s">
        <v>29</v>
      </c>
      <c r="W34" s="18">
        <v>4</v>
      </c>
      <c r="X34" s="18" t="s">
        <v>342</v>
      </c>
      <c r="Y34" s="18">
        <f>IF(W34="","",4-W34)</f>
        <v>0</v>
      </c>
      <c r="Z34" s="17" t="s">
        <v>21</v>
      </c>
      <c r="AA34" s="17">
        <v>1</v>
      </c>
      <c r="AB34" s="1">
        <f t="shared" si="1"/>
        <v>1</v>
      </c>
      <c r="AC34" s="1">
        <f t="shared" si="2"/>
        <v>0</v>
      </c>
      <c r="AD34" s="1">
        <f t="shared" si="3"/>
        <v>0</v>
      </c>
      <c r="AF34" s="17">
        <v>3</v>
      </c>
      <c r="AG34" s="13" t="str">
        <v>Takashi</v>
      </c>
      <c r="AH34" s="13">
        <v>38</v>
      </c>
      <c r="AI34" s="13">
        <v>833</v>
      </c>
      <c r="AJ34" s="13"/>
      <c r="AK34" s="13">
        <v>33</v>
      </c>
      <c r="AL34" s="13" t="str">
        <v>FF</v>
      </c>
    </row>
    <row r="35" spans="1:38">
      <c r="A35" s="17">
        <v>34</v>
      </c>
      <c r="B35" s="13" t="str">
        <v>Mark</v>
      </c>
      <c r="C35" s="13">
        <v>24</v>
      </c>
      <c r="D35" s="13"/>
      <c r="E35" s="13" t="str">
        <v>C</v>
      </c>
      <c r="F35" s="13">
        <v>12</v>
      </c>
      <c r="G35" s="13" t="str">
        <v>tif</v>
      </c>
      <c r="H35" s="13" t="e" vm="15">
        <f ca="1"/>
        <v>#VALUE!</v>
      </c>
      <c r="I35" s="13">
        <v>15</v>
      </c>
      <c r="J35" s="13">
        <v>10</v>
      </c>
      <c r="K35" s="13">
        <v>1</v>
      </c>
      <c r="L35" s="13">
        <v>4</v>
      </c>
      <c r="M35" s="13">
        <v>41</v>
      </c>
      <c r="N35" s="13">
        <v>19</v>
      </c>
      <c r="O35" s="13">
        <v>22</v>
      </c>
      <c r="P35" s="13">
        <v>0</v>
      </c>
      <c r="Q35" s="13">
        <v>700</v>
      </c>
      <c r="S35" s="17">
        <v>2</v>
      </c>
      <c r="T35" s="18"/>
      <c r="U35" s="17">
        <v>1</v>
      </c>
      <c r="V35" s="17" t="s">
        <v>29</v>
      </c>
      <c r="W35" s="18">
        <v>4</v>
      </c>
      <c r="X35" s="18" t="s">
        <v>342</v>
      </c>
      <c r="Y35" s="18">
        <f t="shared" ref="Y35:Y48" si="5">IF(W35="","",4-W35)</f>
        <v>0</v>
      </c>
      <c r="Z35" s="17" t="s">
        <v>14</v>
      </c>
      <c r="AA35" s="17">
        <v>2</v>
      </c>
      <c r="AB35" s="1">
        <f t="shared" si="1"/>
        <v>1</v>
      </c>
      <c r="AC35" s="1">
        <f t="shared" si="2"/>
        <v>0</v>
      </c>
      <c r="AD35" s="1">
        <f t="shared" si="3"/>
        <v>0</v>
      </c>
      <c r="AF35" s="17">
        <v>4</v>
      </c>
      <c r="AG35" s="13" t="str">
        <v>Onwa</v>
      </c>
      <c r="AH35" s="13">
        <v>32</v>
      </c>
      <c r="AI35" s="13">
        <v>766</v>
      </c>
      <c r="AJ35" s="13"/>
      <c r="AK35" s="13">
        <v>34</v>
      </c>
      <c r="AL35" s="13" t="str">
        <v>Bluh</v>
      </c>
    </row>
    <row r="36" spans="1:38" ht="12.75" customHeight="1">
      <c r="A36" s="17">
        <v>35</v>
      </c>
      <c r="B36" s="13" t="str">
        <v>Banana</v>
      </c>
      <c r="C36" s="13">
        <v>21</v>
      </c>
      <c r="D36" s="13"/>
      <c r="E36" s="13" t="str">
        <v>C</v>
      </c>
      <c r="F36" s="13">
        <v>15</v>
      </c>
      <c r="G36" s="13" t="str">
        <v>Onwa</v>
      </c>
      <c r="H36" s="13" t="e" vm="16">
        <f ca="1"/>
        <v>#VALUE!</v>
      </c>
      <c r="I36" s="13">
        <v>15</v>
      </c>
      <c r="J36" s="13">
        <v>10</v>
      </c>
      <c r="K36" s="13">
        <v>3</v>
      </c>
      <c r="L36" s="13">
        <v>2</v>
      </c>
      <c r="M36" s="13">
        <v>46</v>
      </c>
      <c r="N36" s="13">
        <v>14</v>
      </c>
      <c r="O36" s="13">
        <v>32</v>
      </c>
      <c r="P36" s="13">
        <v>0</v>
      </c>
      <c r="Q36" s="13">
        <v>766</v>
      </c>
      <c r="S36" s="17">
        <v>3</v>
      </c>
      <c r="T36" s="18"/>
      <c r="U36" s="17">
        <v>1</v>
      </c>
      <c r="V36" s="17" t="s">
        <v>29</v>
      </c>
      <c r="W36" s="18">
        <v>4</v>
      </c>
      <c r="X36" s="18" t="s">
        <v>342</v>
      </c>
      <c r="Y36" s="18">
        <f t="shared" si="5"/>
        <v>0</v>
      </c>
      <c r="Z36" s="17" t="s">
        <v>343</v>
      </c>
      <c r="AA36" s="17">
        <v>2</v>
      </c>
      <c r="AB36" s="1">
        <f t="shared" si="1"/>
        <v>1</v>
      </c>
      <c r="AC36" s="1">
        <f t="shared" si="2"/>
        <v>0</v>
      </c>
      <c r="AD36" s="1">
        <f t="shared" si="3"/>
        <v>0</v>
      </c>
      <c r="AF36" s="17">
        <v>5</v>
      </c>
      <c r="AG36" s="13" t="str">
        <v>Leyla</v>
      </c>
      <c r="AH36" s="13">
        <v>24</v>
      </c>
      <c r="AI36" s="13">
        <v>733</v>
      </c>
      <c r="AJ36" s="13"/>
      <c r="AK36" s="13">
        <v>35</v>
      </c>
      <c r="AL36" s="13" t="str">
        <v>Getarez</v>
      </c>
    </row>
    <row r="37" spans="1:38">
      <c r="A37" s="17">
        <v>36</v>
      </c>
      <c r="B37" s="13" t="str">
        <v>Patrick</v>
      </c>
      <c r="C37" s="13">
        <v>13</v>
      </c>
      <c r="D37" s="13"/>
      <c r="E37" s="13" t="str">
        <v>C</v>
      </c>
      <c r="F37" s="13">
        <v>18</v>
      </c>
      <c r="G37" s="13" t="str">
        <v>Leyla</v>
      </c>
      <c r="H37" s="13" t="e" vm="13">
        <f ca="1"/>
        <v>#VALUE!</v>
      </c>
      <c r="I37" s="13">
        <v>15</v>
      </c>
      <c r="J37" s="13">
        <v>10</v>
      </c>
      <c r="K37" s="13">
        <v>2</v>
      </c>
      <c r="L37" s="13">
        <v>3</v>
      </c>
      <c r="M37" s="13">
        <v>42</v>
      </c>
      <c r="N37" s="13">
        <v>18</v>
      </c>
      <c r="O37" s="13">
        <v>24</v>
      </c>
      <c r="P37" s="13">
        <v>0</v>
      </c>
      <c r="Q37" s="13">
        <v>733</v>
      </c>
      <c r="S37" s="17">
        <v>4</v>
      </c>
      <c r="T37" s="18"/>
      <c r="U37" s="17">
        <v>1</v>
      </c>
      <c r="V37" s="17" t="s">
        <v>29</v>
      </c>
      <c r="W37" s="18">
        <v>4</v>
      </c>
      <c r="X37" s="18" t="s">
        <v>342</v>
      </c>
      <c r="Y37" s="18">
        <f t="shared" si="5"/>
        <v>0</v>
      </c>
      <c r="Z37" s="17" t="s">
        <v>85</v>
      </c>
      <c r="AA37" s="17">
        <v>2</v>
      </c>
      <c r="AB37" s="1">
        <f t="shared" si="1"/>
        <v>1</v>
      </c>
      <c r="AC37" s="1">
        <f t="shared" si="2"/>
        <v>0</v>
      </c>
      <c r="AD37" s="1">
        <f t="shared" si="3"/>
        <v>0</v>
      </c>
      <c r="AF37" s="17">
        <v>6</v>
      </c>
      <c r="AG37" s="13" t="str">
        <v>tif</v>
      </c>
      <c r="AH37" s="13">
        <v>22</v>
      </c>
      <c r="AI37" s="13">
        <v>700</v>
      </c>
      <c r="AJ37" s="13"/>
      <c r="AK37" s="13">
        <v>36</v>
      </c>
      <c r="AL37" s="13" t="str">
        <v>Cap</v>
      </c>
    </row>
    <row r="38" spans="1:38">
      <c r="A38" s="17">
        <v>37</v>
      </c>
      <c r="B38" s="13" t="str">
        <v>Rune</v>
      </c>
      <c r="C38" s="13">
        <v>22</v>
      </c>
      <c r="D38" s="13"/>
      <c r="E38" s="13" t="str">
        <v>C</v>
      </c>
      <c r="F38" s="13">
        <v>21</v>
      </c>
      <c r="G38" s="13" t="str">
        <v>Banana</v>
      </c>
      <c r="H38" s="13" t="e" vm="15">
        <f ca="1"/>
        <v>#VALUE!</v>
      </c>
      <c r="I38" s="13">
        <v>15</v>
      </c>
      <c r="J38" s="13">
        <v>6</v>
      </c>
      <c r="K38" s="13">
        <v>3</v>
      </c>
      <c r="L38" s="13">
        <v>6</v>
      </c>
      <c r="M38" s="13">
        <v>30</v>
      </c>
      <c r="N38" s="13">
        <v>30</v>
      </c>
      <c r="O38" s="13">
        <v>0</v>
      </c>
      <c r="P38" s="13">
        <v>0</v>
      </c>
      <c r="Q38" s="13">
        <v>500</v>
      </c>
      <c r="S38" s="17">
        <v>5</v>
      </c>
      <c r="T38" s="18"/>
      <c r="U38" s="17">
        <v>1</v>
      </c>
      <c r="V38" s="17" t="s">
        <v>29</v>
      </c>
      <c r="W38" s="18">
        <v>4</v>
      </c>
      <c r="X38" s="18" t="s">
        <v>342</v>
      </c>
      <c r="Y38" s="18">
        <f t="shared" si="5"/>
        <v>0</v>
      </c>
      <c r="Z38" s="17" t="s">
        <v>117</v>
      </c>
      <c r="AA38" s="17">
        <v>2</v>
      </c>
      <c r="AB38" s="1">
        <f t="shared" si="1"/>
        <v>1</v>
      </c>
      <c r="AC38" s="1">
        <f t="shared" si="2"/>
        <v>0</v>
      </c>
      <c r="AD38" s="1">
        <f t="shared" si="3"/>
        <v>0</v>
      </c>
      <c r="AF38" s="17">
        <v>7</v>
      </c>
      <c r="AG38" s="13" t="str">
        <v>Mark</v>
      </c>
      <c r="AH38" s="13">
        <v>16</v>
      </c>
      <c r="AI38" s="13">
        <v>600</v>
      </c>
      <c r="AJ38" s="13"/>
      <c r="AK38" s="13">
        <v>37</v>
      </c>
      <c r="AL38" s="13" t="str">
        <v>Lenain</v>
      </c>
    </row>
    <row r="39" spans="1:38">
      <c r="A39" s="17">
        <v>38</v>
      </c>
      <c r="B39" s="13" t="str">
        <v>Sami</v>
      </c>
      <c r="C39" s="13">
        <v>3</v>
      </c>
      <c r="D39" s="13"/>
      <c r="E39" s="13" t="str">
        <v>C</v>
      </c>
      <c r="F39" s="13">
        <v>24</v>
      </c>
      <c r="G39" s="13" t="str">
        <v>Mark</v>
      </c>
      <c r="H39" s="13" t="e" vm="12">
        <f ca="1"/>
        <v>#VALUE!</v>
      </c>
      <c r="I39" s="13">
        <v>15</v>
      </c>
      <c r="J39" s="13">
        <v>9</v>
      </c>
      <c r="K39" s="13">
        <v>0</v>
      </c>
      <c r="L39" s="13">
        <v>6</v>
      </c>
      <c r="M39" s="13">
        <v>38</v>
      </c>
      <c r="N39" s="13">
        <v>22</v>
      </c>
      <c r="O39" s="13">
        <v>16</v>
      </c>
      <c r="P39" s="13">
        <v>0</v>
      </c>
      <c r="Q39" s="13">
        <v>600</v>
      </c>
      <c r="S39" s="17">
        <v>6</v>
      </c>
      <c r="T39" s="18"/>
      <c r="U39" s="17">
        <v>2</v>
      </c>
      <c r="V39" s="17" t="s">
        <v>29</v>
      </c>
      <c r="W39" s="18">
        <v>4</v>
      </c>
      <c r="X39" s="18" t="s">
        <v>342</v>
      </c>
      <c r="Y39" s="18">
        <f t="shared" si="5"/>
        <v>0</v>
      </c>
      <c r="Z39" s="17" t="s">
        <v>119</v>
      </c>
      <c r="AA39" s="17">
        <v>1</v>
      </c>
      <c r="AB39" s="1">
        <f t="shared" si="1"/>
        <v>1</v>
      </c>
      <c r="AC39" s="1">
        <f t="shared" si="2"/>
        <v>0</v>
      </c>
      <c r="AD39" s="1">
        <f t="shared" si="3"/>
        <v>0</v>
      </c>
      <c r="AF39" s="17">
        <v>8</v>
      </c>
      <c r="AG39" s="13" t="str">
        <v>Banana</v>
      </c>
      <c r="AH39" s="13">
        <v>0</v>
      </c>
      <c r="AI39" s="13">
        <v>500</v>
      </c>
      <c r="AJ39" s="13"/>
      <c r="AK39" s="13">
        <v>38</v>
      </c>
      <c r="AL39" s="13" t="str">
        <v>Zip</v>
      </c>
    </row>
    <row r="40" spans="1:38">
      <c r="A40" s="17">
        <v>39</v>
      </c>
      <c r="B40" s="13" t="str">
        <v>Narnet</v>
      </c>
      <c r="C40" s="13">
        <v>28</v>
      </c>
      <c r="D40" s="13"/>
      <c r="E40" s="13" t="str">
        <v>C</v>
      </c>
      <c r="F40" s="13">
        <v>27</v>
      </c>
      <c r="G40" s="13" t="str">
        <v>Ours</v>
      </c>
      <c r="H40" s="13" t="e" vm="15">
        <f ca="1"/>
        <v>#VALUE!</v>
      </c>
      <c r="I40" s="13">
        <v>15</v>
      </c>
      <c r="J40" s="13">
        <v>5</v>
      </c>
      <c r="K40" s="13">
        <v>3</v>
      </c>
      <c r="L40" s="13">
        <v>7</v>
      </c>
      <c r="M40" s="13">
        <v>26</v>
      </c>
      <c r="N40" s="13">
        <v>34</v>
      </c>
      <c r="O40" s="13">
        <v>-8</v>
      </c>
      <c r="P40" s="13">
        <v>0</v>
      </c>
      <c r="Q40" s="13">
        <v>433</v>
      </c>
      <c r="S40" s="17">
        <v>7</v>
      </c>
      <c r="T40" s="18"/>
      <c r="U40" s="17">
        <v>2</v>
      </c>
      <c r="V40" s="17" t="s">
        <v>29</v>
      </c>
      <c r="W40" s="18">
        <v>4</v>
      </c>
      <c r="X40" s="18" t="s">
        <v>342</v>
      </c>
      <c r="Y40" s="18">
        <f t="shared" si="5"/>
        <v>0</v>
      </c>
      <c r="Z40" s="17" t="s">
        <v>53</v>
      </c>
      <c r="AA40" s="17">
        <v>1</v>
      </c>
      <c r="AB40" s="1">
        <f t="shared" si="1"/>
        <v>1</v>
      </c>
      <c r="AC40" s="1">
        <f t="shared" si="2"/>
        <v>0</v>
      </c>
      <c r="AD40" s="1">
        <f t="shared" si="3"/>
        <v>0</v>
      </c>
      <c r="AF40" s="17">
        <v>9</v>
      </c>
      <c r="AG40" s="13" t="str">
        <v>Ours</v>
      </c>
      <c r="AH40" s="13">
        <v>-8</v>
      </c>
      <c r="AI40" s="13">
        <v>433</v>
      </c>
      <c r="AJ40" s="13"/>
      <c r="AK40" s="13">
        <v>39</v>
      </c>
      <c r="AL40" s="13" t="str">
        <v>L'escargot</v>
      </c>
    </row>
    <row r="41" spans="1:38">
      <c r="A41" s="17">
        <v>40</v>
      </c>
      <c r="B41" s="13" t="str">
        <v>Sjors</v>
      </c>
      <c r="C41" s="13">
        <v>25</v>
      </c>
      <c r="D41" s="13"/>
      <c r="E41" s="13" t="str">
        <v>C</v>
      </c>
      <c r="F41" s="13">
        <v>30</v>
      </c>
      <c r="G41" s="13" t="str">
        <v>Edwin</v>
      </c>
      <c r="H41" s="13" t="e" vm="12">
        <f ca="1"/>
        <v>#VALUE!</v>
      </c>
      <c r="I41" s="13">
        <v>15</v>
      </c>
      <c r="J41" s="13">
        <v>5</v>
      </c>
      <c r="K41" s="13">
        <v>3</v>
      </c>
      <c r="L41" s="13">
        <v>7</v>
      </c>
      <c r="M41" s="13">
        <v>26</v>
      </c>
      <c r="N41" s="13">
        <v>34</v>
      </c>
      <c r="O41" s="13">
        <v>-8</v>
      </c>
      <c r="P41" s="13">
        <v>0</v>
      </c>
      <c r="Q41" s="13">
        <v>433</v>
      </c>
      <c r="S41" s="17">
        <v>8</v>
      </c>
      <c r="T41" s="18"/>
      <c r="U41" s="17">
        <v>2</v>
      </c>
      <c r="V41" s="17" t="s">
        <v>29</v>
      </c>
      <c r="W41" s="18">
        <v>3</v>
      </c>
      <c r="X41" s="18" t="s">
        <v>342</v>
      </c>
      <c r="Y41" s="18">
        <f t="shared" si="5"/>
        <v>1</v>
      </c>
      <c r="Z41" s="17" t="s">
        <v>69</v>
      </c>
      <c r="AA41" s="17">
        <v>1</v>
      </c>
      <c r="AB41" s="1">
        <f t="shared" si="1"/>
        <v>1</v>
      </c>
      <c r="AC41" s="1">
        <f t="shared" si="2"/>
        <v>0</v>
      </c>
      <c r="AD41" s="1">
        <f t="shared" si="3"/>
        <v>0</v>
      </c>
      <c r="AF41" s="17">
        <v>10</v>
      </c>
      <c r="AG41" s="13" t="str">
        <v>Edwin</v>
      </c>
      <c r="AH41" s="13">
        <v>-8</v>
      </c>
      <c r="AI41" s="13">
        <v>433</v>
      </c>
      <c r="AJ41" s="13"/>
      <c r="AK41" s="13">
        <v>40</v>
      </c>
      <c r="AL41" s="13" t="str">
        <v>Danny</v>
      </c>
    </row>
    <row r="42" spans="1:38">
      <c r="A42" s="17">
        <v>41</v>
      </c>
      <c r="B42" s="13" t="str">
        <v>Jarmou</v>
      </c>
      <c r="C42" s="13">
        <v>14</v>
      </c>
      <c r="D42" s="13"/>
      <c r="E42" s="13" t="str">
        <v>C</v>
      </c>
      <c r="F42" s="13">
        <v>33</v>
      </c>
      <c r="G42" s="13" t="str">
        <v>Cap</v>
      </c>
      <c r="H42" s="13" t="e" vm="15">
        <f ca="1"/>
        <v>#VALUE!</v>
      </c>
      <c r="I42" s="13">
        <v>15</v>
      </c>
      <c r="J42" s="13">
        <v>3</v>
      </c>
      <c r="K42" s="13">
        <v>1</v>
      </c>
      <c r="L42" s="13">
        <v>11</v>
      </c>
      <c r="M42" s="13">
        <v>14</v>
      </c>
      <c r="N42" s="13">
        <v>46</v>
      </c>
      <c r="O42" s="13">
        <v>-32</v>
      </c>
      <c r="P42" s="13">
        <v>0</v>
      </c>
      <c r="Q42" s="13">
        <v>233</v>
      </c>
      <c r="S42" s="17">
        <v>9</v>
      </c>
      <c r="T42" s="18"/>
      <c r="U42" s="17">
        <v>2</v>
      </c>
      <c r="V42" s="17" t="s">
        <v>29</v>
      </c>
      <c r="W42" s="18">
        <v>4</v>
      </c>
      <c r="X42" s="18" t="s">
        <v>342</v>
      </c>
      <c r="Y42" s="18">
        <f t="shared" si="5"/>
        <v>0</v>
      </c>
      <c r="Z42" s="17" t="s">
        <v>97</v>
      </c>
      <c r="AA42" s="17">
        <v>1</v>
      </c>
      <c r="AB42" s="1">
        <f t="shared" si="1"/>
        <v>1</v>
      </c>
      <c r="AC42" s="1">
        <f t="shared" si="2"/>
        <v>0</v>
      </c>
      <c r="AD42" s="1">
        <f t="shared" si="3"/>
        <v>0</v>
      </c>
      <c r="AF42" s="17">
        <v>11</v>
      </c>
      <c r="AG42" s="13" t="str">
        <v>Ashley</v>
      </c>
      <c r="AH42" s="13">
        <v>-16</v>
      </c>
      <c r="AI42" s="13">
        <v>366</v>
      </c>
      <c r="AJ42" s="13"/>
      <c r="AK42" s="13">
        <v>41</v>
      </c>
      <c r="AL42" s="13" t="str">
        <v>Titou</v>
      </c>
    </row>
    <row r="43" spans="1:38">
      <c r="A43" s="17">
        <v>42</v>
      </c>
      <c r="B43" s="13" t="str">
        <v>Takashi</v>
      </c>
      <c r="C43" s="13">
        <v>6</v>
      </c>
      <c r="D43" s="13"/>
      <c r="E43" s="13" t="str">
        <v>C</v>
      </c>
      <c r="F43" s="13">
        <v>36</v>
      </c>
      <c r="G43" s="13" t="str">
        <v>Miku</v>
      </c>
      <c r="H43" s="13" t="e" vm="15">
        <f ca="1"/>
        <v>#VALUE!</v>
      </c>
      <c r="I43" s="13">
        <v>15</v>
      </c>
      <c r="J43" s="13">
        <v>1</v>
      </c>
      <c r="K43" s="13">
        <v>1</v>
      </c>
      <c r="L43" s="13">
        <v>13</v>
      </c>
      <c r="M43" s="13">
        <v>9</v>
      </c>
      <c r="N43" s="13">
        <v>51</v>
      </c>
      <c r="O43" s="13">
        <v>-42</v>
      </c>
      <c r="P43" s="13">
        <v>0</v>
      </c>
      <c r="Q43" s="13">
        <v>100</v>
      </c>
      <c r="S43" s="17">
        <v>10</v>
      </c>
      <c r="T43" s="18"/>
      <c r="U43" s="17">
        <v>1</v>
      </c>
      <c r="V43" s="17" t="s">
        <v>29</v>
      </c>
      <c r="W43" s="18">
        <v>3</v>
      </c>
      <c r="X43" s="18" t="s">
        <v>342</v>
      </c>
      <c r="Y43" s="18">
        <f t="shared" si="5"/>
        <v>1</v>
      </c>
      <c r="Z43" s="17" t="s">
        <v>107</v>
      </c>
      <c r="AA43" s="17">
        <v>2</v>
      </c>
      <c r="AB43" s="1">
        <f t="shared" si="1"/>
        <v>1</v>
      </c>
      <c r="AC43" s="1">
        <f t="shared" si="2"/>
        <v>0</v>
      </c>
      <c r="AD43" s="1">
        <f t="shared" si="3"/>
        <v>0</v>
      </c>
      <c r="AF43" s="17">
        <v>12</v>
      </c>
      <c r="AG43" s="13" t="str">
        <v>Cap</v>
      </c>
      <c r="AH43" s="13">
        <v>-32</v>
      </c>
      <c r="AI43" s="13">
        <v>233</v>
      </c>
      <c r="AJ43" s="13"/>
      <c r="AK43" s="13">
        <v>42</v>
      </c>
      <c r="AL43" s="13" t="str">
        <v>Ale</v>
      </c>
    </row>
    <row r="44" spans="1:38">
      <c r="A44" s="17">
        <v>43</v>
      </c>
      <c r="B44" s="13" t="str">
        <v>Thibault</v>
      </c>
      <c r="C44" s="13">
        <v>10</v>
      </c>
      <c r="D44" s="13"/>
      <c r="E44" s="13" t="str">
        <v>C</v>
      </c>
      <c r="F44" s="13">
        <v>39</v>
      </c>
      <c r="G44" s="13" t="str">
        <v>Zip</v>
      </c>
      <c r="H44" s="13" t="e" vm="15">
        <f ca="1"/>
        <v>#VALUE!</v>
      </c>
      <c r="I44" s="13">
        <v>15</v>
      </c>
      <c r="J44" s="13">
        <v>2</v>
      </c>
      <c r="K44" s="13">
        <v>2</v>
      </c>
      <c r="L44" s="13">
        <v>11</v>
      </c>
      <c r="M44" s="13">
        <v>17</v>
      </c>
      <c r="N44" s="13">
        <v>43</v>
      </c>
      <c r="O44" s="13">
        <v>-26</v>
      </c>
      <c r="P44" s="13">
        <v>0</v>
      </c>
      <c r="Q44" s="13">
        <v>200</v>
      </c>
      <c r="S44" s="17">
        <v>11</v>
      </c>
      <c r="T44" s="18"/>
      <c r="U44" s="17">
        <v>2</v>
      </c>
      <c r="V44" s="17" t="s">
        <v>29</v>
      </c>
      <c r="W44" s="18">
        <v>4</v>
      </c>
      <c r="X44" s="18" t="s">
        <v>342</v>
      </c>
      <c r="Y44" s="18">
        <f t="shared" si="5"/>
        <v>0</v>
      </c>
      <c r="Z44" s="17" t="s">
        <v>111</v>
      </c>
      <c r="AA44" s="17">
        <v>1</v>
      </c>
      <c r="AB44" s="1">
        <f t="shared" si="1"/>
        <v>1</v>
      </c>
      <c r="AC44" s="1">
        <f t="shared" si="2"/>
        <v>0</v>
      </c>
      <c r="AD44" s="1">
        <f t="shared" si="3"/>
        <v>0</v>
      </c>
      <c r="AF44" s="17">
        <v>13</v>
      </c>
      <c r="AG44" s="13" t="str">
        <v>Zip</v>
      </c>
      <c r="AH44" s="13">
        <v>-26</v>
      </c>
      <c r="AI44" s="13">
        <v>200</v>
      </c>
      <c r="AJ44" s="13"/>
      <c r="AK44" s="13">
        <v>43</v>
      </c>
      <c r="AL44" s="13" t="str">
        <v>BigMountain</v>
      </c>
    </row>
    <row r="45" spans="1:38">
      <c r="A45" s="17">
        <v>44</v>
      </c>
      <c r="B45" s="13" t="str">
        <v>Ours</v>
      </c>
      <c r="C45" s="13">
        <v>27</v>
      </c>
      <c r="D45" s="13"/>
      <c r="E45" s="13" t="str">
        <v>C</v>
      </c>
      <c r="F45" s="13">
        <v>42</v>
      </c>
      <c r="G45" s="13" t="str">
        <v>Ashley</v>
      </c>
      <c r="H45" s="13" t="e" vm="13">
        <f ca="1"/>
        <v>#VALUE!</v>
      </c>
      <c r="I45" s="13">
        <v>15</v>
      </c>
      <c r="J45" s="13">
        <v>4</v>
      </c>
      <c r="K45" s="13">
        <v>3</v>
      </c>
      <c r="L45" s="13">
        <v>8</v>
      </c>
      <c r="M45" s="13">
        <v>22</v>
      </c>
      <c r="N45" s="13">
        <v>38</v>
      </c>
      <c r="O45" s="13">
        <v>-16</v>
      </c>
      <c r="P45" s="13">
        <v>0</v>
      </c>
      <c r="Q45" s="13">
        <v>366</v>
      </c>
      <c r="S45" s="17">
        <v>12</v>
      </c>
      <c r="T45" s="18"/>
      <c r="U45" s="17">
        <v>2</v>
      </c>
      <c r="V45" s="17" t="s">
        <v>29</v>
      </c>
      <c r="W45" s="18">
        <v>2</v>
      </c>
      <c r="X45" s="18" t="s">
        <v>342</v>
      </c>
      <c r="Y45" s="18">
        <f t="shared" si="5"/>
        <v>2</v>
      </c>
      <c r="Z45" s="17" t="s">
        <v>27</v>
      </c>
      <c r="AA45" s="17">
        <v>1</v>
      </c>
      <c r="AB45" s="1">
        <f t="shared" si="1"/>
        <v>0</v>
      </c>
      <c r="AC45" s="1">
        <f t="shared" si="2"/>
        <v>1</v>
      </c>
      <c r="AD45" s="1">
        <f t="shared" si="3"/>
        <v>0</v>
      </c>
      <c r="AF45" s="17">
        <v>14</v>
      </c>
      <c r="AG45" s="13" t="str">
        <v>Titou</v>
      </c>
      <c r="AH45" s="13">
        <v>-36</v>
      </c>
      <c r="AI45" s="13">
        <v>166</v>
      </c>
      <c r="AJ45" s="13"/>
      <c r="AK45" s="13">
        <v>44</v>
      </c>
      <c r="AL45" s="13" t="str">
        <v>Lio</v>
      </c>
    </row>
    <row r="46" spans="1:38">
      <c r="A46" s="17">
        <v>45</v>
      </c>
      <c r="B46" s="13" t="str">
        <v>Titou</v>
      </c>
      <c r="C46" s="13">
        <v>45</v>
      </c>
      <c r="D46" s="13"/>
      <c r="E46" s="13" t="str">
        <v>C</v>
      </c>
      <c r="F46" s="13">
        <v>45</v>
      </c>
      <c r="G46" s="13" t="str">
        <v>Titou</v>
      </c>
      <c r="H46" s="13" t="e" vm="15">
        <f ca="1"/>
        <v>#VALUE!</v>
      </c>
      <c r="I46" s="13">
        <v>15</v>
      </c>
      <c r="J46" s="13">
        <v>1</v>
      </c>
      <c r="K46" s="13">
        <v>3</v>
      </c>
      <c r="L46" s="13">
        <v>11</v>
      </c>
      <c r="M46" s="13">
        <v>12</v>
      </c>
      <c r="N46" s="13">
        <v>48</v>
      </c>
      <c r="O46" s="13">
        <v>-36</v>
      </c>
      <c r="P46" s="13">
        <v>0</v>
      </c>
      <c r="Q46" s="13">
        <v>166</v>
      </c>
      <c r="S46" s="17">
        <v>13</v>
      </c>
      <c r="T46" s="18"/>
      <c r="U46" s="17">
        <v>2</v>
      </c>
      <c r="V46" s="17" t="s">
        <v>29</v>
      </c>
      <c r="W46" s="18">
        <v>1</v>
      </c>
      <c r="X46" s="18" t="s">
        <v>342</v>
      </c>
      <c r="Y46" s="18">
        <f t="shared" si="5"/>
        <v>3</v>
      </c>
      <c r="Z46" s="17" t="s">
        <v>81</v>
      </c>
      <c r="AA46" s="17">
        <v>1</v>
      </c>
      <c r="AB46" s="1">
        <f t="shared" si="1"/>
        <v>0</v>
      </c>
      <c r="AC46" s="1">
        <f t="shared" si="2"/>
        <v>0</v>
      </c>
      <c r="AD46" s="1">
        <f t="shared" si="3"/>
        <v>1</v>
      </c>
      <c r="AF46" s="17">
        <v>15</v>
      </c>
      <c r="AG46" s="13" t="str">
        <v>Miku</v>
      </c>
      <c r="AH46" s="13">
        <v>-42</v>
      </c>
      <c r="AI46" s="13">
        <v>100</v>
      </c>
      <c r="AJ46" s="13"/>
      <c r="AK46" s="13">
        <v>45</v>
      </c>
      <c r="AL46" s="13" t="str">
        <v>Miku</v>
      </c>
    </row>
    <row r="47" spans="1:38">
      <c r="E47" s="1" t="str">
        <v>X</v>
      </c>
      <c r="F47" s="1" t="str">
        <v/>
      </c>
      <c r="G47" s="1" t="str">
        <v/>
      </c>
      <c r="H47" s="1" t="str">
        <f ca="1"/>
        <v/>
      </c>
      <c r="I47" s="1">
        <v>0</v>
      </c>
      <c r="J47" s="1">
        <v>0</v>
      </c>
      <c r="K47" s="1">
        <v>0</v>
      </c>
      <c r="L47" s="1">
        <v>0</v>
      </c>
      <c r="M47" s="1">
        <v>0</v>
      </c>
      <c r="N47" s="1">
        <v>0</v>
      </c>
      <c r="O47" s="1">
        <v>0</v>
      </c>
      <c r="P47" s="1">
        <v>0</v>
      </c>
      <c r="Q47" s="1">
        <v>0</v>
      </c>
      <c r="S47" s="17">
        <v>14</v>
      </c>
      <c r="T47" s="18"/>
      <c r="U47" s="17">
        <v>1</v>
      </c>
      <c r="V47" s="17" t="s">
        <v>29</v>
      </c>
      <c r="W47" s="18">
        <v>2</v>
      </c>
      <c r="X47" s="18" t="s">
        <v>342</v>
      </c>
      <c r="Y47" s="18">
        <f t="shared" si="5"/>
        <v>2</v>
      </c>
      <c r="Z47" s="17" t="s">
        <v>39</v>
      </c>
      <c r="AA47" s="17">
        <v>2</v>
      </c>
      <c r="AB47" s="1">
        <f t="shared" si="1"/>
        <v>0</v>
      </c>
      <c r="AC47" s="1">
        <f t="shared" si="2"/>
        <v>1</v>
      </c>
      <c r="AD47" s="1">
        <f t="shared" si="3"/>
        <v>0</v>
      </c>
      <c r="AF47" s="1" t="str">
        <v/>
      </c>
      <c r="AG47" s="1" t="str">
        <v/>
      </c>
      <c r="AH47" s="1">
        <v>0</v>
      </c>
      <c r="AI47" s="1">
        <v>0</v>
      </c>
      <c r="AL47" s="1" t="str">
        <v/>
      </c>
    </row>
    <row r="48" spans="1:38">
      <c r="S48" s="17">
        <v>15</v>
      </c>
      <c r="T48" s="18"/>
      <c r="U48" s="17">
        <v>1</v>
      </c>
      <c r="V48" s="17" t="s">
        <v>29</v>
      </c>
      <c r="W48" s="18">
        <v>2</v>
      </c>
      <c r="X48" s="18" t="s">
        <v>342</v>
      </c>
      <c r="Y48" s="18">
        <f t="shared" si="5"/>
        <v>2</v>
      </c>
      <c r="Z48" s="17" t="s">
        <v>125</v>
      </c>
      <c r="AA48" s="17">
        <v>2</v>
      </c>
      <c r="AB48" s="1">
        <f t="shared" si="1"/>
        <v>0</v>
      </c>
      <c r="AC48" s="1">
        <f t="shared" si="2"/>
        <v>1</v>
      </c>
      <c r="AD48" s="1">
        <f t="shared" si="3"/>
        <v>0</v>
      </c>
    </row>
    <row r="49" spans="19:30" ht="12.75" customHeight="1">
      <c r="S49" s="58" t="s">
        <v>339</v>
      </c>
      <c r="T49" s="58" t="s">
        <v>340</v>
      </c>
      <c r="U49" s="58" t="s">
        <v>341</v>
      </c>
      <c r="V49" s="58" t="s">
        <v>1</v>
      </c>
      <c r="W49" s="69" t="s">
        <v>220</v>
      </c>
      <c r="X49" s="70"/>
      <c r="Y49" s="71"/>
      <c r="Z49" s="58" t="s">
        <v>1</v>
      </c>
      <c r="AA49" s="58" t="s">
        <v>341</v>
      </c>
      <c r="AB49" s="1">
        <f t="shared" si="1"/>
        <v>1</v>
      </c>
      <c r="AC49" s="1">
        <f t="shared" si="2"/>
        <v>0</v>
      </c>
      <c r="AD49" s="1">
        <f t="shared" si="3"/>
        <v>0</v>
      </c>
    </row>
    <row r="50" spans="19:30">
      <c r="S50" s="17">
        <v>1</v>
      </c>
      <c r="T50" s="18"/>
      <c r="U50" s="17">
        <v>1</v>
      </c>
      <c r="V50" s="17" t="s">
        <v>125</v>
      </c>
      <c r="W50" s="18">
        <v>4</v>
      </c>
      <c r="X50" s="18" t="s">
        <v>342</v>
      </c>
      <c r="Y50" s="18">
        <f>IF(W50="","",4-W50)</f>
        <v>0</v>
      </c>
      <c r="Z50" s="17" t="s">
        <v>14</v>
      </c>
      <c r="AA50" s="17">
        <v>2</v>
      </c>
      <c r="AB50" s="1">
        <f t="shared" si="1"/>
        <v>1</v>
      </c>
      <c r="AC50" s="1">
        <f t="shared" si="2"/>
        <v>0</v>
      </c>
      <c r="AD50" s="1">
        <f t="shared" si="3"/>
        <v>0</v>
      </c>
    </row>
    <row r="51" spans="19:30">
      <c r="S51" s="17">
        <v>2</v>
      </c>
      <c r="T51" s="18"/>
      <c r="U51" s="17">
        <v>2</v>
      </c>
      <c r="V51" s="17" t="s">
        <v>125</v>
      </c>
      <c r="W51" s="18">
        <v>3</v>
      </c>
      <c r="X51" s="18" t="s">
        <v>342</v>
      </c>
      <c r="Y51" s="18">
        <f t="shared" ref="Y51:Y64" si="6">IF(W51="","",4-W51)</f>
        <v>1</v>
      </c>
      <c r="Z51" s="17" t="s">
        <v>21</v>
      </c>
      <c r="AA51" s="17">
        <v>1</v>
      </c>
      <c r="AB51" s="1">
        <f t="shared" si="1"/>
        <v>1</v>
      </c>
      <c r="AC51" s="1">
        <f t="shared" si="2"/>
        <v>0</v>
      </c>
      <c r="AD51" s="1">
        <f t="shared" si="3"/>
        <v>0</v>
      </c>
    </row>
    <row r="52" spans="19:30">
      <c r="S52" s="17">
        <v>3</v>
      </c>
      <c r="T52" s="18"/>
      <c r="U52" s="17">
        <v>2</v>
      </c>
      <c r="V52" s="17" t="s">
        <v>125</v>
      </c>
      <c r="W52" s="18">
        <v>4</v>
      </c>
      <c r="X52" s="18" t="s">
        <v>342</v>
      </c>
      <c r="Y52" s="18">
        <f t="shared" si="6"/>
        <v>0</v>
      </c>
      <c r="Z52" s="17" t="s">
        <v>85</v>
      </c>
      <c r="AA52" s="17">
        <v>1</v>
      </c>
      <c r="AB52" s="1">
        <f t="shared" si="1"/>
        <v>1</v>
      </c>
      <c r="AC52" s="1">
        <f t="shared" si="2"/>
        <v>0</v>
      </c>
      <c r="AD52" s="1">
        <f t="shared" si="3"/>
        <v>0</v>
      </c>
    </row>
    <row r="53" spans="19:30" ht="12.75" customHeight="1">
      <c r="S53" s="17">
        <v>4</v>
      </c>
      <c r="T53" s="18"/>
      <c r="U53" s="17">
        <v>1</v>
      </c>
      <c r="V53" s="17" t="s">
        <v>125</v>
      </c>
      <c r="W53" s="18">
        <v>4</v>
      </c>
      <c r="X53" s="18" t="s">
        <v>342</v>
      </c>
      <c r="Y53" s="18">
        <f t="shared" si="6"/>
        <v>0</v>
      </c>
      <c r="Z53" s="17" t="s">
        <v>343</v>
      </c>
      <c r="AA53" s="17">
        <v>2</v>
      </c>
      <c r="AB53" s="1">
        <f t="shared" si="1"/>
        <v>1</v>
      </c>
      <c r="AC53" s="1">
        <f t="shared" si="2"/>
        <v>0</v>
      </c>
      <c r="AD53" s="1">
        <f t="shared" si="3"/>
        <v>0</v>
      </c>
    </row>
    <row r="54" spans="19:30">
      <c r="S54" s="17">
        <v>5</v>
      </c>
      <c r="T54" s="18"/>
      <c r="U54" s="17">
        <v>2</v>
      </c>
      <c r="V54" s="17" t="s">
        <v>125</v>
      </c>
      <c r="W54" s="18">
        <v>3</v>
      </c>
      <c r="X54" s="18" t="s">
        <v>342</v>
      </c>
      <c r="Y54" s="18">
        <f t="shared" si="6"/>
        <v>1</v>
      </c>
      <c r="Z54" s="17" t="s">
        <v>119</v>
      </c>
      <c r="AA54" s="17">
        <v>1</v>
      </c>
      <c r="AB54" s="1">
        <f t="shared" si="1"/>
        <v>1</v>
      </c>
      <c r="AC54" s="1">
        <f t="shared" si="2"/>
        <v>0</v>
      </c>
      <c r="AD54" s="1">
        <f t="shared" si="3"/>
        <v>0</v>
      </c>
    </row>
    <row r="55" spans="19:30">
      <c r="S55" s="17">
        <v>6</v>
      </c>
      <c r="T55" s="18"/>
      <c r="U55" s="17">
        <v>2</v>
      </c>
      <c r="V55" s="17" t="s">
        <v>125</v>
      </c>
      <c r="W55" s="18">
        <v>4</v>
      </c>
      <c r="X55" s="18" t="s">
        <v>342</v>
      </c>
      <c r="Y55" s="18">
        <f t="shared" si="6"/>
        <v>0</v>
      </c>
      <c r="Z55" s="17" t="s">
        <v>117</v>
      </c>
      <c r="AA55" s="17">
        <v>1</v>
      </c>
      <c r="AB55" s="1">
        <f t="shared" si="1"/>
        <v>1</v>
      </c>
      <c r="AC55" s="1">
        <f t="shared" si="2"/>
        <v>0</v>
      </c>
      <c r="AD55" s="1">
        <f t="shared" si="3"/>
        <v>0</v>
      </c>
    </row>
    <row r="56" spans="19:30">
      <c r="S56" s="17">
        <v>7</v>
      </c>
      <c r="T56" s="18"/>
      <c r="U56" s="17">
        <v>1</v>
      </c>
      <c r="V56" s="17" t="s">
        <v>125</v>
      </c>
      <c r="W56" s="18">
        <v>3</v>
      </c>
      <c r="X56" s="18" t="s">
        <v>342</v>
      </c>
      <c r="Y56" s="18">
        <f t="shared" si="6"/>
        <v>1</v>
      </c>
      <c r="Z56" s="17" t="s">
        <v>69</v>
      </c>
      <c r="AA56" s="17">
        <v>2</v>
      </c>
      <c r="AB56" s="1">
        <f t="shared" si="1"/>
        <v>1</v>
      </c>
      <c r="AC56" s="1">
        <f t="shared" si="2"/>
        <v>0</v>
      </c>
      <c r="AD56" s="1">
        <f t="shared" si="3"/>
        <v>0</v>
      </c>
    </row>
    <row r="57" spans="19:30">
      <c r="S57" s="17">
        <v>8</v>
      </c>
      <c r="T57" s="18"/>
      <c r="U57" s="17">
        <v>2</v>
      </c>
      <c r="V57" s="17" t="s">
        <v>125</v>
      </c>
      <c r="W57" s="18">
        <v>4</v>
      </c>
      <c r="X57" s="18" t="s">
        <v>342</v>
      </c>
      <c r="Y57" s="18">
        <f t="shared" si="6"/>
        <v>0</v>
      </c>
      <c r="Z57" s="17" t="s">
        <v>53</v>
      </c>
      <c r="AA57" s="17">
        <v>1</v>
      </c>
      <c r="AB57" s="1">
        <f t="shared" si="1"/>
        <v>1</v>
      </c>
      <c r="AC57" s="1">
        <f t="shared" si="2"/>
        <v>0</v>
      </c>
      <c r="AD57" s="1">
        <f t="shared" si="3"/>
        <v>0</v>
      </c>
    </row>
    <row r="58" spans="19:30">
      <c r="S58" s="17">
        <v>9</v>
      </c>
      <c r="T58" s="18"/>
      <c r="U58" s="17">
        <v>1</v>
      </c>
      <c r="V58" s="17" t="s">
        <v>125</v>
      </c>
      <c r="W58" s="18">
        <v>0</v>
      </c>
      <c r="X58" s="18" t="s">
        <v>342</v>
      </c>
      <c r="Y58" s="18">
        <f t="shared" si="6"/>
        <v>4</v>
      </c>
      <c r="Z58" s="17" t="s">
        <v>107</v>
      </c>
      <c r="AA58" s="17">
        <v>2</v>
      </c>
      <c r="AB58" s="1">
        <f t="shared" si="1"/>
        <v>0</v>
      </c>
      <c r="AC58" s="1">
        <f t="shared" si="2"/>
        <v>0</v>
      </c>
      <c r="AD58" s="1">
        <f t="shared" si="3"/>
        <v>1</v>
      </c>
    </row>
    <row r="59" spans="19:30">
      <c r="S59" s="17">
        <v>10</v>
      </c>
      <c r="T59" s="18"/>
      <c r="U59" s="17">
        <v>2</v>
      </c>
      <c r="V59" s="17" t="s">
        <v>125</v>
      </c>
      <c r="W59" s="18">
        <v>2</v>
      </c>
      <c r="X59" s="18" t="s">
        <v>342</v>
      </c>
      <c r="Y59" s="18">
        <f t="shared" si="6"/>
        <v>2</v>
      </c>
      <c r="Z59" s="17" t="s">
        <v>97</v>
      </c>
      <c r="AA59" s="17">
        <v>1</v>
      </c>
      <c r="AB59" s="1">
        <f t="shared" si="1"/>
        <v>0</v>
      </c>
      <c r="AC59" s="1">
        <f t="shared" si="2"/>
        <v>1</v>
      </c>
      <c r="AD59" s="1">
        <f t="shared" si="3"/>
        <v>0</v>
      </c>
    </row>
    <row r="60" spans="19:30">
      <c r="S60" s="17">
        <v>11</v>
      </c>
      <c r="T60" s="18"/>
      <c r="U60" s="17">
        <v>1</v>
      </c>
      <c r="V60" s="17" t="s">
        <v>125</v>
      </c>
      <c r="W60" s="18">
        <v>3</v>
      </c>
      <c r="X60" s="18" t="s">
        <v>342</v>
      </c>
      <c r="Y60" s="18">
        <f t="shared" si="6"/>
        <v>1</v>
      </c>
      <c r="Z60" s="17" t="s">
        <v>27</v>
      </c>
      <c r="AA60" s="17">
        <v>2</v>
      </c>
      <c r="AB60" s="1">
        <f t="shared" si="1"/>
        <v>1</v>
      </c>
      <c r="AC60" s="1">
        <f t="shared" si="2"/>
        <v>0</v>
      </c>
      <c r="AD60" s="1">
        <f t="shared" si="3"/>
        <v>0</v>
      </c>
    </row>
    <row r="61" spans="19:30">
      <c r="S61" s="17">
        <v>12</v>
      </c>
      <c r="T61" s="18"/>
      <c r="U61" s="17">
        <v>2</v>
      </c>
      <c r="V61" s="17" t="s">
        <v>125</v>
      </c>
      <c r="W61" s="18">
        <v>2</v>
      </c>
      <c r="X61" s="18" t="s">
        <v>342</v>
      </c>
      <c r="Y61" s="18">
        <f t="shared" si="6"/>
        <v>2</v>
      </c>
      <c r="Z61" s="17" t="s">
        <v>111</v>
      </c>
      <c r="AA61" s="17">
        <v>1</v>
      </c>
      <c r="AB61" s="1">
        <f t="shared" si="1"/>
        <v>0</v>
      </c>
      <c r="AC61" s="1">
        <f t="shared" si="2"/>
        <v>1</v>
      </c>
      <c r="AD61" s="1">
        <f t="shared" si="3"/>
        <v>0</v>
      </c>
    </row>
    <row r="62" spans="19:30">
      <c r="S62" s="17">
        <v>13</v>
      </c>
      <c r="T62" s="18"/>
      <c r="U62" s="17">
        <v>2</v>
      </c>
      <c r="V62" s="17" t="s">
        <v>125</v>
      </c>
      <c r="W62" s="18">
        <v>1</v>
      </c>
      <c r="X62" s="18" t="s">
        <v>342</v>
      </c>
      <c r="Y62" s="18">
        <f t="shared" si="6"/>
        <v>3</v>
      </c>
      <c r="Z62" s="17" t="s">
        <v>39</v>
      </c>
      <c r="AA62" s="17">
        <v>1</v>
      </c>
      <c r="AB62" s="1">
        <f t="shared" si="1"/>
        <v>0</v>
      </c>
      <c r="AC62" s="1">
        <f t="shared" si="2"/>
        <v>0</v>
      </c>
      <c r="AD62" s="1">
        <f t="shared" si="3"/>
        <v>1</v>
      </c>
    </row>
    <row r="63" spans="19:30">
      <c r="S63" s="17">
        <v>14</v>
      </c>
      <c r="T63" s="18"/>
      <c r="U63" s="17">
        <v>2</v>
      </c>
      <c r="V63" s="17" t="s">
        <v>125</v>
      </c>
      <c r="W63" s="18">
        <v>0</v>
      </c>
      <c r="X63" s="18" t="s">
        <v>342</v>
      </c>
      <c r="Y63" s="18">
        <f t="shared" si="6"/>
        <v>4</v>
      </c>
      <c r="Z63" s="17" t="s">
        <v>81</v>
      </c>
      <c r="AA63" s="17">
        <v>1</v>
      </c>
      <c r="AB63" s="1">
        <f t="shared" si="1"/>
        <v>0</v>
      </c>
      <c r="AC63" s="1">
        <f t="shared" si="2"/>
        <v>0</v>
      </c>
      <c r="AD63" s="1">
        <f t="shared" si="3"/>
        <v>1</v>
      </c>
    </row>
    <row r="64" spans="19:30">
      <c r="S64" s="17">
        <v>15</v>
      </c>
      <c r="T64" s="18"/>
      <c r="U64" s="17">
        <v>2</v>
      </c>
      <c r="V64" s="17" t="s">
        <v>125</v>
      </c>
      <c r="W64" s="18">
        <v>2</v>
      </c>
      <c r="X64" s="18" t="s">
        <v>342</v>
      </c>
      <c r="Y64" s="18">
        <f t="shared" si="6"/>
        <v>2</v>
      </c>
      <c r="Z64" s="17" t="s">
        <v>29</v>
      </c>
      <c r="AA64" s="17">
        <v>1</v>
      </c>
      <c r="AB64" s="1">
        <f t="shared" si="1"/>
        <v>0</v>
      </c>
      <c r="AC64" s="1">
        <f t="shared" si="2"/>
        <v>1</v>
      </c>
      <c r="AD64" s="1">
        <f t="shared" si="3"/>
        <v>0</v>
      </c>
    </row>
    <row r="65" spans="19:30" ht="12.75" customHeight="1">
      <c r="S65" s="58" t="s">
        <v>339</v>
      </c>
      <c r="T65" s="58" t="s">
        <v>340</v>
      </c>
      <c r="U65" s="58" t="s">
        <v>341</v>
      </c>
      <c r="V65" s="58" t="s">
        <v>1</v>
      </c>
      <c r="W65" s="69" t="s">
        <v>220</v>
      </c>
      <c r="X65" s="70"/>
      <c r="Y65" s="71"/>
      <c r="Z65" s="58" t="s">
        <v>1</v>
      </c>
      <c r="AA65" s="58" t="s">
        <v>341</v>
      </c>
      <c r="AB65" s="1">
        <f t="shared" si="1"/>
        <v>1</v>
      </c>
      <c r="AC65" s="1">
        <f t="shared" si="2"/>
        <v>0</v>
      </c>
      <c r="AD65" s="1">
        <f t="shared" si="3"/>
        <v>0</v>
      </c>
    </row>
    <row r="66" spans="19:30">
      <c r="S66" s="17">
        <v>1</v>
      </c>
      <c r="T66" s="18"/>
      <c r="U66" s="17">
        <v>2</v>
      </c>
      <c r="V66" s="17" t="s">
        <v>107</v>
      </c>
      <c r="W66" s="18">
        <v>4</v>
      </c>
      <c r="X66" s="18" t="s">
        <v>342</v>
      </c>
      <c r="Y66" s="18">
        <f>IF(W66="","",4-W66)</f>
        <v>0</v>
      </c>
      <c r="Z66" s="17" t="s">
        <v>53</v>
      </c>
      <c r="AA66" s="17">
        <v>1</v>
      </c>
      <c r="AB66" s="1">
        <f t="shared" si="1"/>
        <v>1</v>
      </c>
      <c r="AC66" s="1">
        <f t="shared" si="2"/>
        <v>0</v>
      </c>
      <c r="AD66" s="1">
        <f t="shared" si="3"/>
        <v>0</v>
      </c>
    </row>
    <row r="67" spans="19:30">
      <c r="S67" s="17">
        <v>2</v>
      </c>
      <c r="T67" s="18"/>
      <c r="U67" s="17">
        <v>2</v>
      </c>
      <c r="V67" s="17" t="s">
        <v>107</v>
      </c>
      <c r="W67" s="18">
        <v>4</v>
      </c>
      <c r="X67" s="18" t="s">
        <v>342</v>
      </c>
      <c r="Y67" s="18">
        <f t="shared" ref="Y67:Y80" si="7">IF(W67="","",4-W67)</f>
        <v>0</v>
      </c>
      <c r="Z67" s="17" t="s">
        <v>69</v>
      </c>
      <c r="AA67" s="17">
        <v>1</v>
      </c>
      <c r="AB67" s="1">
        <f t="shared" ref="AB67:AB130" si="8">IF(W67="",0,IF(W67&gt;Y67,1,0))</f>
        <v>1</v>
      </c>
      <c r="AC67" s="1">
        <f t="shared" ref="AC67:AC130" si="9">IF(W67="",0,IF(W67=Y67,1,0))</f>
        <v>0</v>
      </c>
      <c r="AD67" s="1">
        <f t="shared" ref="AD67:AD130" si="10">IF(W67="",0,IF(W67&lt;Y67,1,0))</f>
        <v>0</v>
      </c>
    </row>
    <row r="68" spans="19:30">
      <c r="S68" s="17">
        <v>3</v>
      </c>
      <c r="T68" s="18"/>
      <c r="U68" s="17">
        <v>2</v>
      </c>
      <c r="V68" s="17" t="s">
        <v>107</v>
      </c>
      <c r="W68" s="18">
        <v>4</v>
      </c>
      <c r="X68" s="18" t="s">
        <v>342</v>
      </c>
      <c r="Y68" s="18">
        <f t="shared" si="7"/>
        <v>0</v>
      </c>
      <c r="Z68" s="17" t="s">
        <v>117</v>
      </c>
      <c r="AA68" s="17">
        <v>1</v>
      </c>
      <c r="AB68" s="1">
        <f t="shared" si="8"/>
        <v>1</v>
      </c>
      <c r="AC68" s="1">
        <f t="shared" si="9"/>
        <v>0</v>
      </c>
      <c r="AD68" s="1">
        <f t="shared" si="10"/>
        <v>0</v>
      </c>
    </row>
    <row r="69" spans="19:30">
      <c r="S69" s="17">
        <v>4</v>
      </c>
      <c r="T69" s="18"/>
      <c r="U69" s="17">
        <v>1</v>
      </c>
      <c r="V69" s="17" t="s">
        <v>107</v>
      </c>
      <c r="W69" s="18">
        <v>4</v>
      </c>
      <c r="X69" s="18" t="s">
        <v>342</v>
      </c>
      <c r="Y69" s="18">
        <f t="shared" si="7"/>
        <v>0</v>
      </c>
      <c r="Z69" s="17" t="s">
        <v>119</v>
      </c>
      <c r="AA69" s="17">
        <v>2</v>
      </c>
      <c r="AB69" s="1">
        <f t="shared" si="8"/>
        <v>1</v>
      </c>
      <c r="AC69" s="1">
        <f t="shared" si="9"/>
        <v>0</v>
      </c>
      <c r="AD69" s="1">
        <f t="shared" si="10"/>
        <v>0</v>
      </c>
    </row>
    <row r="70" spans="19:30" ht="12.75" customHeight="1">
      <c r="S70" s="17">
        <v>5</v>
      </c>
      <c r="T70" s="18"/>
      <c r="U70" s="17">
        <v>2</v>
      </c>
      <c r="V70" s="17" t="s">
        <v>107</v>
      </c>
      <c r="W70" s="18">
        <v>4</v>
      </c>
      <c r="X70" s="18" t="s">
        <v>342</v>
      </c>
      <c r="Y70" s="18">
        <f t="shared" si="7"/>
        <v>0</v>
      </c>
      <c r="Z70" s="17" t="s">
        <v>343</v>
      </c>
      <c r="AA70" s="17">
        <v>1</v>
      </c>
      <c r="AB70" s="1">
        <f t="shared" si="8"/>
        <v>1</v>
      </c>
      <c r="AC70" s="1">
        <f t="shared" si="9"/>
        <v>0</v>
      </c>
      <c r="AD70" s="1">
        <f t="shared" si="10"/>
        <v>0</v>
      </c>
    </row>
    <row r="71" spans="19:30">
      <c r="S71" s="17">
        <v>6</v>
      </c>
      <c r="T71" s="18"/>
      <c r="U71" s="17">
        <v>1</v>
      </c>
      <c r="V71" s="17" t="s">
        <v>107</v>
      </c>
      <c r="W71" s="18">
        <v>4</v>
      </c>
      <c r="X71" s="18" t="s">
        <v>342</v>
      </c>
      <c r="Y71" s="18">
        <f t="shared" si="7"/>
        <v>0</v>
      </c>
      <c r="Z71" s="17" t="s">
        <v>85</v>
      </c>
      <c r="AA71" s="17">
        <v>2</v>
      </c>
      <c r="AB71" s="1">
        <f t="shared" si="8"/>
        <v>1</v>
      </c>
      <c r="AC71" s="1">
        <f t="shared" si="9"/>
        <v>0</v>
      </c>
      <c r="AD71" s="1">
        <f t="shared" si="10"/>
        <v>0</v>
      </c>
    </row>
    <row r="72" spans="19:30">
      <c r="S72" s="17">
        <v>7</v>
      </c>
      <c r="T72" s="18"/>
      <c r="U72" s="17">
        <v>2</v>
      </c>
      <c r="V72" s="17" t="s">
        <v>107</v>
      </c>
      <c r="W72" s="18">
        <v>4</v>
      </c>
      <c r="X72" s="18" t="s">
        <v>342</v>
      </c>
      <c r="Y72" s="18">
        <f t="shared" si="7"/>
        <v>0</v>
      </c>
      <c r="Z72" s="17" t="s">
        <v>21</v>
      </c>
      <c r="AA72" s="17">
        <v>1</v>
      </c>
      <c r="AB72" s="1">
        <f t="shared" si="8"/>
        <v>1</v>
      </c>
      <c r="AC72" s="1">
        <f t="shared" si="9"/>
        <v>0</v>
      </c>
      <c r="AD72" s="1">
        <f t="shared" si="10"/>
        <v>0</v>
      </c>
    </row>
    <row r="73" spans="19:30">
      <c r="S73" s="17">
        <v>8</v>
      </c>
      <c r="T73" s="18"/>
      <c r="U73" s="17">
        <v>2</v>
      </c>
      <c r="V73" s="17" t="s">
        <v>107</v>
      </c>
      <c r="W73" s="18">
        <v>4</v>
      </c>
      <c r="X73" s="18" t="s">
        <v>342</v>
      </c>
      <c r="Y73" s="18">
        <f t="shared" si="7"/>
        <v>0</v>
      </c>
      <c r="Z73" s="17" t="s">
        <v>14</v>
      </c>
      <c r="AA73" s="17">
        <v>1</v>
      </c>
      <c r="AB73" s="1">
        <f t="shared" si="8"/>
        <v>1</v>
      </c>
      <c r="AC73" s="1">
        <f t="shared" si="9"/>
        <v>0</v>
      </c>
      <c r="AD73" s="1">
        <f t="shared" si="10"/>
        <v>0</v>
      </c>
    </row>
    <row r="74" spans="19:30">
      <c r="S74" s="17">
        <v>9</v>
      </c>
      <c r="T74" s="18"/>
      <c r="U74" s="17">
        <v>2</v>
      </c>
      <c r="V74" s="17" t="s">
        <v>107</v>
      </c>
      <c r="W74" s="18">
        <v>4</v>
      </c>
      <c r="X74" s="18" t="s">
        <v>342</v>
      </c>
      <c r="Y74" s="18">
        <f t="shared" si="7"/>
        <v>0</v>
      </c>
      <c r="Z74" s="17" t="s">
        <v>125</v>
      </c>
      <c r="AA74" s="17">
        <v>1</v>
      </c>
      <c r="AB74" s="1">
        <f t="shared" si="8"/>
        <v>1</v>
      </c>
      <c r="AC74" s="1">
        <f t="shared" si="9"/>
        <v>0</v>
      </c>
      <c r="AD74" s="1">
        <f t="shared" si="10"/>
        <v>0</v>
      </c>
    </row>
    <row r="75" spans="19:30">
      <c r="S75" s="17">
        <v>10</v>
      </c>
      <c r="T75" s="18"/>
      <c r="U75" s="17">
        <v>2</v>
      </c>
      <c r="V75" s="17" t="s">
        <v>107</v>
      </c>
      <c r="W75" s="18">
        <v>1</v>
      </c>
      <c r="X75" s="18" t="s">
        <v>342</v>
      </c>
      <c r="Y75" s="18">
        <f t="shared" si="7"/>
        <v>3</v>
      </c>
      <c r="Z75" s="17" t="s">
        <v>29</v>
      </c>
      <c r="AA75" s="17">
        <v>1</v>
      </c>
      <c r="AB75" s="1">
        <f t="shared" si="8"/>
        <v>0</v>
      </c>
      <c r="AC75" s="1">
        <f t="shared" si="9"/>
        <v>0</v>
      </c>
      <c r="AD75" s="1">
        <f t="shared" si="10"/>
        <v>1</v>
      </c>
    </row>
    <row r="76" spans="19:30">
      <c r="S76" s="17">
        <v>11</v>
      </c>
      <c r="T76" s="18"/>
      <c r="U76" s="17">
        <v>2</v>
      </c>
      <c r="V76" s="17" t="s">
        <v>107</v>
      </c>
      <c r="W76" s="18">
        <v>1</v>
      </c>
      <c r="X76" s="18" t="s">
        <v>342</v>
      </c>
      <c r="Y76" s="18">
        <f t="shared" si="7"/>
        <v>3</v>
      </c>
      <c r="Z76" s="17" t="s">
        <v>81</v>
      </c>
      <c r="AA76" s="17">
        <v>1</v>
      </c>
      <c r="AB76" s="1">
        <f t="shared" si="8"/>
        <v>0</v>
      </c>
      <c r="AC76" s="1">
        <f t="shared" si="9"/>
        <v>0</v>
      </c>
      <c r="AD76" s="1">
        <f t="shared" si="10"/>
        <v>1</v>
      </c>
    </row>
    <row r="77" spans="19:30">
      <c r="S77" s="17">
        <v>12</v>
      </c>
      <c r="T77" s="18"/>
      <c r="U77" s="17">
        <v>1</v>
      </c>
      <c r="V77" s="17" t="s">
        <v>107</v>
      </c>
      <c r="W77" s="18">
        <v>1</v>
      </c>
      <c r="X77" s="18" t="s">
        <v>342</v>
      </c>
      <c r="Y77" s="18">
        <f t="shared" si="7"/>
        <v>3</v>
      </c>
      <c r="Z77" s="17" t="s">
        <v>39</v>
      </c>
      <c r="AA77" s="17">
        <v>2</v>
      </c>
      <c r="AB77" s="1">
        <f t="shared" si="8"/>
        <v>0</v>
      </c>
      <c r="AC77" s="1">
        <f t="shared" si="9"/>
        <v>0</v>
      </c>
      <c r="AD77" s="1">
        <f t="shared" si="10"/>
        <v>1</v>
      </c>
    </row>
    <row r="78" spans="19:30">
      <c r="S78" s="17">
        <v>13</v>
      </c>
      <c r="T78" s="18"/>
      <c r="U78" s="17">
        <v>1</v>
      </c>
      <c r="V78" s="17" t="s">
        <v>107</v>
      </c>
      <c r="W78" s="18">
        <v>2</v>
      </c>
      <c r="X78" s="18" t="s">
        <v>342</v>
      </c>
      <c r="Y78" s="18">
        <f t="shared" si="7"/>
        <v>2</v>
      </c>
      <c r="Z78" s="17" t="s">
        <v>111</v>
      </c>
      <c r="AA78" s="17">
        <v>2</v>
      </c>
      <c r="AB78" s="1">
        <f t="shared" si="8"/>
        <v>0</v>
      </c>
      <c r="AC78" s="1">
        <f t="shared" si="9"/>
        <v>1</v>
      </c>
      <c r="AD78" s="1">
        <f t="shared" si="10"/>
        <v>0</v>
      </c>
    </row>
    <row r="79" spans="19:30">
      <c r="S79" s="17">
        <v>14</v>
      </c>
      <c r="T79" s="18"/>
      <c r="U79" s="17">
        <v>2</v>
      </c>
      <c r="V79" s="17" t="s">
        <v>107</v>
      </c>
      <c r="W79" s="18">
        <v>2</v>
      </c>
      <c r="X79" s="18" t="s">
        <v>342</v>
      </c>
      <c r="Y79" s="18">
        <f t="shared" si="7"/>
        <v>2</v>
      </c>
      <c r="Z79" s="17" t="s">
        <v>27</v>
      </c>
      <c r="AA79" s="17">
        <v>1</v>
      </c>
      <c r="AB79" s="1">
        <f t="shared" si="8"/>
        <v>0</v>
      </c>
      <c r="AC79" s="1">
        <f t="shared" si="9"/>
        <v>1</v>
      </c>
      <c r="AD79" s="1">
        <f t="shared" si="10"/>
        <v>0</v>
      </c>
    </row>
    <row r="80" spans="19:30">
      <c r="S80" s="17">
        <v>15</v>
      </c>
      <c r="T80" s="18"/>
      <c r="U80" s="17">
        <v>2</v>
      </c>
      <c r="V80" s="17" t="s">
        <v>107</v>
      </c>
      <c r="W80" s="18">
        <v>1</v>
      </c>
      <c r="X80" s="18" t="s">
        <v>342</v>
      </c>
      <c r="Y80" s="18">
        <f t="shared" si="7"/>
        <v>3</v>
      </c>
      <c r="Z80" s="17" t="s">
        <v>97</v>
      </c>
      <c r="AA80" s="17">
        <v>1</v>
      </c>
      <c r="AB80" s="1">
        <f t="shared" si="8"/>
        <v>0</v>
      </c>
      <c r="AC80" s="1">
        <f t="shared" si="9"/>
        <v>0</v>
      </c>
      <c r="AD80" s="1">
        <f t="shared" si="10"/>
        <v>1</v>
      </c>
    </row>
    <row r="81" spans="19:30" ht="12.75" customHeight="1">
      <c r="S81" s="58" t="s">
        <v>339</v>
      </c>
      <c r="T81" s="58" t="s">
        <v>340</v>
      </c>
      <c r="U81" s="58" t="s">
        <v>341</v>
      </c>
      <c r="V81" s="58" t="s">
        <v>1</v>
      </c>
      <c r="W81" s="69" t="s">
        <v>220</v>
      </c>
      <c r="X81" s="70"/>
      <c r="Y81" s="71"/>
      <c r="Z81" s="58" t="s">
        <v>1</v>
      </c>
      <c r="AA81" s="58" t="s">
        <v>341</v>
      </c>
      <c r="AB81" s="1">
        <f t="shared" si="8"/>
        <v>1</v>
      </c>
      <c r="AC81" s="1">
        <f t="shared" si="9"/>
        <v>0</v>
      </c>
      <c r="AD81" s="1">
        <f t="shared" si="10"/>
        <v>0</v>
      </c>
    </row>
    <row r="82" spans="19:30">
      <c r="S82" s="17">
        <v>1</v>
      </c>
      <c r="T82" s="18"/>
      <c r="U82" s="17">
        <v>1</v>
      </c>
      <c r="V82" s="17" t="s">
        <v>97</v>
      </c>
      <c r="W82" s="18">
        <v>2</v>
      </c>
      <c r="X82" s="18" t="s">
        <v>342</v>
      </c>
      <c r="Y82" s="18">
        <f>IF(W82="","",4-W82)</f>
        <v>2</v>
      </c>
      <c r="Z82" s="17" t="s">
        <v>69</v>
      </c>
      <c r="AA82" s="17">
        <v>2</v>
      </c>
      <c r="AB82" s="1">
        <f t="shared" si="8"/>
        <v>0</v>
      </c>
      <c r="AC82" s="1">
        <f t="shared" si="9"/>
        <v>1</v>
      </c>
      <c r="AD82" s="1">
        <f t="shared" si="10"/>
        <v>0</v>
      </c>
    </row>
    <row r="83" spans="19:30">
      <c r="S83" s="17">
        <v>2</v>
      </c>
      <c r="T83" s="18"/>
      <c r="U83" s="17">
        <v>1</v>
      </c>
      <c r="V83" s="17" t="s">
        <v>97</v>
      </c>
      <c r="W83" s="18">
        <v>3</v>
      </c>
      <c r="X83" s="18" t="s">
        <v>342</v>
      </c>
      <c r="Y83" s="18">
        <f t="shared" ref="Y83:Y96" si="11">IF(W83="","",4-W83)</f>
        <v>1</v>
      </c>
      <c r="Z83" s="17" t="s">
        <v>53</v>
      </c>
      <c r="AA83" s="17">
        <v>2</v>
      </c>
      <c r="AB83" s="1">
        <f t="shared" si="8"/>
        <v>1</v>
      </c>
      <c r="AC83" s="1">
        <f t="shared" si="9"/>
        <v>0</v>
      </c>
      <c r="AD83" s="1">
        <f t="shared" si="10"/>
        <v>0</v>
      </c>
    </row>
    <row r="84" spans="19:30">
      <c r="S84" s="17">
        <v>3</v>
      </c>
      <c r="T84" s="18"/>
      <c r="U84" s="17">
        <v>2</v>
      </c>
      <c r="V84" s="17" t="s">
        <v>97</v>
      </c>
      <c r="W84" s="18">
        <v>3</v>
      </c>
      <c r="X84" s="18" t="s">
        <v>342</v>
      </c>
      <c r="Y84" s="18">
        <f t="shared" si="11"/>
        <v>1</v>
      </c>
      <c r="Z84" s="17" t="s">
        <v>119</v>
      </c>
      <c r="AA84" s="17">
        <v>1</v>
      </c>
      <c r="AB84" s="1">
        <f t="shared" si="8"/>
        <v>1</v>
      </c>
      <c r="AC84" s="1">
        <f t="shared" si="9"/>
        <v>0</v>
      </c>
      <c r="AD84" s="1">
        <f t="shared" si="10"/>
        <v>0</v>
      </c>
    </row>
    <row r="85" spans="19:30">
      <c r="S85" s="17">
        <v>4</v>
      </c>
      <c r="T85" s="18"/>
      <c r="U85" s="17">
        <v>1</v>
      </c>
      <c r="V85" s="17" t="s">
        <v>97</v>
      </c>
      <c r="W85" s="18">
        <v>4</v>
      </c>
      <c r="X85" s="18" t="s">
        <v>342</v>
      </c>
      <c r="Y85" s="18">
        <f t="shared" si="11"/>
        <v>0</v>
      </c>
      <c r="Z85" s="17" t="s">
        <v>117</v>
      </c>
      <c r="AA85" s="17">
        <v>2</v>
      </c>
      <c r="AB85" s="1">
        <f t="shared" si="8"/>
        <v>1</v>
      </c>
      <c r="AC85" s="1">
        <f t="shared" si="9"/>
        <v>0</v>
      </c>
      <c r="AD85" s="1">
        <f t="shared" si="10"/>
        <v>0</v>
      </c>
    </row>
    <row r="86" spans="19:30">
      <c r="S86" s="17">
        <v>5</v>
      </c>
      <c r="T86" s="18"/>
      <c r="U86" s="17">
        <v>2</v>
      </c>
      <c r="V86" s="17" t="s">
        <v>97</v>
      </c>
      <c r="W86" s="18">
        <v>3</v>
      </c>
      <c r="X86" s="18" t="s">
        <v>342</v>
      </c>
      <c r="Y86" s="18">
        <f t="shared" si="11"/>
        <v>1</v>
      </c>
      <c r="Z86" s="17" t="s">
        <v>85</v>
      </c>
      <c r="AA86" s="17">
        <v>1</v>
      </c>
      <c r="AB86" s="1">
        <f t="shared" si="8"/>
        <v>1</v>
      </c>
      <c r="AC86" s="1">
        <f t="shared" si="9"/>
        <v>0</v>
      </c>
      <c r="AD86" s="1">
        <f t="shared" si="10"/>
        <v>0</v>
      </c>
    </row>
    <row r="87" spans="19:30" ht="12.75" customHeight="1">
      <c r="S87" s="17">
        <v>6</v>
      </c>
      <c r="T87" s="18"/>
      <c r="U87" s="17">
        <v>2</v>
      </c>
      <c r="V87" s="17" t="s">
        <v>97</v>
      </c>
      <c r="W87" s="18">
        <v>4</v>
      </c>
      <c r="X87" s="18" t="s">
        <v>342</v>
      </c>
      <c r="Y87" s="18">
        <f t="shared" si="11"/>
        <v>0</v>
      </c>
      <c r="Z87" s="17" t="s">
        <v>343</v>
      </c>
      <c r="AA87" s="17">
        <v>1</v>
      </c>
      <c r="AB87" s="1">
        <f t="shared" si="8"/>
        <v>1</v>
      </c>
      <c r="AC87" s="1">
        <f t="shared" si="9"/>
        <v>0</v>
      </c>
      <c r="AD87" s="1">
        <f t="shared" si="10"/>
        <v>0</v>
      </c>
    </row>
    <row r="88" spans="19:30">
      <c r="S88" s="17">
        <v>7</v>
      </c>
      <c r="T88" s="18"/>
      <c r="U88" s="17">
        <v>2</v>
      </c>
      <c r="V88" s="17" t="s">
        <v>97</v>
      </c>
      <c r="W88" s="18">
        <v>4</v>
      </c>
      <c r="X88" s="18" t="s">
        <v>342</v>
      </c>
      <c r="Y88" s="18">
        <f t="shared" si="11"/>
        <v>0</v>
      </c>
      <c r="Z88" s="17" t="s">
        <v>14</v>
      </c>
      <c r="AA88" s="17">
        <v>1</v>
      </c>
      <c r="AB88" s="1">
        <f t="shared" si="8"/>
        <v>1</v>
      </c>
      <c r="AC88" s="1">
        <f t="shared" si="9"/>
        <v>0</v>
      </c>
      <c r="AD88" s="1">
        <f t="shared" si="10"/>
        <v>0</v>
      </c>
    </row>
    <row r="89" spans="19:30">
      <c r="S89" s="17">
        <v>8</v>
      </c>
      <c r="T89" s="18"/>
      <c r="U89" s="17">
        <v>1</v>
      </c>
      <c r="V89" s="17" t="s">
        <v>97</v>
      </c>
      <c r="W89" s="18">
        <v>4</v>
      </c>
      <c r="X89" s="18" t="s">
        <v>342</v>
      </c>
      <c r="Y89" s="18">
        <f t="shared" si="11"/>
        <v>0</v>
      </c>
      <c r="Z89" s="17" t="s">
        <v>21</v>
      </c>
      <c r="AA89" s="17">
        <v>2</v>
      </c>
      <c r="AB89" s="1">
        <f t="shared" si="8"/>
        <v>1</v>
      </c>
      <c r="AC89" s="1">
        <f t="shared" si="9"/>
        <v>0</v>
      </c>
      <c r="AD89" s="1">
        <f t="shared" si="10"/>
        <v>0</v>
      </c>
    </row>
    <row r="90" spans="19:30">
      <c r="S90" s="17">
        <v>9</v>
      </c>
      <c r="T90" s="18"/>
      <c r="U90" s="17">
        <v>1</v>
      </c>
      <c r="V90" s="17" t="s">
        <v>97</v>
      </c>
      <c r="W90" s="18">
        <v>0</v>
      </c>
      <c r="X90" s="18" t="s">
        <v>342</v>
      </c>
      <c r="Y90" s="18">
        <f t="shared" si="11"/>
        <v>4</v>
      </c>
      <c r="Z90" s="17" t="s">
        <v>29</v>
      </c>
      <c r="AA90" s="17">
        <v>2</v>
      </c>
      <c r="AB90" s="1">
        <f t="shared" si="8"/>
        <v>0</v>
      </c>
      <c r="AC90" s="1">
        <f t="shared" si="9"/>
        <v>0</v>
      </c>
      <c r="AD90" s="1">
        <f t="shared" si="10"/>
        <v>1</v>
      </c>
    </row>
    <row r="91" spans="19:30">
      <c r="S91" s="17">
        <v>10</v>
      </c>
      <c r="T91" s="18"/>
      <c r="U91" s="17">
        <v>1</v>
      </c>
      <c r="V91" s="17" t="s">
        <v>97</v>
      </c>
      <c r="W91" s="18">
        <v>2</v>
      </c>
      <c r="X91" s="18" t="s">
        <v>342</v>
      </c>
      <c r="Y91" s="18">
        <f t="shared" si="11"/>
        <v>2</v>
      </c>
      <c r="Z91" s="17" t="s">
        <v>125</v>
      </c>
      <c r="AA91" s="17">
        <v>2</v>
      </c>
      <c r="AB91" s="1">
        <f t="shared" si="8"/>
        <v>0</v>
      </c>
      <c r="AC91" s="1">
        <f t="shared" si="9"/>
        <v>1</v>
      </c>
      <c r="AD91" s="1">
        <f t="shared" si="10"/>
        <v>0</v>
      </c>
    </row>
    <row r="92" spans="19:30">
      <c r="S92" s="17">
        <v>11</v>
      </c>
      <c r="T92" s="18"/>
      <c r="U92" s="17">
        <v>1</v>
      </c>
      <c r="V92" s="17" t="s">
        <v>97</v>
      </c>
      <c r="W92" s="18">
        <v>1</v>
      </c>
      <c r="X92" s="18" t="s">
        <v>342</v>
      </c>
      <c r="Y92" s="18">
        <f t="shared" si="11"/>
        <v>3</v>
      </c>
      <c r="Z92" s="17" t="s">
        <v>39</v>
      </c>
      <c r="AA92" s="17">
        <v>2</v>
      </c>
      <c r="AB92" s="1">
        <f t="shared" si="8"/>
        <v>0</v>
      </c>
      <c r="AC92" s="1">
        <f t="shared" si="9"/>
        <v>0</v>
      </c>
      <c r="AD92" s="1">
        <f t="shared" si="10"/>
        <v>1</v>
      </c>
    </row>
    <row r="93" spans="19:30">
      <c r="S93" s="17">
        <v>12</v>
      </c>
      <c r="T93" s="18"/>
      <c r="U93" s="17">
        <v>1</v>
      </c>
      <c r="V93" s="17" t="s">
        <v>97</v>
      </c>
      <c r="W93" s="18">
        <v>0</v>
      </c>
      <c r="X93" s="18" t="s">
        <v>342</v>
      </c>
      <c r="Y93" s="18">
        <f t="shared" si="11"/>
        <v>4</v>
      </c>
      <c r="Z93" s="17" t="s">
        <v>81</v>
      </c>
      <c r="AA93" s="17">
        <v>2</v>
      </c>
      <c r="AB93" s="1">
        <f t="shared" si="8"/>
        <v>0</v>
      </c>
      <c r="AC93" s="1">
        <f t="shared" si="9"/>
        <v>0</v>
      </c>
      <c r="AD93" s="1">
        <f t="shared" si="10"/>
        <v>1</v>
      </c>
    </row>
    <row r="94" spans="19:30">
      <c r="S94" s="17">
        <v>13</v>
      </c>
      <c r="T94" s="18"/>
      <c r="U94" s="17">
        <v>1</v>
      </c>
      <c r="V94" s="17" t="s">
        <v>97</v>
      </c>
      <c r="W94" s="18">
        <v>1</v>
      </c>
      <c r="X94" s="18" t="s">
        <v>342</v>
      </c>
      <c r="Y94" s="18">
        <f t="shared" si="11"/>
        <v>3</v>
      </c>
      <c r="Z94" s="17" t="s">
        <v>27</v>
      </c>
      <c r="AA94" s="17">
        <v>2</v>
      </c>
      <c r="AB94" s="1">
        <f t="shared" si="8"/>
        <v>0</v>
      </c>
      <c r="AC94" s="1">
        <f t="shared" si="9"/>
        <v>0</v>
      </c>
      <c r="AD94" s="1">
        <f t="shared" si="10"/>
        <v>1</v>
      </c>
    </row>
    <row r="95" spans="19:30">
      <c r="S95" s="17">
        <v>14</v>
      </c>
      <c r="T95" s="18"/>
      <c r="U95" s="17">
        <v>1</v>
      </c>
      <c r="V95" s="17" t="s">
        <v>97</v>
      </c>
      <c r="W95" s="18">
        <v>2</v>
      </c>
      <c r="X95" s="18" t="s">
        <v>342</v>
      </c>
      <c r="Y95" s="18">
        <f t="shared" si="11"/>
        <v>2</v>
      </c>
      <c r="Z95" s="17" t="s">
        <v>111</v>
      </c>
      <c r="AA95" s="17">
        <v>2</v>
      </c>
      <c r="AB95" s="1">
        <f t="shared" si="8"/>
        <v>0</v>
      </c>
      <c r="AC95" s="1">
        <f t="shared" si="9"/>
        <v>1</v>
      </c>
      <c r="AD95" s="1">
        <f t="shared" si="10"/>
        <v>0</v>
      </c>
    </row>
    <row r="96" spans="19:30">
      <c r="S96" s="17">
        <v>15</v>
      </c>
      <c r="T96" s="18"/>
      <c r="U96" s="17">
        <v>1</v>
      </c>
      <c r="V96" s="17" t="s">
        <v>97</v>
      </c>
      <c r="W96" s="18">
        <v>3</v>
      </c>
      <c r="X96" s="18" t="s">
        <v>342</v>
      </c>
      <c r="Y96" s="18">
        <f t="shared" si="11"/>
        <v>1</v>
      </c>
      <c r="Z96" s="17" t="s">
        <v>107</v>
      </c>
      <c r="AA96" s="17">
        <v>2</v>
      </c>
      <c r="AB96" s="1">
        <f t="shared" si="8"/>
        <v>1</v>
      </c>
      <c r="AC96" s="1">
        <f t="shared" si="9"/>
        <v>0</v>
      </c>
      <c r="AD96" s="1">
        <f t="shared" si="10"/>
        <v>0</v>
      </c>
    </row>
    <row r="97" spans="19:30" ht="12.75" customHeight="1">
      <c r="S97" s="58" t="s">
        <v>339</v>
      </c>
      <c r="T97" s="58" t="s">
        <v>340</v>
      </c>
      <c r="U97" s="58" t="s">
        <v>341</v>
      </c>
      <c r="V97" s="58" t="s">
        <v>1</v>
      </c>
      <c r="W97" s="69" t="s">
        <v>220</v>
      </c>
      <c r="X97" s="70"/>
      <c r="Y97" s="71"/>
      <c r="Z97" s="58" t="s">
        <v>1</v>
      </c>
      <c r="AA97" s="58" t="s">
        <v>341</v>
      </c>
      <c r="AB97" s="1">
        <f t="shared" si="8"/>
        <v>1</v>
      </c>
      <c r="AC97" s="1">
        <f t="shared" si="9"/>
        <v>0</v>
      </c>
      <c r="AD97" s="1">
        <f t="shared" si="10"/>
        <v>0</v>
      </c>
    </row>
    <row r="98" spans="19:30">
      <c r="S98" s="17">
        <v>1</v>
      </c>
      <c r="T98" s="18"/>
      <c r="U98" s="17">
        <v>1</v>
      </c>
      <c r="V98" s="17" t="s">
        <v>27</v>
      </c>
      <c r="W98" s="18">
        <v>3</v>
      </c>
      <c r="X98" s="18" t="s">
        <v>342</v>
      </c>
      <c r="Y98" s="18">
        <f>IF(W98="","",4-W98)</f>
        <v>1</v>
      </c>
      <c r="Z98" s="17" t="s">
        <v>117</v>
      </c>
      <c r="AA98" s="17">
        <v>2</v>
      </c>
      <c r="AB98" s="1">
        <f t="shared" si="8"/>
        <v>1</v>
      </c>
      <c r="AC98" s="1">
        <f t="shared" si="9"/>
        <v>0</v>
      </c>
      <c r="AD98" s="1">
        <f t="shared" si="10"/>
        <v>0</v>
      </c>
    </row>
    <row r="99" spans="19:30">
      <c r="S99" s="17">
        <v>2</v>
      </c>
      <c r="T99" s="18"/>
      <c r="U99" s="17">
        <v>1</v>
      </c>
      <c r="V99" s="17" t="s">
        <v>27</v>
      </c>
      <c r="W99" s="18">
        <v>4</v>
      </c>
      <c r="X99" s="18" t="s">
        <v>342</v>
      </c>
      <c r="Y99" s="18">
        <f t="shared" ref="Y99:Y112" si="12">IF(W99="","",4-W99)</f>
        <v>0</v>
      </c>
      <c r="Z99" s="17" t="s">
        <v>119</v>
      </c>
      <c r="AA99" s="17">
        <v>2</v>
      </c>
      <c r="AB99" s="1">
        <f t="shared" si="8"/>
        <v>1</v>
      </c>
      <c r="AC99" s="1">
        <f t="shared" si="9"/>
        <v>0</v>
      </c>
      <c r="AD99" s="1">
        <f t="shared" si="10"/>
        <v>0</v>
      </c>
    </row>
    <row r="100" spans="19:30">
      <c r="S100" s="17">
        <v>3</v>
      </c>
      <c r="T100" s="18"/>
      <c r="U100" s="17">
        <v>1</v>
      </c>
      <c r="V100" s="17" t="s">
        <v>27</v>
      </c>
      <c r="W100" s="18">
        <v>4</v>
      </c>
      <c r="X100" s="18" t="s">
        <v>342</v>
      </c>
      <c r="Y100" s="18">
        <f t="shared" si="12"/>
        <v>0</v>
      </c>
      <c r="Z100" s="17" t="s">
        <v>53</v>
      </c>
      <c r="AA100" s="17">
        <v>2</v>
      </c>
      <c r="AB100" s="1">
        <f t="shared" si="8"/>
        <v>1</v>
      </c>
      <c r="AC100" s="1">
        <f t="shared" si="9"/>
        <v>0</v>
      </c>
      <c r="AD100" s="1">
        <f t="shared" si="10"/>
        <v>0</v>
      </c>
    </row>
    <row r="101" spans="19:30">
      <c r="S101" s="17">
        <v>4</v>
      </c>
      <c r="T101" s="18"/>
      <c r="U101" s="17">
        <v>1</v>
      </c>
      <c r="V101" s="17" t="s">
        <v>27</v>
      </c>
      <c r="W101" s="18">
        <v>3</v>
      </c>
      <c r="X101" s="18" t="s">
        <v>342</v>
      </c>
      <c r="Y101" s="18">
        <f t="shared" si="12"/>
        <v>1</v>
      </c>
      <c r="Z101" s="17" t="s">
        <v>69</v>
      </c>
      <c r="AA101" s="17">
        <v>2</v>
      </c>
      <c r="AB101" s="1">
        <f t="shared" si="8"/>
        <v>1</v>
      </c>
      <c r="AC101" s="1">
        <f t="shared" si="9"/>
        <v>0</v>
      </c>
      <c r="AD101" s="1">
        <f t="shared" si="10"/>
        <v>0</v>
      </c>
    </row>
    <row r="102" spans="19:30">
      <c r="S102" s="17">
        <v>5</v>
      </c>
      <c r="T102" s="18"/>
      <c r="U102" s="17">
        <v>2</v>
      </c>
      <c r="V102" s="17" t="s">
        <v>27</v>
      </c>
      <c r="W102" s="18">
        <v>3</v>
      </c>
      <c r="X102" s="18" t="s">
        <v>342</v>
      </c>
      <c r="Y102" s="18">
        <f t="shared" si="12"/>
        <v>1</v>
      </c>
      <c r="Z102" s="17" t="s">
        <v>21</v>
      </c>
      <c r="AA102" s="17">
        <v>1</v>
      </c>
      <c r="AB102" s="1">
        <f t="shared" si="8"/>
        <v>1</v>
      </c>
      <c r="AC102" s="1">
        <f t="shared" si="9"/>
        <v>0</v>
      </c>
      <c r="AD102" s="1">
        <f t="shared" si="10"/>
        <v>0</v>
      </c>
    </row>
    <row r="103" spans="19:30">
      <c r="S103" s="17">
        <v>6</v>
      </c>
      <c r="T103" s="18"/>
      <c r="U103" s="17">
        <v>2</v>
      </c>
      <c r="V103" s="17" t="s">
        <v>27</v>
      </c>
      <c r="W103" s="18">
        <v>4</v>
      </c>
      <c r="X103" s="18" t="s">
        <v>342</v>
      </c>
      <c r="Y103" s="18">
        <f t="shared" si="12"/>
        <v>0</v>
      </c>
      <c r="Z103" s="17" t="s">
        <v>14</v>
      </c>
      <c r="AA103" s="17">
        <v>1</v>
      </c>
      <c r="AB103" s="1">
        <f t="shared" si="8"/>
        <v>1</v>
      </c>
      <c r="AC103" s="1">
        <f t="shared" si="9"/>
        <v>0</v>
      </c>
      <c r="AD103" s="1">
        <f t="shared" si="10"/>
        <v>0</v>
      </c>
    </row>
    <row r="104" spans="19:30" ht="12.75" customHeight="1">
      <c r="S104" s="17">
        <v>7</v>
      </c>
      <c r="T104" s="18"/>
      <c r="U104" s="17">
        <v>1</v>
      </c>
      <c r="V104" s="17" t="s">
        <v>27</v>
      </c>
      <c r="W104" s="18">
        <v>4</v>
      </c>
      <c r="X104" s="18" t="s">
        <v>342</v>
      </c>
      <c r="Y104" s="18">
        <f t="shared" si="12"/>
        <v>0</v>
      </c>
      <c r="Z104" s="17" t="s">
        <v>343</v>
      </c>
      <c r="AA104" s="17">
        <v>2</v>
      </c>
      <c r="AB104" s="1">
        <f t="shared" si="8"/>
        <v>1</v>
      </c>
      <c r="AC104" s="1">
        <f t="shared" si="9"/>
        <v>0</v>
      </c>
      <c r="AD104" s="1">
        <f t="shared" si="10"/>
        <v>0</v>
      </c>
    </row>
    <row r="105" spans="19:30">
      <c r="S105" s="17">
        <v>8</v>
      </c>
      <c r="T105" s="18"/>
      <c r="U105" s="17">
        <v>2</v>
      </c>
      <c r="V105" s="17" t="s">
        <v>27</v>
      </c>
      <c r="W105" s="18">
        <v>4</v>
      </c>
      <c r="X105" s="18" t="s">
        <v>342</v>
      </c>
      <c r="Y105" s="18">
        <f t="shared" si="12"/>
        <v>0</v>
      </c>
      <c r="Z105" s="17" t="s">
        <v>85</v>
      </c>
      <c r="AA105" s="17">
        <v>1</v>
      </c>
      <c r="AB105" s="1">
        <f t="shared" si="8"/>
        <v>1</v>
      </c>
      <c r="AC105" s="1">
        <f t="shared" si="9"/>
        <v>0</v>
      </c>
      <c r="AD105" s="1">
        <f t="shared" si="10"/>
        <v>0</v>
      </c>
    </row>
    <row r="106" spans="19:30">
      <c r="S106" s="17">
        <v>9</v>
      </c>
      <c r="T106" s="18"/>
      <c r="U106" s="17">
        <v>1</v>
      </c>
      <c r="V106" s="17" t="s">
        <v>27</v>
      </c>
      <c r="W106" s="18">
        <v>0</v>
      </c>
      <c r="X106" s="18" t="s">
        <v>342</v>
      </c>
      <c r="Y106" s="18">
        <f t="shared" si="12"/>
        <v>4</v>
      </c>
      <c r="Z106" s="17" t="s">
        <v>81</v>
      </c>
      <c r="AA106" s="17">
        <v>2</v>
      </c>
      <c r="AB106" s="1">
        <f t="shared" si="8"/>
        <v>0</v>
      </c>
      <c r="AC106" s="1">
        <f t="shared" si="9"/>
        <v>0</v>
      </c>
      <c r="AD106" s="1">
        <f t="shared" si="10"/>
        <v>1</v>
      </c>
    </row>
    <row r="107" spans="19:30">
      <c r="S107" s="17">
        <v>10</v>
      </c>
      <c r="T107" s="18"/>
      <c r="U107" s="17">
        <v>1</v>
      </c>
      <c r="V107" s="17" t="s">
        <v>27</v>
      </c>
      <c r="W107" s="18">
        <v>2</v>
      </c>
      <c r="X107" s="18" t="s">
        <v>342</v>
      </c>
      <c r="Y107" s="18">
        <f t="shared" si="12"/>
        <v>2</v>
      </c>
      <c r="Z107" s="17" t="s">
        <v>39</v>
      </c>
      <c r="AA107" s="17">
        <v>2</v>
      </c>
      <c r="AB107" s="1">
        <f t="shared" si="8"/>
        <v>0</v>
      </c>
      <c r="AC107" s="1">
        <f t="shared" si="9"/>
        <v>1</v>
      </c>
      <c r="AD107" s="1">
        <f t="shared" si="10"/>
        <v>0</v>
      </c>
    </row>
    <row r="108" spans="19:30">
      <c r="S108" s="17">
        <v>11</v>
      </c>
      <c r="T108" s="18"/>
      <c r="U108" s="17">
        <v>2</v>
      </c>
      <c r="V108" s="17" t="s">
        <v>27</v>
      </c>
      <c r="W108" s="18">
        <v>1</v>
      </c>
      <c r="X108" s="18" t="s">
        <v>342</v>
      </c>
      <c r="Y108" s="18">
        <f t="shared" si="12"/>
        <v>3</v>
      </c>
      <c r="Z108" s="17" t="s">
        <v>125</v>
      </c>
      <c r="AA108" s="17">
        <v>1</v>
      </c>
      <c r="AB108" s="1">
        <f t="shared" si="8"/>
        <v>0</v>
      </c>
      <c r="AC108" s="1">
        <f t="shared" si="9"/>
        <v>0</v>
      </c>
      <c r="AD108" s="1">
        <f t="shared" si="10"/>
        <v>1</v>
      </c>
    </row>
    <row r="109" spans="19:30">
      <c r="S109" s="17">
        <v>12</v>
      </c>
      <c r="T109" s="18"/>
      <c r="U109" s="17">
        <v>1</v>
      </c>
      <c r="V109" s="17" t="s">
        <v>27</v>
      </c>
      <c r="W109" s="18">
        <v>2</v>
      </c>
      <c r="X109" s="18" t="s">
        <v>342</v>
      </c>
      <c r="Y109" s="18">
        <f t="shared" si="12"/>
        <v>2</v>
      </c>
      <c r="Z109" s="17" t="s">
        <v>29</v>
      </c>
      <c r="AA109" s="17">
        <v>2</v>
      </c>
      <c r="AB109" s="1">
        <f t="shared" si="8"/>
        <v>0</v>
      </c>
      <c r="AC109" s="1">
        <f t="shared" si="9"/>
        <v>1</v>
      </c>
      <c r="AD109" s="1">
        <f t="shared" si="10"/>
        <v>0</v>
      </c>
    </row>
    <row r="110" spans="19:30">
      <c r="S110" s="17">
        <v>13</v>
      </c>
      <c r="T110" s="18"/>
      <c r="U110" s="17">
        <v>2</v>
      </c>
      <c r="V110" s="17" t="s">
        <v>27</v>
      </c>
      <c r="W110" s="18">
        <v>3</v>
      </c>
      <c r="X110" s="18" t="s">
        <v>342</v>
      </c>
      <c r="Y110" s="18">
        <f t="shared" si="12"/>
        <v>1</v>
      </c>
      <c r="Z110" s="17" t="s">
        <v>97</v>
      </c>
      <c r="AA110" s="17">
        <v>1</v>
      </c>
      <c r="AB110" s="1">
        <f t="shared" si="8"/>
        <v>1</v>
      </c>
      <c r="AC110" s="1">
        <f t="shared" si="9"/>
        <v>0</v>
      </c>
      <c r="AD110" s="1">
        <f t="shared" si="10"/>
        <v>0</v>
      </c>
    </row>
    <row r="111" spans="19:30">
      <c r="S111" s="17">
        <v>14</v>
      </c>
      <c r="T111" s="18"/>
      <c r="U111" s="17">
        <v>1</v>
      </c>
      <c r="V111" s="17" t="s">
        <v>27</v>
      </c>
      <c r="W111" s="18">
        <v>2</v>
      </c>
      <c r="X111" s="18" t="s">
        <v>342</v>
      </c>
      <c r="Y111" s="18">
        <f t="shared" si="12"/>
        <v>2</v>
      </c>
      <c r="Z111" s="17" t="s">
        <v>107</v>
      </c>
      <c r="AA111" s="17">
        <v>2</v>
      </c>
      <c r="AB111" s="1">
        <f t="shared" si="8"/>
        <v>0</v>
      </c>
      <c r="AC111" s="1">
        <f t="shared" si="9"/>
        <v>1</v>
      </c>
      <c r="AD111" s="1">
        <f t="shared" si="10"/>
        <v>0</v>
      </c>
    </row>
    <row r="112" spans="19:30">
      <c r="S112" s="17">
        <v>15</v>
      </c>
      <c r="T112" s="18"/>
      <c r="U112" s="17">
        <v>2</v>
      </c>
      <c r="V112" s="17" t="s">
        <v>27</v>
      </c>
      <c r="W112" s="18">
        <v>3</v>
      </c>
      <c r="X112" s="18" t="s">
        <v>342</v>
      </c>
      <c r="Y112" s="18">
        <f t="shared" si="12"/>
        <v>1</v>
      </c>
      <c r="Z112" s="17" t="s">
        <v>111</v>
      </c>
      <c r="AA112" s="17">
        <v>1</v>
      </c>
      <c r="AB112" s="1">
        <f t="shared" si="8"/>
        <v>1</v>
      </c>
      <c r="AC112" s="1">
        <f t="shared" si="9"/>
        <v>0</v>
      </c>
      <c r="AD112" s="1">
        <f t="shared" si="10"/>
        <v>0</v>
      </c>
    </row>
    <row r="113" spans="19:30" ht="12.75" customHeight="1">
      <c r="S113" s="58" t="s">
        <v>339</v>
      </c>
      <c r="T113" s="58" t="s">
        <v>340</v>
      </c>
      <c r="U113" s="58" t="s">
        <v>341</v>
      </c>
      <c r="V113" s="58" t="s">
        <v>1</v>
      </c>
      <c r="W113" s="69" t="s">
        <v>220</v>
      </c>
      <c r="X113" s="70"/>
      <c r="Y113" s="71"/>
      <c r="Z113" s="58" t="s">
        <v>1</v>
      </c>
      <c r="AA113" s="58" t="s">
        <v>341</v>
      </c>
      <c r="AB113" s="1">
        <f t="shared" si="8"/>
        <v>1</v>
      </c>
      <c r="AC113" s="1">
        <f t="shared" si="9"/>
        <v>0</v>
      </c>
      <c r="AD113" s="1">
        <f t="shared" si="10"/>
        <v>0</v>
      </c>
    </row>
    <row r="114" spans="19:30">
      <c r="S114" s="17">
        <v>1</v>
      </c>
      <c r="T114" s="18"/>
      <c r="U114" s="17">
        <v>1</v>
      </c>
      <c r="V114" s="17" t="s">
        <v>111</v>
      </c>
      <c r="W114" s="18">
        <v>2</v>
      </c>
      <c r="X114" s="18" t="s">
        <v>342</v>
      </c>
      <c r="Y114" s="18">
        <f>IF(W114="","",4-W114)</f>
        <v>2</v>
      </c>
      <c r="Z114" s="17" t="s">
        <v>119</v>
      </c>
      <c r="AA114" s="17">
        <v>2</v>
      </c>
      <c r="AB114" s="1">
        <f t="shared" si="8"/>
        <v>0</v>
      </c>
      <c r="AC114" s="1">
        <f t="shared" si="9"/>
        <v>1</v>
      </c>
      <c r="AD114" s="1">
        <f t="shared" si="10"/>
        <v>0</v>
      </c>
    </row>
    <row r="115" spans="19:30">
      <c r="S115" s="17">
        <v>2</v>
      </c>
      <c r="T115" s="18"/>
      <c r="U115" s="17">
        <v>1</v>
      </c>
      <c r="V115" s="17" t="s">
        <v>111</v>
      </c>
      <c r="W115" s="18">
        <v>2</v>
      </c>
      <c r="X115" s="18" t="s">
        <v>342</v>
      </c>
      <c r="Y115" s="18">
        <f t="shared" ref="Y115:Y128" si="13">IF(W115="","",4-W115)</f>
        <v>2</v>
      </c>
      <c r="Z115" s="17" t="s">
        <v>117</v>
      </c>
      <c r="AA115" s="17">
        <v>2</v>
      </c>
      <c r="AB115" s="1">
        <f t="shared" si="8"/>
        <v>0</v>
      </c>
      <c r="AC115" s="1">
        <f t="shared" si="9"/>
        <v>1</v>
      </c>
      <c r="AD115" s="1">
        <f t="shared" si="10"/>
        <v>0</v>
      </c>
    </row>
    <row r="116" spans="19:30">
      <c r="S116" s="17">
        <v>3</v>
      </c>
      <c r="T116" s="18"/>
      <c r="U116" s="17">
        <v>1</v>
      </c>
      <c r="V116" s="17" t="s">
        <v>111</v>
      </c>
      <c r="W116" s="18">
        <v>3</v>
      </c>
      <c r="X116" s="18" t="s">
        <v>342</v>
      </c>
      <c r="Y116" s="18">
        <f t="shared" si="13"/>
        <v>1</v>
      </c>
      <c r="Z116" s="17" t="s">
        <v>69</v>
      </c>
      <c r="AA116" s="17">
        <v>2</v>
      </c>
      <c r="AB116" s="1">
        <f t="shared" si="8"/>
        <v>1</v>
      </c>
      <c r="AC116" s="1">
        <f t="shared" si="9"/>
        <v>0</v>
      </c>
      <c r="AD116" s="1">
        <f t="shared" si="10"/>
        <v>0</v>
      </c>
    </row>
    <row r="117" spans="19:30">
      <c r="S117" s="17">
        <v>4</v>
      </c>
      <c r="T117" s="18"/>
      <c r="U117" s="17">
        <v>1</v>
      </c>
      <c r="V117" s="17" t="s">
        <v>111</v>
      </c>
      <c r="W117" s="18">
        <v>4</v>
      </c>
      <c r="X117" s="18" t="s">
        <v>342</v>
      </c>
      <c r="Y117" s="18">
        <f t="shared" si="13"/>
        <v>0</v>
      </c>
      <c r="Z117" s="17" t="s">
        <v>53</v>
      </c>
      <c r="AA117" s="17">
        <v>2</v>
      </c>
      <c r="AB117" s="1">
        <f t="shared" si="8"/>
        <v>1</v>
      </c>
      <c r="AC117" s="1">
        <f t="shared" si="9"/>
        <v>0</v>
      </c>
      <c r="AD117" s="1">
        <f t="shared" si="10"/>
        <v>0</v>
      </c>
    </row>
    <row r="118" spans="19:30">
      <c r="S118" s="17">
        <v>5</v>
      </c>
      <c r="T118" s="18"/>
      <c r="U118" s="17">
        <v>2</v>
      </c>
      <c r="V118" s="17" t="s">
        <v>111</v>
      </c>
      <c r="W118" s="18">
        <v>4</v>
      </c>
      <c r="X118" s="18" t="s">
        <v>342</v>
      </c>
      <c r="Y118" s="18">
        <f t="shared" si="13"/>
        <v>0</v>
      </c>
      <c r="Z118" s="17" t="s">
        <v>14</v>
      </c>
      <c r="AA118" s="17">
        <v>1</v>
      </c>
      <c r="AB118" s="1">
        <f t="shared" si="8"/>
        <v>1</v>
      </c>
      <c r="AC118" s="1">
        <f t="shared" si="9"/>
        <v>0</v>
      </c>
      <c r="AD118" s="1">
        <f t="shared" si="10"/>
        <v>0</v>
      </c>
    </row>
    <row r="119" spans="19:30">
      <c r="S119" s="17">
        <v>6</v>
      </c>
      <c r="T119" s="18"/>
      <c r="U119" s="17">
        <v>1</v>
      </c>
      <c r="V119" s="17" t="s">
        <v>111</v>
      </c>
      <c r="W119" s="18">
        <v>4</v>
      </c>
      <c r="X119" s="18" t="s">
        <v>342</v>
      </c>
      <c r="Y119" s="18">
        <f t="shared" si="13"/>
        <v>0</v>
      </c>
      <c r="Z119" s="17" t="s">
        <v>21</v>
      </c>
      <c r="AA119" s="17">
        <v>2</v>
      </c>
      <c r="AB119" s="1">
        <f t="shared" si="8"/>
        <v>1</v>
      </c>
      <c r="AC119" s="1">
        <f t="shared" si="9"/>
        <v>0</v>
      </c>
      <c r="AD119" s="1">
        <f t="shared" si="10"/>
        <v>0</v>
      </c>
    </row>
    <row r="120" spans="19:30">
      <c r="S120" s="17">
        <v>7</v>
      </c>
      <c r="T120" s="18"/>
      <c r="U120" s="17">
        <v>2</v>
      </c>
      <c r="V120" s="17" t="s">
        <v>111</v>
      </c>
      <c r="W120" s="18">
        <v>4</v>
      </c>
      <c r="X120" s="18" t="s">
        <v>342</v>
      </c>
      <c r="Y120" s="18">
        <f t="shared" si="13"/>
        <v>0</v>
      </c>
      <c r="Z120" s="17" t="s">
        <v>85</v>
      </c>
      <c r="AA120" s="17">
        <v>1</v>
      </c>
      <c r="AB120" s="1">
        <f t="shared" si="8"/>
        <v>1</v>
      </c>
      <c r="AC120" s="1">
        <f t="shared" si="9"/>
        <v>0</v>
      </c>
      <c r="AD120" s="1">
        <f t="shared" si="10"/>
        <v>0</v>
      </c>
    </row>
    <row r="121" spans="19:30" ht="12.75" customHeight="1">
      <c r="S121" s="17">
        <v>8</v>
      </c>
      <c r="T121" s="18"/>
      <c r="U121" s="17">
        <v>1</v>
      </c>
      <c r="V121" s="17" t="s">
        <v>111</v>
      </c>
      <c r="W121" s="18">
        <v>4</v>
      </c>
      <c r="X121" s="18" t="s">
        <v>342</v>
      </c>
      <c r="Y121" s="18">
        <f t="shared" si="13"/>
        <v>0</v>
      </c>
      <c r="Z121" s="17" t="s">
        <v>343</v>
      </c>
      <c r="AA121" s="17">
        <v>2</v>
      </c>
      <c r="AB121" s="1">
        <f t="shared" si="8"/>
        <v>1</v>
      </c>
      <c r="AC121" s="1">
        <f t="shared" si="9"/>
        <v>0</v>
      </c>
      <c r="AD121" s="1">
        <f t="shared" si="10"/>
        <v>0</v>
      </c>
    </row>
    <row r="122" spans="19:30">
      <c r="S122" s="17">
        <v>9</v>
      </c>
      <c r="T122" s="18"/>
      <c r="U122" s="17">
        <v>2</v>
      </c>
      <c r="V122" s="17" t="s">
        <v>111</v>
      </c>
      <c r="W122" s="18">
        <v>0</v>
      </c>
      <c r="X122" s="18" t="s">
        <v>342</v>
      </c>
      <c r="Y122" s="18">
        <f t="shared" si="13"/>
        <v>4</v>
      </c>
      <c r="Z122" s="17" t="s">
        <v>39</v>
      </c>
      <c r="AA122" s="17">
        <v>1</v>
      </c>
      <c r="AB122" s="1">
        <f t="shared" si="8"/>
        <v>0</v>
      </c>
      <c r="AC122" s="1">
        <f t="shared" si="9"/>
        <v>0</v>
      </c>
      <c r="AD122" s="1">
        <f t="shared" si="10"/>
        <v>1</v>
      </c>
    </row>
    <row r="123" spans="19:30">
      <c r="S123" s="17">
        <v>10</v>
      </c>
      <c r="T123" s="18"/>
      <c r="U123" s="17">
        <v>1</v>
      </c>
      <c r="V123" s="17" t="s">
        <v>111</v>
      </c>
      <c r="W123" s="18">
        <v>0</v>
      </c>
      <c r="X123" s="18" t="s">
        <v>342</v>
      </c>
      <c r="Y123" s="18">
        <f t="shared" si="13"/>
        <v>4</v>
      </c>
      <c r="Z123" s="17" t="s">
        <v>81</v>
      </c>
      <c r="AA123" s="17">
        <v>2</v>
      </c>
      <c r="AB123" s="1">
        <f t="shared" si="8"/>
        <v>0</v>
      </c>
      <c r="AC123" s="1">
        <f t="shared" si="9"/>
        <v>0</v>
      </c>
      <c r="AD123" s="1">
        <f t="shared" si="10"/>
        <v>1</v>
      </c>
    </row>
    <row r="124" spans="19:30">
      <c r="S124" s="17">
        <v>11</v>
      </c>
      <c r="T124" s="18"/>
      <c r="U124" s="17">
        <v>1</v>
      </c>
      <c r="V124" s="17" t="s">
        <v>111</v>
      </c>
      <c r="W124" s="18">
        <v>0</v>
      </c>
      <c r="X124" s="18" t="s">
        <v>342</v>
      </c>
      <c r="Y124" s="18">
        <f t="shared" si="13"/>
        <v>4</v>
      </c>
      <c r="Z124" s="17" t="s">
        <v>29</v>
      </c>
      <c r="AA124" s="17">
        <v>2</v>
      </c>
      <c r="AB124" s="1">
        <f t="shared" si="8"/>
        <v>0</v>
      </c>
      <c r="AC124" s="1">
        <f t="shared" si="9"/>
        <v>0</v>
      </c>
      <c r="AD124" s="1">
        <f t="shared" si="10"/>
        <v>1</v>
      </c>
    </row>
    <row r="125" spans="19:30">
      <c r="S125" s="17">
        <v>12</v>
      </c>
      <c r="T125" s="18"/>
      <c r="U125" s="17">
        <v>1</v>
      </c>
      <c r="V125" s="17" t="s">
        <v>111</v>
      </c>
      <c r="W125" s="18">
        <v>2</v>
      </c>
      <c r="X125" s="18" t="s">
        <v>342</v>
      </c>
      <c r="Y125" s="18">
        <f t="shared" si="13"/>
        <v>2</v>
      </c>
      <c r="Z125" s="17" t="s">
        <v>125</v>
      </c>
      <c r="AA125" s="17">
        <v>2</v>
      </c>
      <c r="AB125" s="1">
        <f t="shared" si="8"/>
        <v>0</v>
      </c>
      <c r="AC125" s="1">
        <f t="shared" si="9"/>
        <v>1</v>
      </c>
      <c r="AD125" s="1">
        <f t="shared" si="10"/>
        <v>0</v>
      </c>
    </row>
    <row r="126" spans="19:30">
      <c r="S126" s="17">
        <v>13</v>
      </c>
      <c r="T126" s="18"/>
      <c r="U126" s="17">
        <v>2</v>
      </c>
      <c r="V126" s="17" t="s">
        <v>111</v>
      </c>
      <c r="W126" s="18">
        <v>2</v>
      </c>
      <c r="X126" s="18" t="s">
        <v>342</v>
      </c>
      <c r="Y126" s="18">
        <f t="shared" si="13"/>
        <v>2</v>
      </c>
      <c r="Z126" s="17" t="s">
        <v>107</v>
      </c>
      <c r="AA126" s="17">
        <v>1</v>
      </c>
      <c r="AB126" s="1">
        <f t="shared" si="8"/>
        <v>0</v>
      </c>
      <c r="AC126" s="1">
        <f t="shared" si="9"/>
        <v>1</v>
      </c>
      <c r="AD126" s="1">
        <f t="shared" si="10"/>
        <v>0</v>
      </c>
    </row>
    <row r="127" spans="19:30">
      <c r="S127" s="17">
        <v>14</v>
      </c>
      <c r="T127" s="18"/>
      <c r="U127" s="17">
        <v>2</v>
      </c>
      <c r="V127" s="17" t="s">
        <v>111</v>
      </c>
      <c r="W127" s="18">
        <v>2</v>
      </c>
      <c r="X127" s="18" t="s">
        <v>342</v>
      </c>
      <c r="Y127" s="18">
        <f t="shared" si="13"/>
        <v>2</v>
      </c>
      <c r="Z127" s="17" t="s">
        <v>97</v>
      </c>
      <c r="AA127" s="17">
        <v>1</v>
      </c>
      <c r="AB127" s="1">
        <f t="shared" si="8"/>
        <v>0</v>
      </c>
      <c r="AC127" s="1">
        <f t="shared" si="9"/>
        <v>1</v>
      </c>
      <c r="AD127" s="1">
        <f t="shared" si="10"/>
        <v>0</v>
      </c>
    </row>
    <row r="128" spans="19:30">
      <c r="S128" s="17">
        <v>15</v>
      </c>
      <c r="T128" s="18"/>
      <c r="U128" s="17">
        <v>1</v>
      </c>
      <c r="V128" s="17" t="s">
        <v>111</v>
      </c>
      <c r="W128" s="18">
        <v>1</v>
      </c>
      <c r="X128" s="18" t="s">
        <v>342</v>
      </c>
      <c r="Y128" s="18">
        <f t="shared" si="13"/>
        <v>3</v>
      </c>
      <c r="Z128" s="17" t="s">
        <v>27</v>
      </c>
      <c r="AA128" s="17">
        <v>2</v>
      </c>
      <c r="AB128" s="1">
        <f t="shared" si="8"/>
        <v>0</v>
      </c>
      <c r="AC128" s="1">
        <f t="shared" si="9"/>
        <v>0</v>
      </c>
      <c r="AD128" s="1">
        <f t="shared" si="10"/>
        <v>1</v>
      </c>
    </row>
    <row r="129" spans="19:30" ht="12.75" customHeight="1">
      <c r="S129" s="58" t="s">
        <v>339</v>
      </c>
      <c r="T129" s="58" t="s">
        <v>340</v>
      </c>
      <c r="U129" s="58" t="s">
        <v>341</v>
      </c>
      <c r="V129" s="58" t="s">
        <v>1</v>
      </c>
      <c r="W129" s="69" t="s">
        <v>220</v>
      </c>
      <c r="X129" s="70"/>
      <c r="Y129" s="71"/>
      <c r="Z129" s="58" t="s">
        <v>1</v>
      </c>
      <c r="AA129" s="58" t="s">
        <v>341</v>
      </c>
      <c r="AB129" s="1">
        <f t="shared" si="8"/>
        <v>1</v>
      </c>
      <c r="AC129" s="1">
        <f t="shared" si="9"/>
        <v>0</v>
      </c>
      <c r="AD129" s="1">
        <f t="shared" si="10"/>
        <v>0</v>
      </c>
    </row>
    <row r="130" spans="19:30">
      <c r="S130" s="17">
        <v>1</v>
      </c>
      <c r="T130" s="18"/>
      <c r="U130" s="17">
        <v>2</v>
      </c>
      <c r="V130" s="17" t="s">
        <v>119</v>
      </c>
      <c r="W130" s="18">
        <v>2</v>
      </c>
      <c r="X130" s="18" t="s">
        <v>342</v>
      </c>
      <c r="Y130" s="18">
        <f>IF(W130="","",4-W130)</f>
        <v>2</v>
      </c>
      <c r="Z130" s="17" t="s">
        <v>111</v>
      </c>
      <c r="AA130" s="17">
        <v>1</v>
      </c>
      <c r="AB130" s="1">
        <f t="shared" si="8"/>
        <v>0</v>
      </c>
      <c r="AC130" s="1">
        <f t="shared" si="9"/>
        <v>1</v>
      </c>
      <c r="AD130" s="1">
        <f t="shared" si="10"/>
        <v>0</v>
      </c>
    </row>
    <row r="131" spans="19:30">
      <c r="S131" s="17">
        <v>2</v>
      </c>
      <c r="T131" s="18"/>
      <c r="U131" s="17">
        <v>2</v>
      </c>
      <c r="V131" s="17" t="s">
        <v>119</v>
      </c>
      <c r="W131" s="18">
        <v>0</v>
      </c>
      <c r="X131" s="18" t="s">
        <v>342</v>
      </c>
      <c r="Y131" s="18">
        <f t="shared" ref="Y131:Y144" si="14">IF(W131="","",4-W131)</f>
        <v>4</v>
      </c>
      <c r="Z131" s="17" t="s">
        <v>27</v>
      </c>
      <c r="AA131" s="17">
        <v>1</v>
      </c>
      <c r="AB131" s="1">
        <f t="shared" ref="AB131:AB194" si="15">IF(W131="",0,IF(W131&gt;Y131,1,0))</f>
        <v>0</v>
      </c>
      <c r="AC131" s="1">
        <f t="shared" ref="AC131:AC194" si="16">IF(W131="",0,IF(W131=Y131,1,0))</f>
        <v>0</v>
      </c>
      <c r="AD131" s="1">
        <f t="shared" ref="AD131:AD194" si="17">IF(W131="",0,IF(W131&lt;Y131,1,0))</f>
        <v>1</v>
      </c>
    </row>
    <row r="132" spans="19:30">
      <c r="S132" s="17">
        <v>3</v>
      </c>
      <c r="T132" s="18"/>
      <c r="U132" s="17">
        <v>1</v>
      </c>
      <c r="V132" s="17" t="s">
        <v>119</v>
      </c>
      <c r="W132" s="18">
        <v>1</v>
      </c>
      <c r="X132" s="18" t="s">
        <v>342</v>
      </c>
      <c r="Y132" s="18">
        <f t="shared" si="14"/>
        <v>3</v>
      </c>
      <c r="Z132" s="17" t="s">
        <v>97</v>
      </c>
      <c r="AA132" s="17">
        <v>2</v>
      </c>
      <c r="AB132" s="1">
        <f t="shared" si="15"/>
        <v>0</v>
      </c>
      <c r="AC132" s="1">
        <f t="shared" si="16"/>
        <v>0</v>
      </c>
      <c r="AD132" s="1">
        <f t="shared" si="17"/>
        <v>1</v>
      </c>
    </row>
    <row r="133" spans="19:30">
      <c r="S133" s="17">
        <v>4</v>
      </c>
      <c r="T133" s="18"/>
      <c r="U133" s="17">
        <v>2</v>
      </c>
      <c r="V133" s="17" t="s">
        <v>119</v>
      </c>
      <c r="W133" s="18">
        <v>0</v>
      </c>
      <c r="X133" s="18" t="s">
        <v>342</v>
      </c>
      <c r="Y133" s="18">
        <f t="shared" si="14"/>
        <v>4</v>
      </c>
      <c r="Z133" s="17" t="s">
        <v>107</v>
      </c>
      <c r="AA133" s="17">
        <v>1</v>
      </c>
      <c r="AB133" s="1">
        <f t="shared" si="15"/>
        <v>0</v>
      </c>
      <c r="AC133" s="1">
        <f t="shared" si="16"/>
        <v>0</v>
      </c>
      <c r="AD133" s="1">
        <f t="shared" si="17"/>
        <v>1</v>
      </c>
    </row>
    <row r="134" spans="19:30">
      <c r="S134" s="17">
        <v>5</v>
      </c>
      <c r="T134" s="18"/>
      <c r="U134" s="17">
        <v>1</v>
      </c>
      <c r="V134" s="17" t="s">
        <v>119</v>
      </c>
      <c r="W134" s="18">
        <v>1</v>
      </c>
      <c r="X134" s="18" t="s">
        <v>342</v>
      </c>
      <c r="Y134" s="18">
        <f t="shared" si="14"/>
        <v>3</v>
      </c>
      <c r="Z134" s="17" t="s">
        <v>125</v>
      </c>
      <c r="AA134" s="17">
        <v>2</v>
      </c>
      <c r="AB134" s="1">
        <f t="shared" si="15"/>
        <v>0</v>
      </c>
      <c r="AC134" s="1">
        <f t="shared" si="16"/>
        <v>0</v>
      </c>
      <c r="AD134" s="1">
        <f t="shared" si="17"/>
        <v>1</v>
      </c>
    </row>
    <row r="135" spans="19:30">
      <c r="S135" s="17">
        <v>6</v>
      </c>
      <c r="T135" s="18"/>
      <c r="U135" s="17">
        <v>1</v>
      </c>
      <c r="V135" s="17" t="s">
        <v>119</v>
      </c>
      <c r="W135" s="18">
        <v>0</v>
      </c>
      <c r="X135" s="18" t="s">
        <v>342</v>
      </c>
      <c r="Y135" s="18">
        <f t="shared" si="14"/>
        <v>4</v>
      </c>
      <c r="Z135" s="17" t="s">
        <v>29</v>
      </c>
      <c r="AA135" s="17">
        <v>2</v>
      </c>
      <c r="AB135" s="1">
        <f t="shared" si="15"/>
        <v>0</v>
      </c>
      <c r="AC135" s="1">
        <f t="shared" si="16"/>
        <v>0</v>
      </c>
      <c r="AD135" s="1">
        <f t="shared" si="17"/>
        <v>1</v>
      </c>
    </row>
    <row r="136" spans="19:30">
      <c r="S136" s="17">
        <v>7</v>
      </c>
      <c r="T136" s="18"/>
      <c r="U136" s="17">
        <v>2</v>
      </c>
      <c r="V136" s="17" t="s">
        <v>119</v>
      </c>
      <c r="W136" s="18">
        <v>0</v>
      </c>
      <c r="X136" s="18" t="s">
        <v>342</v>
      </c>
      <c r="Y136" s="18">
        <f t="shared" si="14"/>
        <v>4</v>
      </c>
      <c r="Z136" s="17" t="s">
        <v>81</v>
      </c>
      <c r="AA136" s="17">
        <v>1</v>
      </c>
      <c r="AB136" s="1">
        <f t="shared" si="15"/>
        <v>0</v>
      </c>
      <c r="AC136" s="1">
        <f t="shared" si="16"/>
        <v>0</v>
      </c>
      <c r="AD136" s="1">
        <f t="shared" si="17"/>
        <v>1</v>
      </c>
    </row>
    <row r="137" spans="19:30">
      <c r="S137" s="17">
        <v>8</v>
      </c>
      <c r="T137" s="18"/>
      <c r="U137" s="17">
        <v>2</v>
      </c>
      <c r="V137" s="17" t="s">
        <v>119</v>
      </c>
      <c r="W137" s="18">
        <v>0</v>
      </c>
      <c r="X137" s="18" t="s">
        <v>342</v>
      </c>
      <c r="Y137" s="18">
        <f t="shared" si="14"/>
        <v>4</v>
      </c>
      <c r="Z137" s="17" t="s">
        <v>39</v>
      </c>
      <c r="AA137" s="17">
        <v>1</v>
      </c>
      <c r="AB137" s="1">
        <f t="shared" si="15"/>
        <v>0</v>
      </c>
      <c r="AC137" s="1">
        <f t="shared" si="16"/>
        <v>0</v>
      </c>
      <c r="AD137" s="1">
        <f t="shared" si="17"/>
        <v>1</v>
      </c>
    </row>
    <row r="138" spans="19:30" ht="12.75" customHeight="1">
      <c r="S138" s="17">
        <v>9</v>
      </c>
      <c r="T138" s="18"/>
      <c r="U138" s="17">
        <v>1</v>
      </c>
      <c r="V138" s="17" t="s">
        <v>119</v>
      </c>
      <c r="W138" s="18">
        <v>4</v>
      </c>
      <c r="X138" s="18" t="s">
        <v>342</v>
      </c>
      <c r="Y138" s="18">
        <f t="shared" si="14"/>
        <v>0</v>
      </c>
      <c r="Z138" s="17" t="s">
        <v>343</v>
      </c>
      <c r="AA138" s="17">
        <v>2</v>
      </c>
      <c r="AB138" s="1">
        <f t="shared" si="15"/>
        <v>1</v>
      </c>
      <c r="AC138" s="1">
        <f t="shared" si="16"/>
        <v>0</v>
      </c>
      <c r="AD138" s="1">
        <f t="shared" si="17"/>
        <v>0</v>
      </c>
    </row>
    <row r="139" spans="19:30">
      <c r="S139" s="17">
        <v>10</v>
      </c>
      <c r="T139" s="18"/>
      <c r="U139" s="17">
        <v>2</v>
      </c>
      <c r="V139" s="17" t="s">
        <v>119</v>
      </c>
      <c r="W139" s="18">
        <v>4</v>
      </c>
      <c r="X139" s="18" t="s">
        <v>342</v>
      </c>
      <c r="Y139" s="18">
        <f t="shared" si="14"/>
        <v>0</v>
      </c>
      <c r="Z139" s="17" t="s">
        <v>85</v>
      </c>
      <c r="AA139" s="17">
        <v>1</v>
      </c>
      <c r="AB139" s="1">
        <f t="shared" si="15"/>
        <v>1</v>
      </c>
      <c r="AC139" s="1">
        <f t="shared" si="16"/>
        <v>0</v>
      </c>
      <c r="AD139" s="1">
        <f t="shared" si="17"/>
        <v>0</v>
      </c>
    </row>
    <row r="140" spans="19:30">
      <c r="S140" s="17">
        <v>11</v>
      </c>
      <c r="T140" s="18"/>
      <c r="U140" s="17">
        <v>2</v>
      </c>
      <c r="V140" s="17" t="s">
        <v>119</v>
      </c>
      <c r="W140" s="18">
        <v>4</v>
      </c>
      <c r="X140" s="18" t="s">
        <v>342</v>
      </c>
      <c r="Y140" s="18">
        <f t="shared" si="14"/>
        <v>0</v>
      </c>
      <c r="Z140" s="17" t="s">
        <v>21</v>
      </c>
      <c r="AA140" s="17">
        <v>1</v>
      </c>
      <c r="AB140" s="1">
        <f t="shared" si="15"/>
        <v>1</v>
      </c>
      <c r="AC140" s="1">
        <f t="shared" si="16"/>
        <v>0</v>
      </c>
      <c r="AD140" s="1">
        <f t="shared" si="17"/>
        <v>0</v>
      </c>
    </row>
    <row r="141" spans="19:30">
      <c r="S141" s="17">
        <v>12</v>
      </c>
      <c r="T141" s="18"/>
      <c r="U141" s="17">
        <v>2</v>
      </c>
      <c r="V141" s="17" t="s">
        <v>119</v>
      </c>
      <c r="W141" s="18">
        <v>4</v>
      </c>
      <c r="X141" s="18" t="s">
        <v>342</v>
      </c>
      <c r="Y141" s="18">
        <f t="shared" si="14"/>
        <v>0</v>
      </c>
      <c r="Z141" s="17" t="s">
        <v>14</v>
      </c>
      <c r="AA141" s="17">
        <v>1</v>
      </c>
      <c r="AB141" s="1">
        <f t="shared" si="15"/>
        <v>1</v>
      </c>
      <c r="AC141" s="1">
        <f t="shared" si="16"/>
        <v>0</v>
      </c>
      <c r="AD141" s="1">
        <f t="shared" si="17"/>
        <v>0</v>
      </c>
    </row>
    <row r="142" spans="19:30">
      <c r="S142" s="17">
        <v>13</v>
      </c>
      <c r="T142" s="18"/>
      <c r="U142" s="17">
        <v>2</v>
      </c>
      <c r="V142" s="17" t="s">
        <v>119</v>
      </c>
      <c r="W142" s="18">
        <v>3</v>
      </c>
      <c r="X142" s="18" t="s">
        <v>342</v>
      </c>
      <c r="Y142" s="18">
        <f t="shared" si="14"/>
        <v>1</v>
      </c>
      <c r="Z142" s="17" t="s">
        <v>53</v>
      </c>
      <c r="AA142" s="17">
        <v>1</v>
      </c>
      <c r="AB142" s="1">
        <f t="shared" si="15"/>
        <v>1</v>
      </c>
      <c r="AC142" s="1">
        <f t="shared" si="16"/>
        <v>0</v>
      </c>
      <c r="AD142" s="1">
        <f t="shared" si="17"/>
        <v>0</v>
      </c>
    </row>
    <row r="143" spans="19:30">
      <c r="S143" s="17">
        <v>14</v>
      </c>
      <c r="T143" s="18"/>
      <c r="U143" s="17">
        <v>2</v>
      </c>
      <c r="V143" s="17" t="s">
        <v>119</v>
      </c>
      <c r="W143" s="18">
        <v>2</v>
      </c>
      <c r="X143" s="18" t="s">
        <v>342</v>
      </c>
      <c r="Y143" s="18">
        <f t="shared" si="14"/>
        <v>2</v>
      </c>
      <c r="Z143" s="17" t="s">
        <v>69</v>
      </c>
      <c r="AA143" s="17">
        <v>1</v>
      </c>
      <c r="AB143" s="1">
        <f t="shared" si="15"/>
        <v>0</v>
      </c>
      <c r="AC143" s="1">
        <f t="shared" si="16"/>
        <v>1</v>
      </c>
      <c r="AD143" s="1">
        <f t="shared" si="17"/>
        <v>0</v>
      </c>
    </row>
    <row r="144" spans="19:30">
      <c r="S144" s="17">
        <v>15</v>
      </c>
      <c r="T144" s="18"/>
      <c r="U144" s="17">
        <v>2</v>
      </c>
      <c r="V144" s="17" t="s">
        <v>119</v>
      </c>
      <c r="W144" s="18">
        <v>1</v>
      </c>
      <c r="X144" s="18" t="s">
        <v>342</v>
      </c>
      <c r="Y144" s="18">
        <f t="shared" si="14"/>
        <v>3</v>
      </c>
      <c r="Z144" s="17" t="s">
        <v>117</v>
      </c>
      <c r="AA144" s="17">
        <v>1</v>
      </c>
      <c r="AB144" s="1">
        <f t="shared" si="15"/>
        <v>0</v>
      </c>
      <c r="AC144" s="1">
        <f t="shared" si="16"/>
        <v>0</v>
      </c>
      <c r="AD144" s="1">
        <f t="shared" si="17"/>
        <v>1</v>
      </c>
    </row>
    <row r="145" spans="19:30" ht="12.75" customHeight="1">
      <c r="S145" s="58" t="s">
        <v>339</v>
      </c>
      <c r="T145" s="58" t="s">
        <v>340</v>
      </c>
      <c r="U145" s="58" t="s">
        <v>341</v>
      </c>
      <c r="V145" s="58" t="s">
        <v>1</v>
      </c>
      <c r="W145" s="69" t="s">
        <v>220</v>
      </c>
      <c r="X145" s="70"/>
      <c r="Y145" s="71"/>
      <c r="Z145" s="58" t="s">
        <v>1</v>
      </c>
      <c r="AA145" s="58" t="s">
        <v>341</v>
      </c>
      <c r="AB145" s="1">
        <f t="shared" si="15"/>
        <v>1</v>
      </c>
      <c r="AC145" s="1">
        <f t="shared" si="16"/>
        <v>0</v>
      </c>
      <c r="AD145" s="1">
        <f t="shared" si="17"/>
        <v>0</v>
      </c>
    </row>
    <row r="146" spans="19:30">
      <c r="S146" s="17">
        <v>1</v>
      </c>
      <c r="T146" s="18"/>
      <c r="U146" s="17">
        <v>2</v>
      </c>
      <c r="V146" s="17" t="s">
        <v>117</v>
      </c>
      <c r="W146" s="18">
        <v>1</v>
      </c>
      <c r="X146" s="18" t="s">
        <v>342</v>
      </c>
      <c r="Y146" s="18">
        <f>IF(W146="","",4-W146)</f>
        <v>3</v>
      </c>
      <c r="Z146" s="17" t="s">
        <v>27</v>
      </c>
      <c r="AA146" s="17">
        <v>1</v>
      </c>
      <c r="AB146" s="1">
        <f t="shared" si="15"/>
        <v>0</v>
      </c>
      <c r="AC146" s="1">
        <f t="shared" si="16"/>
        <v>0</v>
      </c>
      <c r="AD146" s="1">
        <f t="shared" si="17"/>
        <v>1</v>
      </c>
    </row>
    <row r="147" spans="19:30">
      <c r="S147" s="17">
        <v>2</v>
      </c>
      <c r="T147" s="18"/>
      <c r="U147" s="17">
        <v>2</v>
      </c>
      <c r="V147" s="17" t="s">
        <v>117</v>
      </c>
      <c r="W147" s="18">
        <v>2</v>
      </c>
      <c r="X147" s="18" t="s">
        <v>342</v>
      </c>
      <c r="Y147" s="18">
        <f t="shared" ref="Y147:Y160" si="18">IF(W147="","",4-W147)</f>
        <v>2</v>
      </c>
      <c r="Z147" s="17" t="s">
        <v>111</v>
      </c>
      <c r="AA147" s="17">
        <v>1</v>
      </c>
      <c r="AB147" s="1">
        <f t="shared" si="15"/>
        <v>0</v>
      </c>
      <c r="AC147" s="1">
        <f t="shared" si="16"/>
        <v>1</v>
      </c>
      <c r="AD147" s="1">
        <f t="shared" si="17"/>
        <v>0</v>
      </c>
    </row>
    <row r="148" spans="19:30">
      <c r="S148" s="17">
        <v>3</v>
      </c>
      <c r="T148" s="18"/>
      <c r="U148" s="17">
        <v>1</v>
      </c>
      <c r="V148" s="17" t="s">
        <v>117</v>
      </c>
      <c r="W148" s="18">
        <v>0</v>
      </c>
      <c r="X148" s="18" t="s">
        <v>342</v>
      </c>
      <c r="Y148" s="18">
        <f t="shared" si="18"/>
        <v>4</v>
      </c>
      <c r="Z148" s="17" t="s">
        <v>107</v>
      </c>
      <c r="AA148" s="17">
        <v>2</v>
      </c>
      <c r="AB148" s="1">
        <f t="shared" si="15"/>
        <v>0</v>
      </c>
      <c r="AC148" s="1">
        <f t="shared" si="16"/>
        <v>0</v>
      </c>
      <c r="AD148" s="1">
        <f t="shared" si="17"/>
        <v>1</v>
      </c>
    </row>
    <row r="149" spans="19:30">
      <c r="S149" s="17">
        <v>4</v>
      </c>
      <c r="T149" s="18"/>
      <c r="U149" s="17">
        <v>2</v>
      </c>
      <c r="V149" s="17" t="s">
        <v>117</v>
      </c>
      <c r="W149" s="18">
        <v>0</v>
      </c>
      <c r="X149" s="18" t="s">
        <v>342</v>
      </c>
      <c r="Y149" s="18">
        <f t="shared" si="18"/>
        <v>4</v>
      </c>
      <c r="Z149" s="17" t="s">
        <v>97</v>
      </c>
      <c r="AA149" s="17">
        <v>1</v>
      </c>
      <c r="AB149" s="1">
        <f t="shared" si="15"/>
        <v>0</v>
      </c>
      <c r="AC149" s="1">
        <f t="shared" si="16"/>
        <v>0</v>
      </c>
      <c r="AD149" s="1">
        <f t="shared" si="17"/>
        <v>1</v>
      </c>
    </row>
    <row r="150" spans="19:30">
      <c r="S150" s="17">
        <v>5</v>
      </c>
      <c r="T150" s="18"/>
      <c r="U150" s="17">
        <v>2</v>
      </c>
      <c r="V150" s="17" t="s">
        <v>117</v>
      </c>
      <c r="W150" s="18">
        <v>0</v>
      </c>
      <c r="X150" s="18" t="s">
        <v>342</v>
      </c>
      <c r="Y150" s="18">
        <f t="shared" si="18"/>
        <v>4</v>
      </c>
      <c r="Z150" s="17" t="s">
        <v>29</v>
      </c>
      <c r="AA150" s="17">
        <v>1</v>
      </c>
      <c r="AB150" s="1">
        <f t="shared" si="15"/>
        <v>0</v>
      </c>
      <c r="AC150" s="1">
        <f t="shared" si="16"/>
        <v>0</v>
      </c>
      <c r="AD150" s="1">
        <f t="shared" si="17"/>
        <v>1</v>
      </c>
    </row>
    <row r="151" spans="19:30">
      <c r="S151" s="17">
        <v>6</v>
      </c>
      <c r="T151" s="18"/>
      <c r="U151" s="17">
        <v>1</v>
      </c>
      <c r="V151" s="17" t="s">
        <v>117</v>
      </c>
      <c r="W151" s="18">
        <v>0</v>
      </c>
      <c r="X151" s="18" t="s">
        <v>342</v>
      </c>
      <c r="Y151" s="18">
        <f t="shared" si="18"/>
        <v>4</v>
      </c>
      <c r="Z151" s="17" t="s">
        <v>125</v>
      </c>
      <c r="AA151" s="17">
        <v>2</v>
      </c>
      <c r="AB151" s="1">
        <f t="shared" si="15"/>
        <v>0</v>
      </c>
      <c r="AC151" s="1">
        <f t="shared" si="16"/>
        <v>0</v>
      </c>
      <c r="AD151" s="1">
        <f t="shared" si="17"/>
        <v>1</v>
      </c>
    </row>
    <row r="152" spans="19:30">
      <c r="S152" s="17">
        <v>7</v>
      </c>
      <c r="T152" s="18"/>
      <c r="U152" s="17">
        <v>2</v>
      </c>
      <c r="V152" s="17" t="s">
        <v>117</v>
      </c>
      <c r="W152" s="18">
        <v>0</v>
      </c>
      <c r="X152" s="18" t="s">
        <v>342</v>
      </c>
      <c r="Y152" s="18">
        <f t="shared" si="18"/>
        <v>4</v>
      </c>
      <c r="Z152" s="17" t="s">
        <v>39</v>
      </c>
      <c r="AA152" s="17">
        <v>1</v>
      </c>
      <c r="AB152" s="1">
        <f t="shared" si="15"/>
        <v>0</v>
      </c>
      <c r="AC152" s="1">
        <f t="shared" si="16"/>
        <v>0</v>
      </c>
      <c r="AD152" s="1">
        <f t="shared" si="17"/>
        <v>1</v>
      </c>
    </row>
    <row r="153" spans="19:30">
      <c r="S153" s="17">
        <v>8</v>
      </c>
      <c r="T153" s="18"/>
      <c r="U153" s="17">
        <v>2</v>
      </c>
      <c r="V153" s="17" t="s">
        <v>117</v>
      </c>
      <c r="W153" s="18">
        <v>1</v>
      </c>
      <c r="X153" s="18" t="s">
        <v>342</v>
      </c>
      <c r="Y153" s="18">
        <f t="shared" si="18"/>
        <v>3</v>
      </c>
      <c r="Z153" s="17" t="s">
        <v>81</v>
      </c>
      <c r="AA153" s="17">
        <v>1</v>
      </c>
      <c r="AB153" s="1">
        <f t="shared" si="15"/>
        <v>0</v>
      </c>
      <c r="AC153" s="1">
        <f t="shared" si="16"/>
        <v>0</v>
      </c>
      <c r="AD153" s="1">
        <f t="shared" si="17"/>
        <v>1</v>
      </c>
    </row>
    <row r="154" spans="19:30">
      <c r="S154" s="17">
        <v>9</v>
      </c>
      <c r="T154" s="18"/>
      <c r="U154" s="17">
        <v>1</v>
      </c>
      <c r="V154" s="17" t="s">
        <v>117</v>
      </c>
      <c r="W154" s="18">
        <v>3</v>
      </c>
      <c r="X154" s="18" t="s">
        <v>342</v>
      </c>
      <c r="Y154" s="18">
        <f t="shared" si="18"/>
        <v>1</v>
      </c>
      <c r="Z154" s="17" t="s">
        <v>85</v>
      </c>
      <c r="AA154" s="17">
        <v>2</v>
      </c>
      <c r="AB154" s="1">
        <f t="shared" si="15"/>
        <v>1</v>
      </c>
      <c r="AC154" s="1">
        <f t="shared" si="16"/>
        <v>0</v>
      </c>
      <c r="AD154" s="1">
        <f t="shared" si="17"/>
        <v>0</v>
      </c>
    </row>
    <row r="155" spans="19:30" ht="12.75" customHeight="1">
      <c r="S155" s="17">
        <v>10</v>
      </c>
      <c r="T155" s="18"/>
      <c r="U155" s="17">
        <v>2</v>
      </c>
      <c r="V155" s="17" t="s">
        <v>117</v>
      </c>
      <c r="W155" s="18">
        <v>4</v>
      </c>
      <c r="X155" s="18" t="s">
        <v>342</v>
      </c>
      <c r="Y155" s="18">
        <f t="shared" si="18"/>
        <v>0</v>
      </c>
      <c r="Z155" s="17" t="s">
        <v>343</v>
      </c>
      <c r="AA155" s="17">
        <v>1</v>
      </c>
      <c r="AB155" s="1">
        <f t="shared" si="15"/>
        <v>1</v>
      </c>
      <c r="AC155" s="1">
        <f t="shared" si="16"/>
        <v>0</v>
      </c>
      <c r="AD155" s="1">
        <f t="shared" si="17"/>
        <v>0</v>
      </c>
    </row>
    <row r="156" spans="19:30">
      <c r="S156" s="17">
        <v>11</v>
      </c>
      <c r="T156" s="18"/>
      <c r="U156" s="17">
        <v>2</v>
      </c>
      <c r="V156" s="17" t="s">
        <v>117</v>
      </c>
      <c r="W156" s="18">
        <v>4</v>
      </c>
      <c r="X156" s="18" t="s">
        <v>342</v>
      </c>
      <c r="Y156" s="18">
        <f t="shared" si="18"/>
        <v>0</v>
      </c>
      <c r="Z156" s="17" t="s">
        <v>14</v>
      </c>
      <c r="AA156" s="17">
        <v>1</v>
      </c>
      <c r="AB156" s="1">
        <f t="shared" si="15"/>
        <v>1</v>
      </c>
      <c r="AC156" s="1">
        <f t="shared" si="16"/>
        <v>0</v>
      </c>
      <c r="AD156" s="1">
        <f t="shared" si="17"/>
        <v>0</v>
      </c>
    </row>
    <row r="157" spans="19:30">
      <c r="S157" s="17">
        <v>12</v>
      </c>
      <c r="T157" s="18"/>
      <c r="U157" s="17">
        <v>1</v>
      </c>
      <c r="V157" s="17" t="s">
        <v>117</v>
      </c>
      <c r="W157" s="18">
        <v>1</v>
      </c>
      <c r="X157" s="18" t="s">
        <v>342</v>
      </c>
      <c r="Y157" s="18">
        <f t="shared" si="18"/>
        <v>3</v>
      </c>
      <c r="Z157" s="17" t="s">
        <v>21</v>
      </c>
      <c r="AA157" s="17">
        <v>2</v>
      </c>
      <c r="AB157" s="1">
        <f t="shared" si="15"/>
        <v>0</v>
      </c>
      <c r="AC157" s="1">
        <f t="shared" si="16"/>
        <v>0</v>
      </c>
      <c r="AD157" s="1">
        <f t="shared" si="17"/>
        <v>1</v>
      </c>
    </row>
    <row r="158" spans="19:30">
      <c r="S158" s="17">
        <v>13</v>
      </c>
      <c r="T158" s="18"/>
      <c r="U158" s="17">
        <v>1</v>
      </c>
      <c r="V158" s="17" t="s">
        <v>117</v>
      </c>
      <c r="W158" s="18">
        <v>1</v>
      </c>
      <c r="X158" s="18" t="s">
        <v>342</v>
      </c>
      <c r="Y158" s="18">
        <f t="shared" si="18"/>
        <v>3</v>
      </c>
      <c r="Z158" s="17" t="s">
        <v>69</v>
      </c>
      <c r="AA158" s="17">
        <v>2</v>
      </c>
      <c r="AB158" s="1">
        <f t="shared" si="15"/>
        <v>0</v>
      </c>
      <c r="AC158" s="1">
        <f t="shared" si="16"/>
        <v>0</v>
      </c>
      <c r="AD158" s="1">
        <f t="shared" si="17"/>
        <v>1</v>
      </c>
    </row>
    <row r="159" spans="19:30">
      <c r="S159" s="17">
        <v>14</v>
      </c>
      <c r="T159" s="18"/>
      <c r="U159" s="17">
        <v>1</v>
      </c>
      <c r="V159" s="17" t="s">
        <v>117</v>
      </c>
      <c r="W159" s="18">
        <v>2</v>
      </c>
      <c r="X159" s="18" t="s">
        <v>342</v>
      </c>
      <c r="Y159" s="18">
        <f t="shared" si="18"/>
        <v>2</v>
      </c>
      <c r="Z159" s="17" t="s">
        <v>53</v>
      </c>
      <c r="AA159" s="17">
        <v>2</v>
      </c>
      <c r="AB159" s="1">
        <f t="shared" si="15"/>
        <v>0</v>
      </c>
      <c r="AC159" s="1">
        <f t="shared" si="16"/>
        <v>1</v>
      </c>
      <c r="AD159" s="1">
        <f t="shared" si="17"/>
        <v>0</v>
      </c>
    </row>
    <row r="160" spans="19:30">
      <c r="S160" s="17">
        <v>15</v>
      </c>
      <c r="T160" s="18"/>
      <c r="U160" s="17">
        <v>1</v>
      </c>
      <c r="V160" s="17" t="s">
        <v>117</v>
      </c>
      <c r="W160" s="18">
        <v>3</v>
      </c>
      <c r="X160" s="18" t="s">
        <v>342</v>
      </c>
      <c r="Y160" s="18">
        <f t="shared" si="18"/>
        <v>1</v>
      </c>
      <c r="Z160" s="17" t="s">
        <v>119</v>
      </c>
      <c r="AA160" s="17">
        <v>2</v>
      </c>
      <c r="AB160" s="1">
        <f t="shared" si="15"/>
        <v>1</v>
      </c>
      <c r="AC160" s="1">
        <f t="shared" si="16"/>
        <v>0</v>
      </c>
      <c r="AD160" s="1">
        <f t="shared" si="17"/>
        <v>0</v>
      </c>
    </row>
    <row r="161" spans="19:30" ht="12.75" customHeight="1">
      <c r="S161" s="58" t="s">
        <v>339</v>
      </c>
      <c r="T161" s="58" t="s">
        <v>340</v>
      </c>
      <c r="U161" s="58" t="s">
        <v>341</v>
      </c>
      <c r="V161" s="58" t="s">
        <v>1</v>
      </c>
      <c r="W161" s="69" t="s">
        <v>220</v>
      </c>
      <c r="X161" s="70"/>
      <c r="Y161" s="71"/>
      <c r="Z161" s="58" t="s">
        <v>1</v>
      </c>
      <c r="AA161" s="58" t="s">
        <v>341</v>
      </c>
      <c r="AB161" s="1">
        <f t="shared" si="15"/>
        <v>1</v>
      </c>
      <c r="AC161" s="1">
        <f t="shared" si="16"/>
        <v>0</v>
      </c>
      <c r="AD161" s="1">
        <f t="shared" si="17"/>
        <v>0</v>
      </c>
    </row>
    <row r="162" spans="19:30">
      <c r="S162" s="17">
        <v>1</v>
      </c>
      <c r="T162" s="18"/>
      <c r="U162" s="17">
        <v>2</v>
      </c>
      <c r="V162" s="17" t="s">
        <v>69</v>
      </c>
      <c r="W162" s="18">
        <v>2</v>
      </c>
      <c r="X162" s="18" t="s">
        <v>342</v>
      </c>
      <c r="Y162" s="18">
        <f>IF(W162="","",4-W162)</f>
        <v>2</v>
      </c>
      <c r="Z162" s="17" t="s">
        <v>97</v>
      </c>
      <c r="AA162" s="17">
        <v>1</v>
      </c>
      <c r="AB162" s="1">
        <f t="shared" si="15"/>
        <v>0</v>
      </c>
      <c r="AC162" s="1">
        <f t="shared" si="16"/>
        <v>1</v>
      </c>
      <c r="AD162" s="1">
        <f t="shared" si="17"/>
        <v>0</v>
      </c>
    </row>
    <row r="163" spans="19:30">
      <c r="S163" s="17">
        <v>2</v>
      </c>
      <c r="T163" s="18"/>
      <c r="U163" s="17">
        <v>1</v>
      </c>
      <c r="V163" s="17" t="s">
        <v>69</v>
      </c>
      <c r="W163" s="18">
        <v>0</v>
      </c>
      <c r="X163" s="18" t="s">
        <v>342</v>
      </c>
      <c r="Y163" s="18">
        <f t="shared" ref="Y163:Y176" si="19">IF(W163="","",4-W163)</f>
        <v>4</v>
      </c>
      <c r="Z163" s="17" t="s">
        <v>107</v>
      </c>
      <c r="AA163" s="17">
        <v>2</v>
      </c>
      <c r="AB163" s="1">
        <f t="shared" si="15"/>
        <v>0</v>
      </c>
      <c r="AC163" s="1">
        <f t="shared" si="16"/>
        <v>0</v>
      </c>
      <c r="AD163" s="1">
        <f t="shared" si="17"/>
        <v>1</v>
      </c>
    </row>
    <row r="164" spans="19:30">
      <c r="S164" s="17">
        <v>3</v>
      </c>
      <c r="T164" s="18"/>
      <c r="U164" s="17">
        <v>2</v>
      </c>
      <c r="V164" s="17" t="s">
        <v>69</v>
      </c>
      <c r="W164" s="18">
        <v>1</v>
      </c>
      <c r="X164" s="18" t="s">
        <v>342</v>
      </c>
      <c r="Y164" s="18">
        <f t="shared" si="19"/>
        <v>3</v>
      </c>
      <c r="Z164" s="17" t="s">
        <v>111</v>
      </c>
      <c r="AA164" s="17">
        <v>1</v>
      </c>
      <c r="AB164" s="1">
        <f t="shared" si="15"/>
        <v>0</v>
      </c>
      <c r="AC164" s="1">
        <f t="shared" si="16"/>
        <v>0</v>
      </c>
      <c r="AD164" s="1">
        <f t="shared" si="17"/>
        <v>1</v>
      </c>
    </row>
    <row r="165" spans="19:30">
      <c r="S165" s="17">
        <v>4</v>
      </c>
      <c r="T165" s="18"/>
      <c r="U165" s="17">
        <v>2</v>
      </c>
      <c r="V165" s="17" t="s">
        <v>69</v>
      </c>
      <c r="W165" s="18">
        <v>1</v>
      </c>
      <c r="X165" s="18" t="s">
        <v>342</v>
      </c>
      <c r="Y165" s="18">
        <f t="shared" si="19"/>
        <v>3</v>
      </c>
      <c r="Z165" s="17" t="s">
        <v>27</v>
      </c>
      <c r="AA165" s="17">
        <v>1</v>
      </c>
      <c r="AB165" s="1">
        <f t="shared" si="15"/>
        <v>0</v>
      </c>
      <c r="AC165" s="1">
        <f t="shared" si="16"/>
        <v>0</v>
      </c>
      <c r="AD165" s="1">
        <f t="shared" si="17"/>
        <v>1</v>
      </c>
    </row>
    <row r="166" spans="19:30">
      <c r="S166" s="17">
        <v>5</v>
      </c>
      <c r="T166" s="18"/>
      <c r="U166" s="17">
        <v>2</v>
      </c>
      <c r="V166" s="17" t="s">
        <v>69</v>
      </c>
      <c r="W166" s="18">
        <v>0</v>
      </c>
      <c r="X166" s="18" t="s">
        <v>342</v>
      </c>
      <c r="Y166" s="18">
        <f t="shared" si="19"/>
        <v>4</v>
      </c>
      <c r="Z166" s="17" t="s">
        <v>81</v>
      </c>
      <c r="AA166" s="17">
        <v>1</v>
      </c>
      <c r="AB166" s="1">
        <f t="shared" si="15"/>
        <v>0</v>
      </c>
      <c r="AC166" s="1">
        <f t="shared" si="16"/>
        <v>0</v>
      </c>
      <c r="AD166" s="1">
        <f t="shared" si="17"/>
        <v>1</v>
      </c>
    </row>
    <row r="167" spans="19:30">
      <c r="S167" s="17">
        <v>6</v>
      </c>
      <c r="T167" s="18"/>
      <c r="U167" s="17">
        <v>2</v>
      </c>
      <c r="V167" s="17" t="s">
        <v>69</v>
      </c>
      <c r="W167" s="18">
        <v>0</v>
      </c>
      <c r="X167" s="18" t="s">
        <v>342</v>
      </c>
      <c r="Y167" s="18">
        <f t="shared" si="19"/>
        <v>4</v>
      </c>
      <c r="Z167" s="17" t="s">
        <v>39</v>
      </c>
      <c r="AA167" s="17">
        <v>1</v>
      </c>
      <c r="AB167" s="1">
        <f t="shared" si="15"/>
        <v>0</v>
      </c>
      <c r="AC167" s="1">
        <f t="shared" si="16"/>
        <v>0</v>
      </c>
      <c r="AD167" s="1">
        <f t="shared" si="17"/>
        <v>1</v>
      </c>
    </row>
    <row r="168" spans="19:30">
      <c r="S168" s="17">
        <v>7</v>
      </c>
      <c r="T168" s="18"/>
      <c r="U168" s="17">
        <v>2</v>
      </c>
      <c r="V168" s="17" t="s">
        <v>69</v>
      </c>
      <c r="W168" s="18">
        <v>1</v>
      </c>
      <c r="X168" s="18" t="s">
        <v>342</v>
      </c>
      <c r="Y168" s="18">
        <f t="shared" si="19"/>
        <v>3</v>
      </c>
      <c r="Z168" s="17" t="s">
        <v>125</v>
      </c>
      <c r="AA168" s="17">
        <v>1</v>
      </c>
      <c r="AB168" s="1">
        <f t="shared" si="15"/>
        <v>0</v>
      </c>
      <c r="AC168" s="1">
        <f t="shared" si="16"/>
        <v>0</v>
      </c>
      <c r="AD168" s="1">
        <f t="shared" si="17"/>
        <v>1</v>
      </c>
    </row>
    <row r="169" spans="19:30">
      <c r="S169" s="17">
        <v>8</v>
      </c>
      <c r="T169" s="18"/>
      <c r="U169" s="17">
        <v>1</v>
      </c>
      <c r="V169" s="17" t="s">
        <v>69</v>
      </c>
      <c r="W169" s="18">
        <v>1</v>
      </c>
      <c r="X169" s="18" t="s">
        <v>342</v>
      </c>
      <c r="Y169" s="18">
        <f t="shared" si="19"/>
        <v>3</v>
      </c>
      <c r="Z169" s="17" t="s">
        <v>29</v>
      </c>
      <c r="AA169" s="17">
        <v>2</v>
      </c>
      <c r="AB169" s="1">
        <f t="shared" si="15"/>
        <v>0</v>
      </c>
      <c r="AC169" s="1">
        <f t="shared" si="16"/>
        <v>0</v>
      </c>
      <c r="AD169" s="1">
        <f t="shared" si="17"/>
        <v>1</v>
      </c>
    </row>
    <row r="170" spans="19:30">
      <c r="S170" s="17">
        <v>9</v>
      </c>
      <c r="T170" s="18"/>
      <c r="U170" s="17">
        <v>2</v>
      </c>
      <c r="V170" s="17" t="s">
        <v>69</v>
      </c>
      <c r="W170" s="18">
        <v>4</v>
      </c>
      <c r="X170" s="18" t="s">
        <v>342</v>
      </c>
      <c r="Y170" s="18">
        <f t="shared" si="19"/>
        <v>0</v>
      </c>
      <c r="Z170" s="17" t="s">
        <v>21</v>
      </c>
      <c r="AA170" s="17">
        <v>1</v>
      </c>
      <c r="AB170" s="1">
        <f t="shared" si="15"/>
        <v>1</v>
      </c>
      <c r="AC170" s="1">
        <f t="shared" si="16"/>
        <v>0</v>
      </c>
      <c r="AD170" s="1">
        <f t="shared" si="17"/>
        <v>0</v>
      </c>
    </row>
    <row r="171" spans="19:30">
      <c r="S171" s="17">
        <v>10</v>
      </c>
      <c r="T171" s="18"/>
      <c r="U171" s="17">
        <v>1</v>
      </c>
      <c r="V171" s="17" t="s">
        <v>69</v>
      </c>
      <c r="W171" s="18">
        <v>4</v>
      </c>
      <c r="X171" s="18" t="s">
        <v>342</v>
      </c>
      <c r="Y171" s="18">
        <f t="shared" si="19"/>
        <v>0</v>
      </c>
      <c r="Z171" s="17" t="s">
        <v>14</v>
      </c>
      <c r="AA171" s="17">
        <v>2</v>
      </c>
      <c r="AB171" s="1">
        <f t="shared" si="15"/>
        <v>1</v>
      </c>
      <c r="AC171" s="1">
        <f t="shared" si="16"/>
        <v>0</v>
      </c>
      <c r="AD171" s="1">
        <f t="shared" si="17"/>
        <v>0</v>
      </c>
    </row>
    <row r="172" spans="19:30" ht="12.75" customHeight="1">
      <c r="S172" s="17">
        <v>11</v>
      </c>
      <c r="T172" s="18"/>
      <c r="U172" s="17">
        <v>1</v>
      </c>
      <c r="V172" s="17" t="s">
        <v>69</v>
      </c>
      <c r="W172" s="18">
        <v>4</v>
      </c>
      <c r="X172" s="18" t="s">
        <v>342</v>
      </c>
      <c r="Y172" s="18">
        <f t="shared" si="19"/>
        <v>0</v>
      </c>
      <c r="Z172" s="17" t="s">
        <v>343</v>
      </c>
      <c r="AA172" s="17">
        <v>2</v>
      </c>
      <c r="AB172" s="1">
        <f t="shared" si="15"/>
        <v>1</v>
      </c>
      <c r="AC172" s="1">
        <f t="shared" si="16"/>
        <v>0</v>
      </c>
      <c r="AD172" s="1">
        <f t="shared" si="17"/>
        <v>0</v>
      </c>
    </row>
    <row r="173" spans="19:30">
      <c r="S173" s="17">
        <v>12</v>
      </c>
      <c r="T173" s="18"/>
      <c r="U173" s="17">
        <v>1</v>
      </c>
      <c r="V173" s="17" t="s">
        <v>69</v>
      </c>
      <c r="W173" s="18">
        <v>3</v>
      </c>
      <c r="X173" s="18" t="s">
        <v>342</v>
      </c>
      <c r="Y173" s="18">
        <f t="shared" si="19"/>
        <v>1</v>
      </c>
      <c r="Z173" s="17" t="s">
        <v>85</v>
      </c>
      <c r="AA173" s="17">
        <v>2</v>
      </c>
      <c r="AB173" s="1">
        <f t="shared" si="15"/>
        <v>1</v>
      </c>
      <c r="AC173" s="1">
        <f t="shared" si="16"/>
        <v>0</v>
      </c>
      <c r="AD173" s="1">
        <f t="shared" si="17"/>
        <v>0</v>
      </c>
    </row>
    <row r="174" spans="19:30">
      <c r="S174" s="17">
        <v>13</v>
      </c>
      <c r="T174" s="18"/>
      <c r="U174" s="17">
        <v>2</v>
      </c>
      <c r="V174" s="17" t="s">
        <v>69</v>
      </c>
      <c r="W174" s="18">
        <v>3</v>
      </c>
      <c r="X174" s="18" t="s">
        <v>342</v>
      </c>
      <c r="Y174" s="18">
        <f t="shared" si="19"/>
        <v>1</v>
      </c>
      <c r="Z174" s="17" t="s">
        <v>117</v>
      </c>
      <c r="AA174" s="17">
        <v>1</v>
      </c>
      <c r="AB174" s="1">
        <f t="shared" si="15"/>
        <v>1</v>
      </c>
      <c r="AC174" s="1">
        <f t="shared" si="16"/>
        <v>0</v>
      </c>
      <c r="AD174" s="1">
        <f t="shared" si="17"/>
        <v>0</v>
      </c>
    </row>
    <row r="175" spans="19:30">
      <c r="S175" s="17">
        <v>14</v>
      </c>
      <c r="T175" s="18"/>
      <c r="U175" s="17">
        <v>1</v>
      </c>
      <c r="V175" s="17" t="s">
        <v>69</v>
      </c>
      <c r="W175" s="18">
        <v>2</v>
      </c>
      <c r="X175" s="18" t="s">
        <v>342</v>
      </c>
      <c r="Y175" s="18">
        <f t="shared" si="19"/>
        <v>2</v>
      </c>
      <c r="Z175" s="17" t="s">
        <v>119</v>
      </c>
      <c r="AA175" s="17">
        <v>2</v>
      </c>
      <c r="AB175" s="1">
        <f t="shared" si="15"/>
        <v>0</v>
      </c>
      <c r="AC175" s="1">
        <f t="shared" si="16"/>
        <v>1</v>
      </c>
      <c r="AD175" s="1">
        <f t="shared" si="17"/>
        <v>0</v>
      </c>
    </row>
    <row r="176" spans="19:30">
      <c r="S176" s="17">
        <v>15</v>
      </c>
      <c r="T176" s="18"/>
      <c r="U176" s="17">
        <v>2</v>
      </c>
      <c r="V176" s="17" t="s">
        <v>69</v>
      </c>
      <c r="W176" s="18">
        <v>4</v>
      </c>
      <c r="X176" s="18" t="s">
        <v>342</v>
      </c>
      <c r="Y176" s="18">
        <f t="shared" si="19"/>
        <v>0</v>
      </c>
      <c r="Z176" s="17" t="s">
        <v>53</v>
      </c>
      <c r="AA176" s="17">
        <v>1</v>
      </c>
      <c r="AB176" s="1">
        <f t="shared" si="15"/>
        <v>1</v>
      </c>
      <c r="AC176" s="1">
        <f t="shared" si="16"/>
        <v>0</v>
      </c>
      <c r="AD176" s="1">
        <f t="shared" si="17"/>
        <v>0</v>
      </c>
    </row>
    <row r="177" spans="19:30" ht="12.75" customHeight="1">
      <c r="S177" s="58" t="s">
        <v>339</v>
      </c>
      <c r="T177" s="58" t="s">
        <v>340</v>
      </c>
      <c r="U177" s="58" t="s">
        <v>341</v>
      </c>
      <c r="V177" s="58" t="s">
        <v>1</v>
      </c>
      <c r="W177" s="69" t="s">
        <v>220</v>
      </c>
      <c r="X177" s="70"/>
      <c r="Y177" s="71"/>
      <c r="Z177" s="58" t="s">
        <v>1</v>
      </c>
      <c r="AA177" s="58" t="s">
        <v>341</v>
      </c>
      <c r="AB177" s="1">
        <f t="shared" si="15"/>
        <v>1</v>
      </c>
      <c r="AC177" s="1">
        <f t="shared" si="16"/>
        <v>0</v>
      </c>
      <c r="AD177" s="1">
        <f t="shared" si="17"/>
        <v>0</v>
      </c>
    </row>
    <row r="178" spans="19:30">
      <c r="S178" s="17">
        <v>1</v>
      </c>
      <c r="T178" s="18"/>
      <c r="U178" s="17">
        <v>1</v>
      </c>
      <c r="V178" s="17" t="s">
        <v>53</v>
      </c>
      <c r="W178" s="18">
        <v>0</v>
      </c>
      <c r="X178" s="18" t="s">
        <v>342</v>
      </c>
      <c r="Y178" s="18">
        <f>IF(W178="","",4-W178)</f>
        <v>4</v>
      </c>
      <c r="Z178" s="17" t="s">
        <v>107</v>
      </c>
      <c r="AA178" s="17">
        <v>2</v>
      </c>
      <c r="AB178" s="1">
        <f t="shared" si="15"/>
        <v>0</v>
      </c>
      <c r="AC178" s="1">
        <f t="shared" si="16"/>
        <v>0</v>
      </c>
      <c r="AD178" s="1">
        <f t="shared" si="17"/>
        <v>1</v>
      </c>
    </row>
    <row r="179" spans="19:30">
      <c r="S179" s="17">
        <v>2</v>
      </c>
      <c r="T179" s="18"/>
      <c r="U179" s="17">
        <v>2</v>
      </c>
      <c r="V179" s="17" t="s">
        <v>53</v>
      </c>
      <c r="W179" s="18">
        <v>1</v>
      </c>
      <c r="X179" s="18" t="s">
        <v>342</v>
      </c>
      <c r="Y179" s="18">
        <f t="shared" ref="Y179:Y192" si="20">IF(W179="","",4-W179)</f>
        <v>3</v>
      </c>
      <c r="Z179" s="17" t="s">
        <v>97</v>
      </c>
      <c r="AA179" s="17">
        <v>1</v>
      </c>
      <c r="AB179" s="1">
        <f t="shared" si="15"/>
        <v>0</v>
      </c>
      <c r="AC179" s="1">
        <f t="shared" si="16"/>
        <v>0</v>
      </c>
      <c r="AD179" s="1">
        <f t="shared" si="17"/>
        <v>1</v>
      </c>
    </row>
    <row r="180" spans="19:30">
      <c r="S180" s="17">
        <v>3</v>
      </c>
      <c r="T180" s="18"/>
      <c r="U180" s="17">
        <v>2</v>
      </c>
      <c r="V180" s="17" t="s">
        <v>53</v>
      </c>
      <c r="W180" s="18">
        <v>0</v>
      </c>
      <c r="X180" s="18" t="s">
        <v>342</v>
      </c>
      <c r="Y180" s="18">
        <f t="shared" si="20"/>
        <v>4</v>
      </c>
      <c r="Z180" s="17" t="s">
        <v>27</v>
      </c>
      <c r="AA180" s="17">
        <v>1</v>
      </c>
      <c r="AB180" s="1">
        <f t="shared" si="15"/>
        <v>0</v>
      </c>
      <c r="AC180" s="1">
        <f t="shared" si="16"/>
        <v>0</v>
      </c>
      <c r="AD180" s="1">
        <f t="shared" si="17"/>
        <v>1</v>
      </c>
    </row>
    <row r="181" spans="19:30">
      <c r="S181" s="17">
        <v>4</v>
      </c>
      <c r="T181" s="18"/>
      <c r="U181" s="17">
        <v>2</v>
      </c>
      <c r="V181" s="17" t="s">
        <v>53</v>
      </c>
      <c r="W181" s="18">
        <v>0</v>
      </c>
      <c r="X181" s="18" t="s">
        <v>342</v>
      </c>
      <c r="Y181" s="18">
        <f t="shared" si="20"/>
        <v>4</v>
      </c>
      <c r="Z181" s="17" t="s">
        <v>111</v>
      </c>
      <c r="AA181" s="17">
        <v>1</v>
      </c>
      <c r="AB181" s="1">
        <f t="shared" si="15"/>
        <v>0</v>
      </c>
      <c r="AC181" s="1">
        <f t="shared" si="16"/>
        <v>0</v>
      </c>
      <c r="AD181" s="1">
        <f t="shared" si="17"/>
        <v>1</v>
      </c>
    </row>
    <row r="182" spans="19:30">
      <c r="S182" s="17">
        <v>5</v>
      </c>
      <c r="T182" s="18"/>
      <c r="U182" s="17">
        <v>2</v>
      </c>
      <c r="V182" s="17" t="s">
        <v>53</v>
      </c>
      <c r="W182" s="18">
        <v>0</v>
      </c>
      <c r="X182" s="18" t="s">
        <v>342</v>
      </c>
      <c r="Y182" s="18">
        <f t="shared" si="20"/>
        <v>4</v>
      </c>
      <c r="Z182" s="17" t="s">
        <v>39</v>
      </c>
      <c r="AA182" s="17">
        <v>1</v>
      </c>
      <c r="AB182" s="1">
        <f t="shared" si="15"/>
        <v>0</v>
      </c>
      <c r="AC182" s="1">
        <f t="shared" si="16"/>
        <v>0</v>
      </c>
      <c r="AD182" s="1">
        <f t="shared" si="17"/>
        <v>1</v>
      </c>
    </row>
    <row r="183" spans="19:30">
      <c r="S183" s="17">
        <v>6</v>
      </c>
      <c r="T183" s="18"/>
      <c r="U183" s="17">
        <v>1</v>
      </c>
      <c r="V183" s="17" t="s">
        <v>53</v>
      </c>
      <c r="W183" s="18">
        <v>1</v>
      </c>
      <c r="X183" s="18" t="s">
        <v>342</v>
      </c>
      <c r="Y183" s="18">
        <f t="shared" si="20"/>
        <v>3</v>
      </c>
      <c r="Z183" s="17" t="s">
        <v>81</v>
      </c>
      <c r="AA183" s="17">
        <v>2</v>
      </c>
      <c r="AB183" s="1">
        <f t="shared" si="15"/>
        <v>0</v>
      </c>
      <c r="AC183" s="1">
        <f t="shared" si="16"/>
        <v>0</v>
      </c>
      <c r="AD183" s="1">
        <f t="shared" si="17"/>
        <v>1</v>
      </c>
    </row>
    <row r="184" spans="19:30">
      <c r="S184" s="17">
        <v>7</v>
      </c>
      <c r="T184" s="18"/>
      <c r="U184" s="17">
        <v>1</v>
      </c>
      <c r="V184" s="17" t="s">
        <v>53</v>
      </c>
      <c r="W184" s="18">
        <v>0</v>
      </c>
      <c r="X184" s="18" t="s">
        <v>342</v>
      </c>
      <c r="Y184" s="18">
        <f t="shared" si="20"/>
        <v>4</v>
      </c>
      <c r="Z184" s="17" t="s">
        <v>29</v>
      </c>
      <c r="AA184" s="17">
        <v>2</v>
      </c>
      <c r="AB184" s="1">
        <f t="shared" si="15"/>
        <v>0</v>
      </c>
      <c r="AC184" s="1">
        <f t="shared" si="16"/>
        <v>0</v>
      </c>
      <c r="AD184" s="1">
        <f t="shared" si="17"/>
        <v>1</v>
      </c>
    </row>
    <row r="185" spans="19:30">
      <c r="S185" s="17">
        <v>8</v>
      </c>
      <c r="T185" s="18"/>
      <c r="U185" s="17">
        <v>1</v>
      </c>
      <c r="V185" s="17" t="s">
        <v>53</v>
      </c>
      <c r="W185" s="18">
        <v>0</v>
      </c>
      <c r="X185" s="18" t="s">
        <v>342</v>
      </c>
      <c r="Y185" s="18">
        <f t="shared" si="20"/>
        <v>4</v>
      </c>
      <c r="Z185" s="17" t="s">
        <v>125</v>
      </c>
      <c r="AA185" s="17">
        <v>2</v>
      </c>
      <c r="AB185" s="1">
        <f t="shared" si="15"/>
        <v>0</v>
      </c>
      <c r="AC185" s="1">
        <f t="shared" si="16"/>
        <v>0</v>
      </c>
      <c r="AD185" s="1">
        <f t="shared" si="17"/>
        <v>1</v>
      </c>
    </row>
    <row r="186" spans="19:30">
      <c r="S186" s="17">
        <v>9</v>
      </c>
      <c r="T186" s="18"/>
      <c r="U186" s="17">
        <v>2</v>
      </c>
      <c r="V186" s="17" t="s">
        <v>53</v>
      </c>
      <c r="W186" s="18">
        <v>2</v>
      </c>
      <c r="X186" s="18" t="s">
        <v>342</v>
      </c>
      <c r="Y186" s="18">
        <f t="shared" si="20"/>
        <v>2</v>
      </c>
      <c r="Z186" s="17" t="s">
        <v>14</v>
      </c>
      <c r="AA186" s="17">
        <v>1</v>
      </c>
      <c r="AB186" s="1">
        <f t="shared" si="15"/>
        <v>0</v>
      </c>
      <c r="AC186" s="1">
        <f t="shared" si="16"/>
        <v>1</v>
      </c>
      <c r="AD186" s="1">
        <f t="shared" si="17"/>
        <v>0</v>
      </c>
    </row>
    <row r="187" spans="19:30">
      <c r="S187" s="17">
        <v>10</v>
      </c>
      <c r="T187" s="18"/>
      <c r="U187" s="17">
        <v>2</v>
      </c>
      <c r="V187" s="17" t="s">
        <v>53</v>
      </c>
      <c r="W187" s="18">
        <v>1</v>
      </c>
      <c r="X187" s="18" t="s">
        <v>342</v>
      </c>
      <c r="Y187" s="18">
        <f t="shared" si="20"/>
        <v>3</v>
      </c>
      <c r="Z187" s="17" t="s">
        <v>21</v>
      </c>
      <c r="AA187" s="17">
        <v>1</v>
      </c>
      <c r="AB187" s="1">
        <f t="shared" si="15"/>
        <v>0</v>
      </c>
      <c r="AC187" s="1">
        <f t="shared" si="16"/>
        <v>0</v>
      </c>
      <c r="AD187" s="1">
        <f t="shared" si="17"/>
        <v>1</v>
      </c>
    </row>
    <row r="188" spans="19:30">
      <c r="S188" s="17">
        <v>11</v>
      </c>
      <c r="T188" s="18"/>
      <c r="U188" s="17">
        <v>1</v>
      </c>
      <c r="V188" s="17" t="s">
        <v>53</v>
      </c>
      <c r="W188" s="18">
        <v>3</v>
      </c>
      <c r="X188" s="18" t="s">
        <v>342</v>
      </c>
      <c r="Y188" s="18">
        <f t="shared" si="20"/>
        <v>1</v>
      </c>
      <c r="Z188" s="17" t="s">
        <v>85</v>
      </c>
      <c r="AA188" s="17">
        <v>2</v>
      </c>
      <c r="AB188" s="1">
        <f t="shared" si="15"/>
        <v>1</v>
      </c>
      <c r="AC188" s="1">
        <f t="shared" si="16"/>
        <v>0</v>
      </c>
      <c r="AD188" s="1">
        <f t="shared" si="17"/>
        <v>0</v>
      </c>
    </row>
    <row r="189" spans="19:30" ht="12.75" customHeight="1">
      <c r="S189" s="17">
        <v>12</v>
      </c>
      <c r="T189" s="18"/>
      <c r="U189" s="17">
        <v>1</v>
      </c>
      <c r="V189" s="17" t="s">
        <v>53</v>
      </c>
      <c r="W189" s="18">
        <v>4</v>
      </c>
      <c r="X189" s="18" t="s">
        <v>342</v>
      </c>
      <c r="Y189" s="18">
        <f t="shared" si="20"/>
        <v>0</v>
      </c>
      <c r="Z189" s="17" t="s">
        <v>343</v>
      </c>
      <c r="AA189" s="17">
        <v>2</v>
      </c>
      <c r="AB189" s="1">
        <f t="shared" si="15"/>
        <v>1</v>
      </c>
      <c r="AC189" s="1">
        <f t="shared" si="16"/>
        <v>0</v>
      </c>
      <c r="AD189" s="1">
        <f t="shared" si="17"/>
        <v>0</v>
      </c>
    </row>
    <row r="190" spans="19:30">
      <c r="S190" s="17">
        <v>13</v>
      </c>
      <c r="T190" s="18"/>
      <c r="U190" s="17">
        <v>1</v>
      </c>
      <c r="V190" s="17" t="s">
        <v>53</v>
      </c>
      <c r="W190" s="18">
        <v>1</v>
      </c>
      <c r="X190" s="18" t="s">
        <v>342</v>
      </c>
      <c r="Y190" s="18">
        <f t="shared" si="20"/>
        <v>3</v>
      </c>
      <c r="Z190" s="17" t="s">
        <v>119</v>
      </c>
      <c r="AA190" s="17">
        <v>2</v>
      </c>
      <c r="AB190" s="1">
        <f t="shared" si="15"/>
        <v>0</v>
      </c>
      <c r="AC190" s="1">
        <f t="shared" si="16"/>
        <v>0</v>
      </c>
      <c r="AD190" s="1">
        <f t="shared" si="17"/>
        <v>1</v>
      </c>
    </row>
    <row r="191" spans="19:30">
      <c r="S191" s="17">
        <v>14</v>
      </c>
      <c r="T191" s="18"/>
      <c r="U191" s="17">
        <v>2</v>
      </c>
      <c r="V191" s="17" t="s">
        <v>53</v>
      </c>
      <c r="W191" s="18">
        <v>2</v>
      </c>
      <c r="X191" s="18" t="s">
        <v>342</v>
      </c>
      <c r="Y191" s="18">
        <f t="shared" si="20"/>
        <v>2</v>
      </c>
      <c r="Z191" s="17" t="s">
        <v>117</v>
      </c>
      <c r="AA191" s="17">
        <v>1</v>
      </c>
      <c r="AB191" s="1">
        <f t="shared" si="15"/>
        <v>0</v>
      </c>
      <c r="AC191" s="1">
        <f t="shared" si="16"/>
        <v>1</v>
      </c>
      <c r="AD191" s="1">
        <f t="shared" si="17"/>
        <v>0</v>
      </c>
    </row>
    <row r="192" spans="19:30">
      <c r="S192" s="17">
        <v>15</v>
      </c>
      <c r="T192" s="18"/>
      <c r="U192" s="17">
        <v>1</v>
      </c>
      <c r="V192" s="17" t="s">
        <v>53</v>
      </c>
      <c r="W192" s="18">
        <v>0</v>
      </c>
      <c r="X192" s="18" t="s">
        <v>342</v>
      </c>
      <c r="Y192" s="18">
        <f t="shared" si="20"/>
        <v>4</v>
      </c>
      <c r="Z192" s="17" t="s">
        <v>69</v>
      </c>
      <c r="AA192" s="17">
        <v>2</v>
      </c>
      <c r="AB192" s="1">
        <f t="shared" si="15"/>
        <v>0</v>
      </c>
      <c r="AC192" s="1">
        <f t="shared" si="16"/>
        <v>0</v>
      </c>
      <c r="AD192" s="1">
        <f t="shared" si="17"/>
        <v>1</v>
      </c>
    </row>
    <row r="193" spans="19:30" ht="12.75" customHeight="1">
      <c r="S193" s="58" t="s">
        <v>339</v>
      </c>
      <c r="T193" s="58" t="s">
        <v>340</v>
      </c>
      <c r="U193" s="58" t="s">
        <v>341</v>
      </c>
      <c r="V193" s="58" t="s">
        <v>1</v>
      </c>
      <c r="W193" s="69" t="s">
        <v>220</v>
      </c>
      <c r="X193" s="70"/>
      <c r="Y193" s="71"/>
      <c r="Z193" s="58" t="s">
        <v>1</v>
      </c>
      <c r="AA193" s="58" t="s">
        <v>341</v>
      </c>
      <c r="AB193" s="1">
        <f t="shared" si="15"/>
        <v>1</v>
      </c>
      <c r="AC193" s="1">
        <f t="shared" si="16"/>
        <v>0</v>
      </c>
      <c r="AD193" s="1">
        <f t="shared" si="17"/>
        <v>0</v>
      </c>
    </row>
    <row r="194" spans="19:30">
      <c r="S194" s="17">
        <v>1</v>
      </c>
      <c r="T194" s="18"/>
      <c r="U194" s="17">
        <v>2</v>
      </c>
      <c r="V194" s="17" t="s">
        <v>14</v>
      </c>
      <c r="W194" s="18">
        <v>0</v>
      </c>
      <c r="X194" s="18" t="s">
        <v>342</v>
      </c>
      <c r="Y194" s="18">
        <f>IF(W194="","",4-W194)</f>
        <v>4</v>
      </c>
      <c r="Z194" s="17" t="s">
        <v>125</v>
      </c>
      <c r="AA194" s="17">
        <v>1</v>
      </c>
      <c r="AB194" s="1">
        <f t="shared" si="15"/>
        <v>0</v>
      </c>
      <c r="AC194" s="1">
        <f t="shared" si="16"/>
        <v>0</v>
      </c>
      <c r="AD194" s="1">
        <f t="shared" si="17"/>
        <v>1</v>
      </c>
    </row>
    <row r="195" spans="19:30">
      <c r="S195" s="17">
        <v>2</v>
      </c>
      <c r="T195" s="18"/>
      <c r="U195" s="17">
        <v>2</v>
      </c>
      <c r="V195" s="17" t="s">
        <v>14</v>
      </c>
      <c r="W195" s="18">
        <v>0</v>
      </c>
      <c r="X195" s="18" t="s">
        <v>342</v>
      </c>
      <c r="Y195" s="18">
        <f t="shared" ref="Y195:Y208" si="21">IF(W195="","",4-W195)</f>
        <v>4</v>
      </c>
      <c r="Z195" s="17" t="s">
        <v>29</v>
      </c>
      <c r="AA195" s="17">
        <v>1</v>
      </c>
      <c r="AB195" s="1">
        <f t="shared" ref="AB195:AB256" si="22">IF(W195="",0,IF(W195&gt;Y195,1,0))</f>
        <v>0</v>
      </c>
      <c r="AC195" s="1">
        <f t="shared" ref="AC195:AC256" si="23">IF(W195="",0,IF(W195=Y195,1,0))</f>
        <v>0</v>
      </c>
      <c r="AD195" s="1">
        <f t="shared" ref="AD195:AD256" si="24">IF(W195="",0,IF(W195&lt;Y195,1,0))</f>
        <v>1</v>
      </c>
    </row>
    <row r="196" spans="19:30">
      <c r="S196" s="17">
        <v>3</v>
      </c>
      <c r="T196" s="18"/>
      <c r="U196" s="17">
        <v>1</v>
      </c>
      <c r="V196" s="17" t="s">
        <v>14</v>
      </c>
      <c r="W196" s="18">
        <v>0</v>
      </c>
      <c r="X196" s="18" t="s">
        <v>342</v>
      </c>
      <c r="Y196" s="18">
        <f t="shared" si="21"/>
        <v>4</v>
      </c>
      <c r="Z196" s="17" t="s">
        <v>81</v>
      </c>
      <c r="AA196" s="17">
        <v>2</v>
      </c>
      <c r="AB196" s="1">
        <f t="shared" si="22"/>
        <v>0</v>
      </c>
      <c r="AC196" s="1">
        <f t="shared" si="23"/>
        <v>0</v>
      </c>
      <c r="AD196" s="1">
        <f t="shared" si="24"/>
        <v>1</v>
      </c>
    </row>
    <row r="197" spans="19:30">
      <c r="S197" s="17">
        <v>4</v>
      </c>
      <c r="T197" s="18"/>
      <c r="U197" s="17">
        <v>2</v>
      </c>
      <c r="V197" s="17" t="s">
        <v>14</v>
      </c>
      <c r="W197" s="18">
        <v>0</v>
      </c>
      <c r="X197" s="18" t="s">
        <v>342</v>
      </c>
      <c r="Y197" s="18">
        <f t="shared" si="21"/>
        <v>4</v>
      </c>
      <c r="Z197" s="17" t="s">
        <v>39</v>
      </c>
      <c r="AA197" s="17">
        <v>1</v>
      </c>
      <c r="AB197" s="1">
        <f t="shared" si="22"/>
        <v>0</v>
      </c>
      <c r="AC197" s="1">
        <f t="shared" si="23"/>
        <v>0</v>
      </c>
      <c r="AD197" s="1">
        <f t="shared" si="24"/>
        <v>1</v>
      </c>
    </row>
    <row r="198" spans="19:30">
      <c r="S198" s="17">
        <v>5</v>
      </c>
      <c r="T198" s="18"/>
      <c r="U198" s="17">
        <v>1</v>
      </c>
      <c r="V198" s="17" t="s">
        <v>14</v>
      </c>
      <c r="W198" s="18">
        <v>0</v>
      </c>
      <c r="X198" s="18" t="s">
        <v>342</v>
      </c>
      <c r="Y198" s="18">
        <f t="shared" si="21"/>
        <v>4</v>
      </c>
      <c r="Z198" s="17" t="s">
        <v>111</v>
      </c>
      <c r="AA198" s="17">
        <v>2</v>
      </c>
      <c r="AB198" s="1">
        <f t="shared" si="22"/>
        <v>0</v>
      </c>
      <c r="AC198" s="1">
        <f t="shared" si="23"/>
        <v>0</v>
      </c>
      <c r="AD198" s="1">
        <f t="shared" si="24"/>
        <v>1</v>
      </c>
    </row>
    <row r="199" spans="19:30">
      <c r="S199" s="17">
        <v>6</v>
      </c>
      <c r="T199" s="18"/>
      <c r="U199" s="17">
        <v>1</v>
      </c>
      <c r="V199" s="17" t="s">
        <v>14</v>
      </c>
      <c r="W199" s="18">
        <v>0</v>
      </c>
      <c r="X199" s="18" t="s">
        <v>342</v>
      </c>
      <c r="Y199" s="18">
        <f t="shared" si="21"/>
        <v>4</v>
      </c>
      <c r="Z199" s="17" t="s">
        <v>27</v>
      </c>
      <c r="AA199" s="17">
        <v>2</v>
      </c>
      <c r="AB199" s="1">
        <f t="shared" si="22"/>
        <v>0</v>
      </c>
      <c r="AC199" s="1">
        <f t="shared" si="23"/>
        <v>0</v>
      </c>
      <c r="AD199" s="1">
        <f t="shared" si="24"/>
        <v>1</v>
      </c>
    </row>
    <row r="200" spans="19:30">
      <c r="S200" s="17">
        <v>7</v>
      </c>
      <c r="T200" s="18"/>
      <c r="U200" s="17">
        <v>1</v>
      </c>
      <c r="V200" s="17" t="s">
        <v>14</v>
      </c>
      <c r="W200" s="18">
        <v>0</v>
      </c>
      <c r="X200" s="18" t="s">
        <v>342</v>
      </c>
      <c r="Y200" s="18">
        <f t="shared" si="21"/>
        <v>4</v>
      </c>
      <c r="Z200" s="17" t="s">
        <v>97</v>
      </c>
      <c r="AA200" s="17">
        <v>2</v>
      </c>
      <c r="AB200" s="1">
        <f t="shared" si="22"/>
        <v>0</v>
      </c>
      <c r="AC200" s="1">
        <f t="shared" si="23"/>
        <v>0</v>
      </c>
      <c r="AD200" s="1">
        <f t="shared" si="24"/>
        <v>1</v>
      </c>
    </row>
    <row r="201" spans="19:30">
      <c r="S201" s="17">
        <v>8</v>
      </c>
      <c r="T201" s="18"/>
      <c r="U201" s="17">
        <v>1</v>
      </c>
      <c r="V201" s="17" t="s">
        <v>14</v>
      </c>
      <c r="W201" s="18">
        <v>0</v>
      </c>
      <c r="X201" s="18" t="s">
        <v>342</v>
      </c>
      <c r="Y201" s="18">
        <f t="shared" si="21"/>
        <v>4</v>
      </c>
      <c r="Z201" s="17" t="s">
        <v>107</v>
      </c>
      <c r="AA201" s="17">
        <v>2</v>
      </c>
      <c r="AB201" s="1">
        <f t="shared" si="22"/>
        <v>0</v>
      </c>
      <c r="AC201" s="1">
        <f t="shared" si="23"/>
        <v>0</v>
      </c>
      <c r="AD201" s="1">
        <f t="shared" si="24"/>
        <v>1</v>
      </c>
    </row>
    <row r="202" spans="19:30">
      <c r="S202" s="17">
        <v>9</v>
      </c>
      <c r="T202" s="18"/>
      <c r="U202" s="17">
        <v>1</v>
      </c>
      <c r="V202" s="17" t="s">
        <v>14</v>
      </c>
      <c r="W202" s="18">
        <v>2</v>
      </c>
      <c r="X202" s="18" t="s">
        <v>342</v>
      </c>
      <c r="Y202" s="18">
        <f t="shared" si="21"/>
        <v>2</v>
      </c>
      <c r="Z202" s="17" t="s">
        <v>53</v>
      </c>
      <c r="AA202" s="17">
        <v>2</v>
      </c>
      <c r="AB202" s="1">
        <f t="shared" si="22"/>
        <v>0</v>
      </c>
      <c r="AC202" s="1">
        <f t="shared" si="23"/>
        <v>1</v>
      </c>
      <c r="AD202" s="1">
        <f t="shared" si="24"/>
        <v>0</v>
      </c>
    </row>
    <row r="203" spans="19:30">
      <c r="S203" s="17">
        <v>10</v>
      </c>
      <c r="T203" s="18"/>
      <c r="U203" s="17">
        <v>2</v>
      </c>
      <c r="V203" s="17" t="s">
        <v>14</v>
      </c>
      <c r="W203" s="18">
        <v>0</v>
      </c>
      <c r="X203" s="18" t="s">
        <v>342</v>
      </c>
      <c r="Y203" s="18">
        <f t="shared" si="21"/>
        <v>4</v>
      </c>
      <c r="Z203" s="17" t="s">
        <v>69</v>
      </c>
      <c r="AA203" s="17">
        <v>1</v>
      </c>
      <c r="AB203" s="1">
        <f t="shared" si="22"/>
        <v>0</v>
      </c>
      <c r="AC203" s="1">
        <f t="shared" si="23"/>
        <v>0</v>
      </c>
      <c r="AD203" s="1">
        <f t="shared" si="24"/>
        <v>1</v>
      </c>
    </row>
    <row r="204" spans="19:30">
      <c r="S204" s="17">
        <v>11</v>
      </c>
      <c r="T204" s="18"/>
      <c r="U204" s="17">
        <v>1</v>
      </c>
      <c r="V204" s="17" t="s">
        <v>14</v>
      </c>
      <c r="W204" s="18">
        <v>0</v>
      </c>
      <c r="X204" s="18" t="s">
        <v>342</v>
      </c>
      <c r="Y204" s="18">
        <f t="shared" si="21"/>
        <v>4</v>
      </c>
      <c r="Z204" s="17" t="s">
        <v>117</v>
      </c>
      <c r="AA204" s="17">
        <v>2</v>
      </c>
      <c r="AB204" s="1">
        <f t="shared" si="22"/>
        <v>0</v>
      </c>
      <c r="AC204" s="1">
        <f t="shared" si="23"/>
        <v>0</v>
      </c>
      <c r="AD204" s="1">
        <f t="shared" si="24"/>
        <v>1</v>
      </c>
    </row>
    <row r="205" spans="19:30">
      <c r="S205" s="17">
        <v>12</v>
      </c>
      <c r="T205" s="18"/>
      <c r="U205" s="17">
        <v>1</v>
      </c>
      <c r="V205" s="17" t="s">
        <v>14</v>
      </c>
      <c r="W205" s="18">
        <v>0</v>
      </c>
      <c r="X205" s="18" t="s">
        <v>342</v>
      </c>
      <c r="Y205" s="18">
        <f t="shared" si="21"/>
        <v>4</v>
      </c>
      <c r="Z205" s="17" t="s">
        <v>119</v>
      </c>
      <c r="AA205" s="17">
        <v>2</v>
      </c>
      <c r="AB205" s="1">
        <f t="shared" si="22"/>
        <v>0</v>
      </c>
      <c r="AC205" s="1">
        <f t="shared" si="23"/>
        <v>0</v>
      </c>
      <c r="AD205" s="1">
        <f t="shared" si="24"/>
        <v>1</v>
      </c>
    </row>
    <row r="206" spans="19:30" ht="12.75" customHeight="1">
      <c r="S206" s="17">
        <v>13</v>
      </c>
      <c r="T206" s="18"/>
      <c r="U206" s="17">
        <v>2</v>
      </c>
      <c r="V206" s="17" t="s">
        <v>14</v>
      </c>
      <c r="W206" s="18">
        <v>4</v>
      </c>
      <c r="X206" s="18" t="s">
        <v>342</v>
      </c>
      <c r="Y206" s="18">
        <f t="shared" si="21"/>
        <v>0</v>
      </c>
      <c r="Z206" s="17" t="s">
        <v>343</v>
      </c>
      <c r="AA206" s="17">
        <v>1</v>
      </c>
      <c r="AB206" s="1">
        <f t="shared" si="22"/>
        <v>1</v>
      </c>
      <c r="AC206" s="1">
        <f t="shared" si="23"/>
        <v>0</v>
      </c>
      <c r="AD206" s="1">
        <f t="shared" si="24"/>
        <v>0</v>
      </c>
    </row>
    <row r="207" spans="19:30">
      <c r="S207" s="17">
        <v>14</v>
      </c>
      <c r="T207" s="18"/>
      <c r="U207" s="17">
        <v>1</v>
      </c>
      <c r="V207" s="17" t="s">
        <v>14</v>
      </c>
      <c r="W207" s="18">
        <v>2</v>
      </c>
      <c r="X207" s="18" t="s">
        <v>342</v>
      </c>
      <c r="Y207" s="18">
        <f t="shared" si="21"/>
        <v>2</v>
      </c>
      <c r="Z207" s="17" t="s">
        <v>85</v>
      </c>
      <c r="AA207" s="17">
        <v>2</v>
      </c>
      <c r="AB207" s="1">
        <f t="shared" si="22"/>
        <v>0</v>
      </c>
      <c r="AC207" s="1">
        <f t="shared" si="23"/>
        <v>1</v>
      </c>
      <c r="AD207" s="1">
        <f t="shared" si="24"/>
        <v>0</v>
      </c>
    </row>
    <row r="208" spans="19:30">
      <c r="S208" s="17">
        <v>15</v>
      </c>
      <c r="T208" s="18"/>
      <c r="U208" s="17">
        <v>1</v>
      </c>
      <c r="V208" s="17" t="s">
        <v>14</v>
      </c>
      <c r="W208" s="18">
        <v>2</v>
      </c>
      <c r="X208" s="18" t="s">
        <v>342</v>
      </c>
      <c r="Y208" s="18">
        <f t="shared" si="21"/>
        <v>2</v>
      </c>
      <c r="Z208" s="17" t="s">
        <v>21</v>
      </c>
      <c r="AA208" s="17">
        <v>2</v>
      </c>
      <c r="AB208" s="1">
        <f t="shared" si="22"/>
        <v>0</v>
      </c>
      <c r="AC208" s="1">
        <f t="shared" si="23"/>
        <v>1</v>
      </c>
      <c r="AD208" s="1">
        <f t="shared" si="24"/>
        <v>0</v>
      </c>
    </row>
    <row r="209" spans="19:30" ht="12.75" customHeight="1">
      <c r="S209" s="58" t="s">
        <v>339</v>
      </c>
      <c r="T209" s="58" t="s">
        <v>340</v>
      </c>
      <c r="U209" s="58" t="s">
        <v>341</v>
      </c>
      <c r="V209" s="58" t="s">
        <v>1</v>
      </c>
      <c r="W209" s="69" t="s">
        <v>220</v>
      </c>
      <c r="X209" s="70"/>
      <c r="Y209" s="71"/>
      <c r="Z209" s="58" t="s">
        <v>1</v>
      </c>
      <c r="AA209" s="58" t="s">
        <v>341</v>
      </c>
      <c r="AB209" s="1">
        <f t="shared" si="22"/>
        <v>1</v>
      </c>
      <c r="AC209" s="1">
        <f t="shared" si="23"/>
        <v>0</v>
      </c>
      <c r="AD209" s="1">
        <f t="shared" si="24"/>
        <v>0</v>
      </c>
    </row>
    <row r="210" spans="19:30">
      <c r="S210" s="17">
        <v>1</v>
      </c>
      <c r="T210" s="18"/>
      <c r="U210" s="17">
        <v>1</v>
      </c>
      <c r="V210" s="17" t="s">
        <v>21</v>
      </c>
      <c r="W210" s="18">
        <v>0</v>
      </c>
      <c r="X210" s="18" t="s">
        <v>342</v>
      </c>
      <c r="Y210" s="18">
        <f>IF(W210="","",4-W210)</f>
        <v>4</v>
      </c>
      <c r="Z210" s="17" t="s">
        <v>29</v>
      </c>
      <c r="AA210" s="17">
        <v>2</v>
      </c>
      <c r="AB210" s="1">
        <f t="shared" si="22"/>
        <v>0</v>
      </c>
      <c r="AC210" s="1">
        <f t="shared" si="23"/>
        <v>0</v>
      </c>
      <c r="AD210" s="1">
        <f t="shared" si="24"/>
        <v>1</v>
      </c>
    </row>
    <row r="211" spans="19:30">
      <c r="S211" s="17">
        <v>2</v>
      </c>
      <c r="T211" s="18"/>
      <c r="U211" s="17">
        <v>1</v>
      </c>
      <c r="V211" s="17" t="s">
        <v>21</v>
      </c>
      <c r="W211" s="18">
        <v>1</v>
      </c>
      <c r="X211" s="18" t="s">
        <v>342</v>
      </c>
      <c r="Y211" s="18">
        <f t="shared" ref="Y211:Y224" si="25">IF(W211="","",4-W211)</f>
        <v>3</v>
      </c>
      <c r="Z211" s="17" t="s">
        <v>125</v>
      </c>
      <c r="AA211" s="17">
        <v>2</v>
      </c>
      <c r="AB211" s="1">
        <f t="shared" si="22"/>
        <v>0</v>
      </c>
      <c r="AC211" s="1">
        <f t="shared" si="23"/>
        <v>0</v>
      </c>
      <c r="AD211" s="1">
        <f t="shared" si="24"/>
        <v>1</v>
      </c>
    </row>
    <row r="212" spans="19:30">
      <c r="S212" s="17">
        <v>3</v>
      </c>
      <c r="T212" s="18"/>
      <c r="U212" s="17">
        <v>1</v>
      </c>
      <c r="V212" s="17" t="s">
        <v>21</v>
      </c>
      <c r="W212" s="18">
        <v>0</v>
      </c>
      <c r="X212" s="18" t="s">
        <v>342</v>
      </c>
      <c r="Y212" s="18">
        <f t="shared" si="25"/>
        <v>4</v>
      </c>
      <c r="Z212" s="17" t="s">
        <v>39</v>
      </c>
      <c r="AA212" s="17">
        <v>2</v>
      </c>
      <c r="AB212" s="1">
        <f t="shared" si="22"/>
        <v>0</v>
      </c>
      <c r="AC212" s="1">
        <f t="shared" si="23"/>
        <v>0</v>
      </c>
      <c r="AD212" s="1">
        <f t="shared" si="24"/>
        <v>1</v>
      </c>
    </row>
    <row r="213" spans="19:30">
      <c r="S213" s="17">
        <v>4</v>
      </c>
      <c r="T213" s="18"/>
      <c r="U213" s="17">
        <v>1</v>
      </c>
      <c r="V213" s="17" t="s">
        <v>21</v>
      </c>
      <c r="W213" s="18">
        <v>0</v>
      </c>
      <c r="X213" s="18" t="s">
        <v>342</v>
      </c>
      <c r="Y213" s="18">
        <f t="shared" si="25"/>
        <v>4</v>
      </c>
      <c r="Z213" s="17" t="s">
        <v>81</v>
      </c>
      <c r="AA213" s="17">
        <v>2</v>
      </c>
      <c r="AB213" s="1">
        <f t="shared" si="22"/>
        <v>0</v>
      </c>
      <c r="AC213" s="1">
        <f t="shared" si="23"/>
        <v>0</v>
      </c>
      <c r="AD213" s="1">
        <f t="shared" si="24"/>
        <v>1</v>
      </c>
    </row>
    <row r="214" spans="19:30">
      <c r="S214" s="17">
        <v>5</v>
      </c>
      <c r="T214" s="18"/>
      <c r="U214" s="17">
        <v>1</v>
      </c>
      <c r="V214" s="17" t="s">
        <v>21</v>
      </c>
      <c r="W214" s="18">
        <v>1</v>
      </c>
      <c r="X214" s="18" t="s">
        <v>342</v>
      </c>
      <c r="Y214" s="18">
        <f t="shared" si="25"/>
        <v>3</v>
      </c>
      <c r="Z214" s="17" t="s">
        <v>27</v>
      </c>
      <c r="AA214" s="17">
        <v>2</v>
      </c>
      <c r="AB214" s="1">
        <f t="shared" si="22"/>
        <v>0</v>
      </c>
      <c r="AC214" s="1">
        <f t="shared" si="23"/>
        <v>0</v>
      </c>
      <c r="AD214" s="1">
        <f t="shared" si="24"/>
        <v>1</v>
      </c>
    </row>
    <row r="215" spans="19:30">
      <c r="S215" s="17">
        <v>6</v>
      </c>
      <c r="T215" s="18"/>
      <c r="U215" s="17">
        <v>2</v>
      </c>
      <c r="V215" s="17" t="s">
        <v>21</v>
      </c>
      <c r="W215" s="18">
        <v>0</v>
      </c>
      <c r="X215" s="18" t="s">
        <v>342</v>
      </c>
      <c r="Y215" s="18">
        <f t="shared" si="25"/>
        <v>4</v>
      </c>
      <c r="Z215" s="17" t="s">
        <v>111</v>
      </c>
      <c r="AA215" s="17">
        <v>1</v>
      </c>
      <c r="AB215" s="1">
        <f t="shared" si="22"/>
        <v>0</v>
      </c>
      <c r="AC215" s="1">
        <f t="shared" si="23"/>
        <v>0</v>
      </c>
      <c r="AD215" s="1">
        <f t="shared" si="24"/>
        <v>1</v>
      </c>
    </row>
    <row r="216" spans="19:30">
      <c r="S216" s="17">
        <v>7</v>
      </c>
      <c r="T216" s="18"/>
      <c r="U216" s="17">
        <v>1</v>
      </c>
      <c r="V216" s="17" t="s">
        <v>21</v>
      </c>
      <c r="W216" s="18">
        <v>0</v>
      </c>
      <c r="X216" s="18" t="s">
        <v>342</v>
      </c>
      <c r="Y216" s="18">
        <f t="shared" si="25"/>
        <v>4</v>
      </c>
      <c r="Z216" s="17" t="s">
        <v>107</v>
      </c>
      <c r="AA216" s="17">
        <v>2</v>
      </c>
      <c r="AB216" s="1">
        <f t="shared" si="22"/>
        <v>0</v>
      </c>
      <c r="AC216" s="1">
        <f t="shared" si="23"/>
        <v>0</v>
      </c>
      <c r="AD216" s="1">
        <f t="shared" si="24"/>
        <v>1</v>
      </c>
    </row>
    <row r="217" spans="19:30">
      <c r="S217" s="17">
        <v>8</v>
      </c>
      <c r="T217" s="18"/>
      <c r="U217" s="17">
        <v>2</v>
      </c>
      <c r="V217" s="17" t="s">
        <v>21</v>
      </c>
      <c r="W217" s="18">
        <v>1</v>
      </c>
      <c r="X217" s="18" t="s">
        <v>342</v>
      </c>
      <c r="Y217" s="18">
        <f t="shared" si="25"/>
        <v>3</v>
      </c>
      <c r="Z217" s="17" t="s">
        <v>97</v>
      </c>
      <c r="AA217" s="17">
        <v>1</v>
      </c>
      <c r="AB217" s="1">
        <f t="shared" si="22"/>
        <v>0</v>
      </c>
      <c r="AC217" s="1">
        <f t="shared" si="23"/>
        <v>0</v>
      </c>
      <c r="AD217" s="1">
        <f t="shared" si="24"/>
        <v>1</v>
      </c>
    </row>
    <row r="218" spans="19:30">
      <c r="S218" s="17">
        <v>9</v>
      </c>
      <c r="T218" s="18"/>
      <c r="U218" s="17">
        <v>1</v>
      </c>
      <c r="V218" s="17" t="s">
        <v>21</v>
      </c>
      <c r="W218" s="18">
        <v>0</v>
      </c>
      <c r="X218" s="18" t="s">
        <v>342</v>
      </c>
      <c r="Y218" s="18">
        <f t="shared" si="25"/>
        <v>4</v>
      </c>
      <c r="Z218" s="17" t="s">
        <v>69</v>
      </c>
      <c r="AA218" s="17">
        <v>2</v>
      </c>
      <c r="AB218" s="1">
        <f t="shared" si="22"/>
        <v>0</v>
      </c>
      <c r="AC218" s="1">
        <f t="shared" si="23"/>
        <v>0</v>
      </c>
      <c r="AD218" s="1">
        <f t="shared" si="24"/>
        <v>1</v>
      </c>
    </row>
    <row r="219" spans="19:30">
      <c r="S219" s="17">
        <v>10</v>
      </c>
      <c r="T219" s="18"/>
      <c r="U219" s="17">
        <v>1</v>
      </c>
      <c r="V219" s="17" t="s">
        <v>21</v>
      </c>
      <c r="W219" s="18">
        <v>3</v>
      </c>
      <c r="X219" s="18" t="s">
        <v>342</v>
      </c>
      <c r="Y219" s="18">
        <f t="shared" si="25"/>
        <v>1</v>
      </c>
      <c r="Z219" s="17" t="s">
        <v>53</v>
      </c>
      <c r="AA219" s="17">
        <v>2</v>
      </c>
      <c r="AB219" s="1">
        <f t="shared" si="22"/>
        <v>1</v>
      </c>
      <c r="AC219" s="1">
        <f t="shared" si="23"/>
        <v>0</v>
      </c>
      <c r="AD219" s="1">
        <f t="shared" si="24"/>
        <v>0</v>
      </c>
    </row>
    <row r="220" spans="19:30">
      <c r="S220" s="17">
        <v>11</v>
      </c>
      <c r="T220" s="18"/>
      <c r="U220" s="17">
        <v>1</v>
      </c>
      <c r="V220" s="17" t="s">
        <v>21</v>
      </c>
      <c r="W220" s="18">
        <v>0</v>
      </c>
      <c r="X220" s="18" t="s">
        <v>342</v>
      </c>
      <c r="Y220" s="18">
        <f t="shared" si="25"/>
        <v>4</v>
      </c>
      <c r="Z220" s="17" t="s">
        <v>119</v>
      </c>
      <c r="AA220" s="17">
        <v>2</v>
      </c>
      <c r="AB220" s="1">
        <f t="shared" si="22"/>
        <v>0</v>
      </c>
      <c r="AC220" s="1">
        <f t="shared" si="23"/>
        <v>0</v>
      </c>
      <c r="AD220" s="1">
        <f t="shared" si="24"/>
        <v>1</v>
      </c>
    </row>
    <row r="221" spans="19:30">
      <c r="S221" s="17">
        <v>12</v>
      </c>
      <c r="T221" s="18"/>
      <c r="U221" s="17">
        <v>2</v>
      </c>
      <c r="V221" s="17" t="s">
        <v>21</v>
      </c>
      <c r="W221" s="18">
        <v>3</v>
      </c>
      <c r="X221" s="18" t="s">
        <v>342</v>
      </c>
      <c r="Y221" s="18">
        <f t="shared" si="25"/>
        <v>1</v>
      </c>
      <c r="Z221" s="17" t="s">
        <v>117</v>
      </c>
      <c r="AA221" s="17">
        <v>1</v>
      </c>
      <c r="AB221" s="1">
        <f t="shared" si="22"/>
        <v>1</v>
      </c>
      <c r="AC221" s="1">
        <f t="shared" si="23"/>
        <v>0</v>
      </c>
      <c r="AD221" s="1">
        <f t="shared" si="24"/>
        <v>0</v>
      </c>
    </row>
    <row r="222" spans="19:30">
      <c r="S222" s="17">
        <v>13</v>
      </c>
      <c r="T222" s="18"/>
      <c r="U222" s="17">
        <v>2</v>
      </c>
      <c r="V222" s="17" t="s">
        <v>21</v>
      </c>
      <c r="W222" s="18">
        <v>4</v>
      </c>
      <c r="X222" s="18" t="s">
        <v>342</v>
      </c>
      <c r="Y222" s="18">
        <f t="shared" si="25"/>
        <v>0</v>
      </c>
      <c r="Z222" s="17" t="s">
        <v>85</v>
      </c>
      <c r="AA222" s="17">
        <v>1</v>
      </c>
      <c r="AB222" s="1">
        <f t="shared" si="22"/>
        <v>1</v>
      </c>
      <c r="AC222" s="1">
        <f t="shared" si="23"/>
        <v>0</v>
      </c>
      <c r="AD222" s="1">
        <f t="shared" si="24"/>
        <v>0</v>
      </c>
    </row>
    <row r="223" spans="19:30" ht="12.75" customHeight="1">
      <c r="S223" s="17">
        <v>14</v>
      </c>
      <c r="T223" s="18"/>
      <c r="U223" s="17">
        <v>2</v>
      </c>
      <c r="V223" s="17" t="s">
        <v>21</v>
      </c>
      <c r="W223" s="18">
        <v>4</v>
      </c>
      <c r="X223" s="18" t="s">
        <v>342</v>
      </c>
      <c r="Y223" s="18">
        <f t="shared" si="25"/>
        <v>0</v>
      </c>
      <c r="Z223" s="17" t="s">
        <v>343</v>
      </c>
      <c r="AA223" s="17">
        <v>1</v>
      </c>
      <c r="AB223" s="1">
        <f t="shared" si="22"/>
        <v>1</v>
      </c>
      <c r="AC223" s="1">
        <f t="shared" si="23"/>
        <v>0</v>
      </c>
      <c r="AD223" s="1">
        <f t="shared" si="24"/>
        <v>0</v>
      </c>
    </row>
    <row r="224" spans="19:30">
      <c r="S224" s="17">
        <v>15</v>
      </c>
      <c r="T224" s="18"/>
      <c r="U224" s="17">
        <v>2</v>
      </c>
      <c r="V224" s="17" t="s">
        <v>21</v>
      </c>
      <c r="W224" s="18">
        <v>2</v>
      </c>
      <c r="X224" s="18" t="s">
        <v>342</v>
      </c>
      <c r="Y224" s="18">
        <f t="shared" si="25"/>
        <v>2</v>
      </c>
      <c r="Z224" s="17" t="s">
        <v>14</v>
      </c>
      <c r="AA224" s="17">
        <v>1</v>
      </c>
      <c r="AB224" s="1">
        <f t="shared" si="22"/>
        <v>0</v>
      </c>
      <c r="AC224" s="1">
        <f t="shared" si="23"/>
        <v>1</v>
      </c>
      <c r="AD224" s="1">
        <f t="shared" si="24"/>
        <v>0</v>
      </c>
    </row>
    <row r="225" spans="19:30" ht="12.75" customHeight="1">
      <c r="S225" s="58" t="s">
        <v>339</v>
      </c>
      <c r="T225" s="58" t="s">
        <v>340</v>
      </c>
      <c r="U225" s="58" t="s">
        <v>341</v>
      </c>
      <c r="V225" s="58" t="s">
        <v>1</v>
      </c>
      <c r="W225" s="69" t="s">
        <v>220</v>
      </c>
      <c r="X225" s="70"/>
      <c r="Y225" s="71"/>
      <c r="Z225" s="58" t="s">
        <v>1</v>
      </c>
      <c r="AA225" s="58" t="s">
        <v>341</v>
      </c>
      <c r="AB225" s="1">
        <f t="shared" si="22"/>
        <v>1</v>
      </c>
      <c r="AC225" s="1">
        <f t="shared" si="23"/>
        <v>0</v>
      </c>
      <c r="AD225" s="1">
        <f t="shared" si="24"/>
        <v>0</v>
      </c>
    </row>
    <row r="226" spans="19:30">
      <c r="S226" s="17">
        <v>1</v>
      </c>
      <c r="T226" s="18"/>
      <c r="U226" s="17">
        <v>2</v>
      </c>
      <c r="V226" s="17" t="s">
        <v>85</v>
      </c>
      <c r="W226" s="18">
        <v>0</v>
      </c>
      <c r="X226" s="18" t="s">
        <v>342</v>
      </c>
      <c r="Y226" s="18">
        <f>IF(W226="","",4-W226)</f>
        <v>4</v>
      </c>
      <c r="Z226" s="17" t="s">
        <v>81</v>
      </c>
      <c r="AA226" s="17">
        <v>1</v>
      </c>
      <c r="AB226" s="1">
        <f t="shared" si="22"/>
        <v>0</v>
      </c>
      <c r="AC226" s="1">
        <f t="shared" si="23"/>
        <v>0</v>
      </c>
      <c r="AD226" s="1">
        <f t="shared" si="24"/>
        <v>1</v>
      </c>
    </row>
    <row r="227" spans="19:30">
      <c r="S227" s="17">
        <v>2</v>
      </c>
      <c r="T227" s="18"/>
      <c r="U227" s="17">
        <v>2</v>
      </c>
      <c r="V227" s="17" t="s">
        <v>85</v>
      </c>
      <c r="W227" s="18">
        <v>0</v>
      </c>
      <c r="X227" s="18" t="s">
        <v>342</v>
      </c>
      <c r="Y227" s="18">
        <f t="shared" ref="Y227:Y240" si="26">IF(W227="","",4-W227)</f>
        <v>4</v>
      </c>
      <c r="Z227" s="17" t="s">
        <v>39</v>
      </c>
      <c r="AA227" s="17">
        <v>1</v>
      </c>
      <c r="AB227" s="1">
        <f t="shared" si="22"/>
        <v>0</v>
      </c>
      <c r="AC227" s="1">
        <f t="shared" si="23"/>
        <v>0</v>
      </c>
      <c r="AD227" s="1">
        <f t="shared" si="24"/>
        <v>1</v>
      </c>
    </row>
    <row r="228" spans="19:30">
      <c r="S228" s="17">
        <v>3</v>
      </c>
      <c r="T228" s="18"/>
      <c r="U228" s="17">
        <v>1</v>
      </c>
      <c r="V228" s="17" t="s">
        <v>85</v>
      </c>
      <c r="W228" s="18">
        <v>0</v>
      </c>
      <c r="X228" s="18" t="s">
        <v>342</v>
      </c>
      <c r="Y228" s="18">
        <f t="shared" si="26"/>
        <v>4</v>
      </c>
      <c r="Z228" s="17" t="s">
        <v>125</v>
      </c>
      <c r="AA228" s="17">
        <v>2</v>
      </c>
      <c r="AB228" s="1">
        <f t="shared" si="22"/>
        <v>0</v>
      </c>
      <c r="AC228" s="1">
        <f t="shared" si="23"/>
        <v>0</v>
      </c>
      <c r="AD228" s="1">
        <f t="shared" si="24"/>
        <v>1</v>
      </c>
    </row>
    <row r="229" spans="19:30">
      <c r="S229" s="17">
        <v>4</v>
      </c>
      <c r="T229" s="18"/>
      <c r="U229" s="17">
        <v>2</v>
      </c>
      <c r="V229" s="17" t="s">
        <v>85</v>
      </c>
      <c r="W229" s="18">
        <v>0</v>
      </c>
      <c r="X229" s="18" t="s">
        <v>342</v>
      </c>
      <c r="Y229" s="18">
        <f t="shared" si="26"/>
        <v>4</v>
      </c>
      <c r="Z229" s="17" t="s">
        <v>29</v>
      </c>
      <c r="AA229" s="17">
        <v>1</v>
      </c>
      <c r="AB229" s="1">
        <f t="shared" si="22"/>
        <v>0</v>
      </c>
      <c r="AC229" s="1">
        <f t="shared" si="23"/>
        <v>0</v>
      </c>
      <c r="AD229" s="1">
        <f t="shared" si="24"/>
        <v>1</v>
      </c>
    </row>
    <row r="230" spans="19:30">
      <c r="S230" s="17">
        <v>5</v>
      </c>
      <c r="T230" s="18"/>
      <c r="U230" s="17">
        <v>1</v>
      </c>
      <c r="V230" s="17" t="s">
        <v>85</v>
      </c>
      <c r="W230" s="18">
        <v>1</v>
      </c>
      <c r="X230" s="18" t="s">
        <v>342</v>
      </c>
      <c r="Y230" s="18">
        <f t="shared" si="26"/>
        <v>3</v>
      </c>
      <c r="Z230" s="17" t="s">
        <v>97</v>
      </c>
      <c r="AA230" s="17">
        <v>2</v>
      </c>
      <c r="AB230" s="1">
        <f t="shared" si="22"/>
        <v>0</v>
      </c>
      <c r="AC230" s="1">
        <f t="shared" si="23"/>
        <v>0</v>
      </c>
      <c r="AD230" s="1">
        <f t="shared" si="24"/>
        <v>1</v>
      </c>
    </row>
    <row r="231" spans="19:30">
      <c r="S231" s="17">
        <v>6</v>
      </c>
      <c r="T231" s="18"/>
      <c r="U231" s="17">
        <v>2</v>
      </c>
      <c r="V231" s="17" t="s">
        <v>85</v>
      </c>
      <c r="W231" s="18">
        <v>0</v>
      </c>
      <c r="X231" s="18" t="s">
        <v>342</v>
      </c>
      <c r="Y231" s="18">
        <f t="shared" si="26"/>
        <v>4</v>
      </c>
      <c r="Z231" s="17" t="s">
        <v>107</v>
      </c>
      <c r="AA231" s="17">
        <v>1</v>
      </c>
      <c r="AB231" s="1">
        <f t="shared" si="22"/>
        <v>0</v>
      </c>
      <c r="AC231" s="1">
        <f t="shared" si="23"/>
        <v>0</v>
      </c>
      <c r="AD231" s="1">
        <f t="shared" si="24"/>
        <v>1</v>
      </c>
    </row>
    <row r="232" spans="19:30">
      <c r="S232" s="17">
        <v>7</v>
      </c>
      <c r="T232" s="18"/>
      <c r="U232" s="17">
        <v>1</v>
      </c>
      <c r="V232" s="17" t="s">
        <v>85</v>
      </c>
      <c r="W232" s="18">
        <v>0</v>
      </c>
      <c r="X232" s="18" t="s">
        <v>342</v>
      </c>
      <c r="Y232" s="18">
        <f t="shared" si="26"/>
        <v>4</v>
      </c>
      <c r="Z232" s="17" t="s">
        <v>111</v>
      </c>
      <c r="AA232" s="17">
        <v>2</v>
      </c>
      <c r="AB232" s="1">
        <f t="shared" si="22"/>
        <v>0</v>
      </c>
      <c r="AC232" s="1">
        <f t="shared" si="23"/>
        <v>0</v>
      </c>
      <c r="AD232" s="1">
        <f t="shared" si="24"/>
        <v>1</v>
      </c>
    </row>
    <row r="233" spans="19:30">
      <c r="S233" s="17">
        <v>8</v>
      </c>
      <c r="T233" s="18"/>
      <c r="U233" s="17">
        <v>1</v>
      </c>
      <c r="V233" s="17" t="s">
        <v>85</v>
      </c>
      <c r="W233" s="18">
        <v>0</v>
      </c>
      <c r="X233" s="18" t="s">
        <v>342</v>
      </c>
      <c r="Y233" s="18">
        <f t="shared" si="26"/>
        <v>4</v>
      </c>
      <c r="Z233" s="17" t="s">
        <v>27</v>
      </c>
      <c r="AA233" s="17">
        <v>2</v>
      </c>
      <c r="AB233" s="1">
        <f t="shared" si="22"/>
        <v>0</v>
      </c>
      <c r="AC233" s="1">
        <f t="shared" si="23"/>
        <v>0</v>
      </c>
      <c r="AD233" s="1">
        <f t="shared" si="24"/>
        <v>1</v>
      </c>
    </row>
    <row r="234" spans="19:30">
      <c r="S234" s="17">
        <v>9</v>
      </c>
      <c r="T234" s="18"/>
      <c r="U234" s="17">
        <v>2</v>
      </c>
      <c r="V234" s="17" t="s">
        <v>85</v>
      </c>
      <c r="W234" s="18">
        <v>1</v>
      </c>
      <c r="X234" s="18" t="s">
        <v>342</v>
      </c>
      <c r="Y234" s="18">
        <f t="shared" si="26"/>
        <v>3</v>
      </c>
      <c r="Z234" s="17" t="s">
        <v>117</v>
      </c>
      <c r="AA234" s="17">
        <v>1</v>
      </c>
      <c r="AB234" s="1">
        <f t="shared" si="22"/>
        <v>0</v>
      </c>
      <c r="AC234" s="1">
        <f t="shared" si="23"/>
        <v>0</v>
      </c>
      <c r="AD234" s="1">
        <f t="shared" si="24"/>
        <v>1</v>
      </c>
    </row>
    <row r="235" spans="19:30">
      <c r="S235" s="17">
        <v>10</v>
      </c>
      <c r="T235" s="18"/>
      <c r="U235" s="17">
        <v>1</v>
      </c>
      <c r="V235" s="17" t="s">
        <v>85</v>
      </c>
      <c r="W235" s="18">
        <v>0</v>
      </c>
      <c r="X235" s="18" t="s">
        <v>342</v>
      </c>
      <c r="Y235" s="18">
        <f t="shared" si="26"/>
        <v>4</v>
      </c>
      <c r="Z235" s="17" t="s">
        <v>119</v>
      </c>
      <c r="AA235" s="17">
        <v>2</v>
      </c>
      <c r="AB235" s="1">
        <f t="shared" si="22"/>
        <v>0</v>
      </c>
      <c r="AC235" s="1">
        <f t="shared" si="23"/>
        <v>0</v>
      </c>
      <c r="AD235" s="1">
        <f t="shared" si="24"/>
        <v>1</v>
      </c>
    </row>
    <row r="236" spans="19:30">
      <c r="S236" s="17">
        <v>11</v>
      </c>
      <c r="T236" s="18"/>
      <c r="U236" s="17">
        <v>2</v>
      </c>
      <c r="V236" s="17" t="s">
        <v>85</v>
      </c>
      <c r="W236" s="18">
        <v>1</v>
      </c>
      <c r="X236" s="18" t="s">
        <v>342</v>
      </c>
      <c r="Y236" s="18">
        <f t="shared" si="26"/>
        <v>3</v>
      </c>
      <c r="Z236" s="17" t="s">
        <v>53</v>
      </c>
      <c r="AA236" s="17">
        <v>1</v>
      </c>
      <c r="AB236" s="1">
        <f t="shared" si="22"/>
        <v>0</v>
      </c>
      <c r="AC236" s="1">
        <f t="shared" si="23"/>
        <v>0</v>
      </c>
      <c r="AD236" s="1">
        <f t="shared" si="24"/>
        <v>1</v>
      </c>
    </row>
    <row r="237" spans="19:30">
      <c r="S237" s="17">
        <v>12</v>
      </c>
      <c r="T237" s="18"/>
      <c r="U237" s="17">
        <v>2</v>
      </c>
      <c r="V237" s="17" t="s">
        <v>85</v>
      </c>
      <c r="W237" s="18">
        <v>1</v>
      </c>
      <c r="X237" s="18" t="s">
        <v>342</v>
      </c>
      <c r="Y237" s="18">
        <f t="shared" si="26"/>
        <v>3</v>
      </c>
      <c r="Z237" s="17" t="s">
        <v>69</v>
      </c>
      <c r="AA237" s="17">
        <v>1</v>
      </c>
      <c r="AB237" s="1">
        <f t="shared" si="22"/>
        <v>0</v>
      </c>
      <c r="AC237" s="1">
        <f t="shared" si="23"/>
        <v>0</v>
      </c>
      <c r="AD237" s="1">
        <f t="shared" si="24"/>
        <v>1</v>
      </c>
    </row>
    <row r="238" spans="19:30">
      <c r="S238" s="17">
        <v>13</v>
      </c>
      <c r="T238" s="18"/>
      <c r="U238" s="17">
        <v>1</v>
      </c>
      <c r="V238" s="17" t="s">
        <v>85</v>
      </c>
      <c r="W238" s="18">
        <v>0</v>
      </c>
      <c r="X238" s="18" t="s">
        <v>342</v>
      </c>
      <c r="Y238" s="18">
        <f t="shared" si="26"/>
        <v>4</v>
      </c>
      <c r="Z238" s="17" t="s">
        <v>21</v>
      </c>
      <c r="AA238" s="17">
        <v>2</v>
      </c>
      <c r="AB238" s="1">
        <f t="shared" si="22"/>
        <v>0</v>
      </c>
      <c r="AC238" s="1">
        <f t="shared" si="23"/>
        <v>0</v>
      </c>
      <c r="AD238" s="1">
        <f t="shared" si="24"/>
        <v>1</v>
      </c>
    </row>
    <row r="239" spans="19:30">
      <c r="S239" s="17">
        <v>14</v>
      </c>
      <c r="T239" s="18"/>
      <c r="U239" s="17">
        <v>2</v>
      </c>
      <c r="V239" s="17" t="s">
        <v>85</v>
      </c>
      <c r="W239" s="18">
        <v>2</v>
      </c>
      <c r="X239" s="18" t="s">
        <v>342</v>
      </c>
      <c r="Y239" s="18">
        <f t="shared" si="26"/>
        <v>2</v>
      </c>
      <c r="Z239" s="17" t="s">
        <v>14</v>
      </c>
      <c r="AA239" s="17">
        <v>1</v>
      </c>
      <c r="AB239" s="1">
        <f t="shared" si="22"/>
        <v>0</v>
      </c>
      <c r="AC239" s="1">
        <f t="shared" si="23"/>
        <v>1</v>
      </c>
      <c r="AD239" s="1">
        <f t="shared" si="24"/>
        <v>0</v>
      </c>
    </row>
    <row r="240" spans="19:30" ht="12.75" customHeight="1">
      <c r="S240" s="17">
        <v>15</v>
      </c>
      <c r="T240" s="18"/>
      <c r="U240" s="17">
        <v>2</v>
      </c>
      <c r="V240" s="17" t="s">
        <v>85</v>
      </c>
      <c r="W240" s="18">
        <v>4</v>
      </c>
      <c r="X240" s="18" t="s">
        <v>342</v>
      </c>
      <c r="Y240" s="18">
        <f t="shared" si="26"/>
        <v>0</v>
      </c>
      <c r="Z240" s="17" t="s">
        <v>343</v>
      </c>
      <c r="AA240" s="17">
        <v>1</v>
      </c>
      <c r="AB240" s="1">
        <f t="shared" si="22"/>
        <v>1</v>
      </c>
      <c r="AC240" s="1">
        <f t="shared" si="23"/>
        <v>0</v>
      </c>
      <c r="AD240" s="1">
        <f t="shared" si="24"/>
        <v>0</v>
      </c>
    </row>
    <row r="241" spans="19:30" ht="12.75" customHeight="1">
      <c r="S241" s="58" t="s">
        <v>339</v>
      </c>
      <c r="T241" s="58" t="s">
        <v>340</v>
      </c>
      <c r="U241" s="58" t="s">
        <v>341</v>
      </c>
      <c r="V241" s="58" t="s">
        <v>1</v>
      </c>
      <c r="W241" s="69" t="s">
        <v>220</v>
      </c>
      <c r="X241" s="70"/>
      <c r="Y241" s="71"/>
      <c r="Z241" s="58" t="s">
        <v>1</v>
      </c>
      <c r="AA241" s="58" t="s">
        <v>341</v>
      </c>
      <c r="AB241" s="1">
        <f t="shared" si="22"/>
        <v>1</v>
      </c>
      <c r="AC241" s="1">
        <f t="shared" si="23"/>
        <v>0</v>
      </c>
      <c r="AD241" s="1">
        <f t="shared" si="24"/>
        <v>0</v>
      </c>
    </row>
    <row r="242" spans="19:30">
      <c r="S242" s="17">
        <v>1</v>
      </c>
      <c r="T242" s="18"/>
      <c r="U242" s="17">
        <v>1</v>
      </c>
      <c r="V242" s="17" t="s">
        <v>343</v>
      </c>
      <c r="W242" s="18">
        <v>0</v>
      </c>
      <c r="X242" s="18" t="s">
        <v>342</v>
      </c>
      <c r="Y242" s="18">
        <f>IF(W242="","",4-W242)</f>
        <v>4</v>
      </c>
      <c r="Z242" s="17" t="s">
        <v>39</v>
      </c>
      <c r="AA242" s="17">
        <v>2</v>
      </c>
      <c r="AB242" s="1">
        <f t="shared" si="22"/>
        <v>0</v>
      </c>
      <c r="AC242" s="1">
        <f t="shared" si="23"/>
        <v>0</v>
      </c>
      <c r="AD242" s="1">
        <f t="shared" si="24"/>
        <v>1</v>
      </c>
    </row>
    <row r="243" spans="19:30">
      <c r="S243" s="17">
        <v>2</v>
      </c>
      <c r="T243" s="18"/>
      <c r="U243" s="17">
        <v>1</v>
      </c>
      <c r="V243" s="17" t="s">
        <v>343</v>
      </c>
      <c r="W243" s="18">
        <v>0</v>
      </c>
      <c r="X243" s="18" t="s">
        <v>342</v>
      </c>
      <c r="Y243" s="18">
        <f t="shared" ref="Y243:Y256" si="27">IF(W243="","",4-W243)</f>
        <v>4</v>
      </c>
      <c r="Z243" s="17" t="s">
        <v>81</v>
      </c>
      <c r="AA243" s="17">
        <v>2</v>
      </c>
      <c r="AB243" s="1">
        <f t="shared" si="22"/>
        <v>0</v>
      </c>
      <c r="AC243" s="1">
        <f t="shared" si="23"/>
        <v>0</v>
      </c>
      <c r="AD243" s="1">
        <f t="shared" si="24"/>
        <v>1</v>
      </c>
    </row>
    <row r="244" spans="19:30">
      <c r="S244" s="17">
        <v>3</v>
      </c>
      <c r="T244" s="18"/>
      <c r="U244" s="17">
        <v>2</v>
      </c>
      <c r="V244" s="17" t="s">
        <v>343</v>
      </c>
      <c r="W244" s="18">
        <v>0</v>
      </c>
      <c r="X244" s="18" t="s">
        <v>342</v>
      </c>
      <c r="Y244" s="18">
        <f t="shared" si="27"/>
        <v>4</v>
      </c>
      <c r="Z244" s="17" t="s">
        <v>29</v>
      </c>
      <c r="AA244" s="17">
        <v>1</v>
      </c>
      <c r="AB244" s="1">
        <f t="shared" si="22"/>
        <v>0</v>
      </c>
      <c r="AC244" s="1">
        <f t="shared" si="23"/>
        <v>0</v>
      </c>
      <c r="AD244" s="1">
        <f t="shared" si="24"/>
        <v>1</v>
      </c>
    </row>
    <row r="245" spans="19:30">
      <c r="S245" s="17">
        <v>4</v>
      </c>
      <c r="T245" s="18"/>
      <c r="U245" s="17">
        <v>2</v>
      </c>
      <c r="V245" s="17" t="s">
        <v>343</v>
      </c>
      <c r="W245" s="18">
        <v>0</v>
      </c>
      <c r="X245" s="18" t="s">
        <v>342</v>
      </c>
      <c r="Y245" s="18">
        <f t="shared" si="27"/>
        <v>4</v>
      </c>
      <c r="Z245" s="17" t="s">
        <v>125</v>
      </c>
      <c r="AA245" s="17">
        <v>1</v>
      </c>
      <c r="AB245" s="1">
        <f t="shared" si="22"/>
        <v>0</v>
      </c>
      <c r="AC245" s="1">
        <f t="shared" si="23"/>
        <v>0</v>
      </c>
      <c r="AD245" s="1">
        <f t="shared" si="24"/>
        <v>1</v>
      </c>
    </row>
    <row r="246" spans="19:30">
      <c r="S246" s="17">
        <v>5</v>
      </c>
      <c r="T246" s="18"/>
      <c r="U246" s="17">
        <v>1</v>
      </c>
      <c r="V246" s="17" t="s">
        <v>343</v>
      </c>
      <c r="W246" s="18">
        <v>0</v>
      </c>
      <c r="X246" s="18" t="s">
        <v>342</v>
      </c>
      <c r="Y246" s="18">
        <f t="shared" si="27"/>
        <v>4</v>
      </c>
      <c r="Z246" s="17" t="s">
        <v>107</v>
      </c>
      <c r="AA246" s="17">
        <v>2</v>
      </c>
      <c r="AB246" s="1">
        <f t="shared" si="22"/>
        <v>0</v>
      </c>
      <c r="AC246" s="1">
        <f t="shared" si="23"/>
        <v>0</v>
      </c>
      <c r="AD246" s="1">
        <f t="shared" si="24"/>
        <v>1</v>
      </c>
    </row>
    <row r="247" spans="19:30">
      <c r="S247" s="17">
        <v>6</v>
      </c>
      <c r="T247" s="18"/>
      <c r="U247" s="17">
        <v>1</v>
      </c>
      <c r="V247" s="17" t="s">
        <v>343</v>
      </c>
      <c r="W247" s="18">
        <v>0</v>
      </c>
      <c r="X247" s="18" t="s">
        <v>342</v>
      </c>
      <c r="Y247" s="18">
        <f t="shared" si="27"/>
        <v>4</v>
      </c>
      <c r="Z247" s="17" t="s">
        <v>97</v>
      </c>
      <c r="AA247" s="17">
        <v>2</v>
      </c>
      <c r="AB247" s="1">
        <f t="shared" si="22"/>
        <v>0</v>
      </c>
      <c r="AC247" s="1">
        <f t="shared" si="23"/>
        <v>0</v>
      </c>
      <c r="AD247" s="1">
        <f t="shared" si="24"/>
        <v>1</v>
      </c>
    </row>
    <row r="248" spans="19:30">
      <c r="S248" s="17">
        <v>7</v>
      </c>
      <c r="T248" s="18"/>
      <c r="U248" s="17">
        <v>2</v>
      </c>
      <c r="V248" s="17" t="s">
        <v>343</v>
      </c>
      <c r="W248" s="18">
        <v>0</v>
      </c>
      <c r="X248" s="18" t="s">
        <v>342</v>
      </c>
      <c r="Y248" s="18">
        <f t="shared" si="27"/>
        <v>4</v>
      </c>
      <c r="Z248" s="17" t="s">
        <v>27</v>
      </c>
      <c r="AA248" s="17">
        <v>1</v>
      </c>
      <c r="AB248" s="1">
        <f t="shared" si="22"/>
        <v>0</v>
      </c>
      <c r="AC248" s="1">
        <f t="shared" si="23"/>
        <v>0</v>
      </c>
      <c r="AD248" s="1">
        <f t="shared" si="24"/>
        <v>1</v>
      </c>
    </row>
    <row r="249" spans="19:30">
      <c r="S249" s="17">
        <v>8</v>
      </c>
      <c r="T249" s="18"/>
      <c r="U249" s="17">
        <v>2</v>
      </c>
      <c r="V249" s="17" t="s">
        <v>343</v>
      </c>
      <c r="W249" s="18">
        <v>0</v>
      </c>
      <c r="X249" s="18" t="s">
        <v>342</v>
      </c>
      <c r="Y249" s="18">
        <f t="shared" si="27"/>
        <v>4</v>
      </c>
      <c r="Z249" s="17" t="s">
        <v>111</v>
      </c>
      <c r="AA249" s="17">
        <v>1</v>
      </c>
      <c r="AB249" s="1">
        <f t="shared" si="22"/>
        <v>0</v>
      </c>
      <c r="AC249" s="1">
        <f t="shared" si="23"/>
        <v>0</v>
      </c>
      <c r="AD249" s="1">
        <f t="shared" si="24"/>
        <v>1</v>
      </c>
    </row>
    <row r="250" spans="19:30">
      <c r="S250" s="17">
        <v>9</v>
      </c>
      <c r="T250" s="18"/>
      <c r="U250" s="17">
        <v>2</v>
      </c>
      <c r="V250" s="17" t="s">
        <v>343</v>
      </c>
      <c r="W250" s="18">
        <v>0</v>
      </c>
      <c r="X250" s="18" t="s">
        <v>342</v>
      </c>
      <c r="Y250" s="18">
        <f t="shared" si="27"/>
        <v>4</v>
      </c>
      <c r="Z250" s="17" t="s">
        <v>119</v>
      </c>
      <c r="AA250" s="17">
        <v>1</v>
      </c>
      <c r="AB250" s="1">
        <f t="shared" si="22"/>
        <v>0</v>
      </c>
      <c r="AC250" s="1">
        <f t="shared" si="23"/>
        <v>0</v>
      </c>
      <c r="AD250" s="1">
        <f t="shared" si="24"/>
        <v>1</v>
      </c>
    </row>
    <row r="251" spans="19:30">
      <c r="S251" s="17">
        <v>10</v>
      </c>
      <c r="T251" s="18"/>
      <c r="U251" s="17">
        <v>1</v>
      </c>
      <c r="V251" s="17" t="s">
        <v>343</v>
      </c>
      <c r="W251" s="18">
        <v>0</v>
      </c>
      <c r="X251" s="18" t="s">
        <v>342</v>
      </c>
      <c r="Y251" s="18">
        <f t="shared" si="27"/>
        <v>4</v>
      </c>
      <c r="Z251" s="17" t="s">
        <v>117</v>
      </c>
      <c r="AA251" s="17">
        <v>2</v>
      </c>
      <c r="AB251" s="1">
        <f t="shared" si="22"/>
        <v>0</v>
      </c>
      <c r="AC251" s="1">
        <f t="shared" si="23"/>
        <v>0</v>
      </c>
      <c r="AD251" s="1">
        <f t="shared" si="24"/>
        <v>1</v>
      </c>
    </row>
    <row r="252" spans="19:30">
      <c r="S252" s="17">
        <v>11</v>
      </c>
      <c r="T252" s="18"/>
      <c r="U252" s="17">
        <v>2</v>
      </c>
      <c r="V252" s="17" t="s">
        <v>343</v>
      </c>
      <c r="W252" s="18">
        <v>0</v>
      </c>
      <c r="X252" s="18" t="s">
        <v>342</v>
      </c>
      <c r="Y252" s="18">
        <f t="shared" si="27"/>
        <v>4</v>
      </c>
      <c r="Z252" s="17" t="s">
        <v>69</v>
      </c>
      <c r="AA252" s="17">
        <v>1</v>
      </c>
      <c r="AB252" s="1">
        <f t="shared" si="22"/>
        <v>0</v>
      </c>
      <c r="AC252" s="1">
        <f t="shared" si="23"/>
        <v>0</v>
      </c>
      <c r="AD252" s="1">
        <f t="shared" si="24"/>
        <v>1</v>
      </c>
    </row>
    <row r="253" spans="19:30">
      <c r="S253" s="17">
        <v>12</v>
      </c>
      <c r="T253" s="18"/>
      <c r="U253" s="17">
        <v>2</v>
      </c>
      <c r="V253" s="17" t="s">
        <v>343</v>
      </c>
      <c r="W253" s="18">
        <v>0</v>
      </c>
      <c r="X253" s="18" t="s">
        <v>342</v>
      </c>
      <c r="Y253" s="18">
        <f t="shared" si="27"/>
        <v>4</v>
      </c>
      <c r="Z253" s="17" t="s">
        <v>53</v>
      </c>
      <c r="AA253" s="17">
        <v>1</v>
      </c>
      <c r="AB253" s="1">
        <f t="shared" si="22"/>
        <v>0</v>
      </c>
      <c r="AC253" s="1">
        <f t="shared" si="23"/>
        <v>0</v>
      </c>
      <c r="AD253" s="1">
        <f t="shared" si="24"/>
        <v>1</v>
      </c>
    </row>
    <row r="254" spans="19:30">
      <c r="S254" s="17">
        <v>13</v>
      </c>
      <c r="T254" s="18"/>
      <c r="U254" s="17">
        <v>1</v>
      </c>
      <c r="V254" s="17" t="s">
        <v>343</v>
      </c>
      <c r="W254" s="18">
        <v>0</v>
      </c>
      <c r="X254" s="18" t="s">
        <v>342</v>
      </c>
      <c r="Y254" s="18">
        <f t="shared" si="27"/>
        <v>4</v>
      </c>
      <c r="Z254" s="17" t="s">
        <v>14</v>
      </c>
      <c r="AA254" s="17">
        <v>2</v>
      </c>
      <c r="AB254" s="1">
        <f t="shared" si="22"/>
        <v>0</v>
      </c>
      <c r="AC254" s="1">
        <f t="shared" si="23"/>
        <v>0</v>
      </c>
      <c r="AD254" s="1">
        <f t="shared" si="24"/>
        <v>1</v>
      </c>
    </row>
    <row r="255" spans="19:30">
      <c r="S255" s="17">
        <v>14</v>
      </c>
      <c r="T255" s="18"/>
      <c r="U255" s="17">
        <v>1</v>
      </c>
      <c r="V255" s="17" t="s">
        <v>343</v>
      </c>
      <c r="W255" s="18">
        <v>0</v>
      </c>
      <c r="X255" s="18" t="s">
        <v>342</v>
      </c>
      <c r="Y255" s="18">
        <f t="shared" si="27"/>
        <v>4</v>
      </c>
      <c r="Z255" s="17" t="s">
        <v>21</v>
      </c>
      <c r="AA255" s="17">
        <v>2</v>
      </c>
      <c r="AB255" s="1">
        <f t="shared" si="22"/>
        <v>0</v>
      </c>
      <c r="AC255" s="1">
        <f t="shared" si="23"/>
        <v>0</v>
      </c>
      <c r="AD255" s="1">
        <f t="shared" si="24"/>
        <v>1</v>
      </c>
    </row>
    <row r="256" spans="19:30">
      <c r="S256" s="17">
        <v>15</v>
      </c>
      <c r="T256" s="18"/>
      <c r="U256" s="17">
        <v>1</v>
      </c>
      <c r="V256" s="17" t="s">
        <v>343</v>
      </c>
      <c r="W256" s="18">
        <v>0</v>
      </c>
      <c r="X256" s="18" t="s">
        <v>342</v>
      </c>
      <c r="Y256" s="18">
        <f t="shared" si="27"/>
        <v>4</v>
      </c>
      <c r="Z256" s="17" t="s">
        <v>85</v>
      </c>
      <c r="AA256" s="17">
        <v>2</v>
      </c>
      <c r="AB256" s="1">
        <f t="shared" si="22"/>
        <v>0</v>
      </c>
      <c r="AC256" s="1">
        <f t="shared" si="23"/>
        <v>0</v>
      </c>
      <c r="AD256" s="1">
        <f t="shared" si="24"/>
        <v>1</v>
      </c>
    </row>
    <row r="257" spans="19:30" ht="12.75" customHeight="1">
      <c r="S257" s="58" t="s">
        <v>339</v>
      </c>
      <c r="T257" s="58" t="s">
        <v>340</v>
      </c>
      <c r="U257" s="58" t="s">
        <v>341</v>
      </c>
      <c r="V257" s="58" t="s">
        <v>1</v>
      </c>
      <c r="W257" s="69" t="s">
        <v>220</v>
      </c>
      <c r="X257" s="70"/>
      <c r="Y257" s="71"/>
      <c r="Z257" s="58" t="s">
        <v>1</v>
      </c>
      <c r="AA257" s="58" t="s">
        <v>341</v>
      </c>
      <c r="AB257" s="1">
        <f t="shared" ref="AB257:AB320" si="28">IF(W257="",0,IF(W257&gt;Y257,1,0))</f>
        <v>1</v>
      </c>
      <c r="AC257" s="1">
        <f t="shared" ref="AC257:AC320" si="29">IF(W257="",0,IF(W257=Y257,1,0))</f>
        <v>0</v>
      </c>
      <c r="AD257" s="1">
        <f t="shared" ref="AD257:AD320" si="30">IF(W257="",0,IF(W257&lt;Y257,1,0))</f>
        <v>0</v>
      </c>
    </row>
    <row r="258" spans="19:30">
      <c r="S258" s="17">
        <v>1</v>
      </c>
      <c r="T258" s="18" t="s">
        <v>345</v>
      </c>
      <c r="U258" s="17">
        <v>2</v>
      </c>
      <c r="V258" s="17" t="s">
        <v>55</v>
      </c>
      <c r="W258" s="18">
        <v>4</v>
      </c>
      <c r="X258" s="18" t="s">
        <v>342</v>
      </c>
      <c r="Y258" s="18">
        <f>IF(W258="","",4-W258)</f>
        <v>0</v>
      </c>
      <c r="Z258" s="17" t="s">
        <v>343</v>
      </c>
      <c r="AA258" s="17">
        <v>1</v>
      </c>
      <c r="AB258" s="1">
        <f t="shared" si="28"/>
        <v>1</v>
      </c>
      <c r="AC258" s="1">
        <f t="shared" si="29"/>
        <v>0</v>
      </c>
      <c r="AD258" s="1">
        <f t="shared" si="30"/>
        <v>0</v>
      </c>
    </row>
    <row r="259" spans="19:30">
      <c r="S259" s="17">
        <v>2</v>
      </c>
      <c r="T259" s="18" t="s">
        <v>345</v>
      </c>
      <c r="U259" s="17">
        <v>1</v>
      </c>
      <c r="V259" s="17" t="s">
        <v>55</v>
      </c>
      <c r="W259" s="18">
        <v>4</v>
      </c>
      <c r="X259" s="18" t="s">
        <v>342</v>
      </c>
      <c r="Y259" s="18">
        <f t="shared" ref="Y259:Y272" si="31">IF(W259="","",4-W259)</f>
        <v>0</v>
      </c>
      <c r="Z259" s="17" t="s">
        <v>33</v>
      </c>
      <c r="AA259" s="17">
        <v>2</v>
      </c>
      <c r="AB259" s="1">
        <f t="shared" si="28"/>
        <v>1</v>
      </c>
      <c r="AC259" s="1">
        <f t="shared" si="29"/>
        <v>0</v>
      </c>
      <c r="AD259" s="1">
        <f t="shared" si="30"/>
        <v>0</v>
      </c>
    </row>
    <row r="260" spans="19:30">
      <c r="S260" s="17">
        <v>3</v>
      </c>
      <c r="T260" s="18" t="s">
        <v>345</v>
      </c>
      <c r="U260" s="17">
        <v>2</v>
      </c>
      <c r="V260" s="17" t="s">
        <v>55</v>
      </c>
      <c r="W260" s="18">
        <v>4</v>
      </c>
      <c r="X260" s="18" t="s">
        <v>342</v>
      </c>
      <c r="Y260" s="18">
        <f t="shared" si="31"/>
        <v>0</v>
      </c>
      <c r="Z260" s="17" t="s">
        <v>61</v>
      </c>
      <c r="AA260" s="17">
        <v>1</v>
      </c>
      <c r="AB260" s="1">
        <f t="shared" si="28"/>
        <v>1</v>
      </c>
      <c r="AC260" s="1">
        <f t="shared" si="29"/>
        <v>0</v>
      </c>
      <c r="AD260" s="1">
        <f t="shared" si="30"/>
        <v>0</v>
      </c>
    </row>
    <row r="261" spans="19:30">
      <c r="S261" s="17">
        <v>4</v>
      </c>
      <c r="T261" s="18" t="s">
        <v>345</v>
      </c>
      <c r="U261" s="17">
        <v>1</v>
      </c>
      <c r="V261" s="17" t="s">
        <v>55</v>
      </c>
      <c r="W261" s="18">
        <v>4</v>
      </c>
      <c r="X261" s="18" t="s">
        <v>342</v>
      </c>
      <c r="Y261" s="18">
        <f t="shared" si="31"/>
        <v>0</v>
      </c>
      <c r="Z261" s="17" t="s">
        <v>75</v>
      </c>
      <c r="AA261" s="17">
        <v>2</v>
      </c>
      <c r="AB261" s="1">
        <f t="shared" si="28"/>
        <v>1</v>
      </c>
      <c r="AC261" s="1">
        <f t="shared" si="29"/>
        <v>0</v>
      </c>
      <c r="AD261" s="1">
        <f t="shared" si="30"/>
        <v>0</v>
      </c>
    </row>
    <row r="262" spans="19:30">
      <c r="S262" s="17">
        <v>5</v>
      </c>
      <c r="T262" s="18" t="s">
        <v>345</v>
      </c>
      <c r="U262" s="17">
        <v>1</v>
      </c>
      <c r="V262" s="17" t="s">
        <v>55</v>
      </c>
      <c r="W262" s="18">
        <v>4</v>
      </c>
      <c r="X262" s="18" t="s">
        <v>342</v>
      </c>
      <c r="Y262" s="18">
        <f t="shared" si="31"/>
        <v>0</v>
      </c>
      <c r="Z262" s="17" t="s">
        <v>57</v>
      </c>
      <c r="AA262" s="17">
        <v>2</v>
      </c>
      <c r="AB262" s="1">
        <f t="shared" si="28"/>
        <v>1</v>
      </c>
      <c r="AC262" s="1">
        <f t="shared" si="29"/>
        <v>0</v>
      </c>
      <c r="AD262" s="1">
        <f t="shared" si="30"/>
        <v>0</v>
      </c>
    </row>
    <row r="263" spans="19:30">
      <c r="S263" s="17">
        <v>6</v>
      </c>
      <c r="T263" s="18" t="s">
        <v>345</v>
      </c>
      <c r="U263" s="17">
        <v>1</v>
      </c>
      <c r="V263" s="17" t="s">
        <v>55</v>
      </c>
      <c r="W263" s="18">
        <v>4</v>
      </c>
      <c r="X263" s="18" t="s">
        <v>342</v>
      </c>
      <c r="Y263" s="18">
        <f t="shared" si="31"/>
        <v>0</v>
      </c>
      <c r="Z263" s="17" t="s">
        <v>45</v>
      </c>
      <c r="AA263" s="17">
        <v>2</v>
      </c>
      <c r="AB263" s="1">
        <f t="shared" si="28"/>
        <v>1</v>
      </c>
      <c r="AC263" s="1">
        <f t="shared" si="29"/>
        <v>0</v>
      </c>
      <c r="AD263" s="1">
        <f t="shared" si="30"/>
        <v>0</v>
      </c>
    </row>
    <row r="264" spans="19:30">
      <c r="S264" s="17">
        <v>7</v>
      </c>
      <c r="T264" s="18" t="s">
        <v>345</v>
      </c>
      <c r="U264" s="17">
        <v>1</v>
      </c>
      <c r="V264" s="17" t="s">
        <v>55</v>
      </c>
      <c r="W264" s="18">
        <v>4</v>
      </c>
      <c r="X264" s="18" t="s">
        <v>342</v>
      </c>
      <c r="Y264" s="18">
        <f t="shared" si="31"/>
        <v>0</v>
      </c>
      <c r="Z264" s="17" t="s">
        <v>31</v>
      </c>
      <c r="AA264" s="17">
        <v>2</v>
      </c>
      <c r="AB264" s="1">
        <f t="shared" si="28"/>
        <v>1</v>
      </c>
      <c r="AC264" s="1">
        <f t="shared" si="29"/>
        <v>0</v>
      </c>
      <c r="AD264" s="1">
        <f t="shared" si="30"/>
        <v>0</v>
      </c>
    </row>
    <row r="265" spans="19:30">
      <c r="S265" s="17">
        <v>8</v>
      </c>
      <c r="T265" s="18" t="s">
        <v>345</v>
      </c>
      <c r="U265" s="17">
        <v>1</v>
      </c>
      <c r="V265" s="17" t="s">
        <v>55</v>
      </c>
      <c r="W265" s="18">
        <v>4</v>
      </c>
      <c r="X265" s="18" t="s">
        <v>342</v>
      </c>
      <c r="Y265" s="18">
        <f t="shared" si="31"/>
        <v>0</v>
      </c>
      <c r="Z265" s="17" t="s">
        <v>25</v>
      </c>
      <c r="AA265" s="17">
        <v>2</v>
      </c>
      <c r="AB265" s="1">
        <f t="shared" si="28"/>
        <v>1</v>
      </c>
      <c r="AC265" s="1">
        <f t="shared" si="29"/>
        <v>0</v>
      </c>
      <c r="AD265" s="1">
        <f t="shared" si="30"/>
        <v>0</v>
      </c>
    </row>
    <row r="266" spans="19:30">
      <c r="S266" s="17">
        <v>9</v>
      </c>
      <c r="T266" s="18" t="s">
        <v>345</v>
      </c>
      <c r="U266" s="17">
        <v>1</v>
      </c>
      <c r="V266" s="17" t="s">
        <v>55</v>
      </c>
      <c r="W266" s="18">
        <v>4</v>
      </c>
      <c r="X266" s="18" t="s">
        <v>342</v>
      </c>
      <c r="Y266" s="18">
        <f t="shared" si="31"/>
        <v>0</v>
      </c>
      <c r="Z266" s="17" t="s">
        <v>71</v>
      </c>
      <c r="AA266" s="17">
        <v>2</v>
      </c>
      <c r="AB266" s="1">
        <f t="shared" si="28"/>
        <v>1</v>
      </c>
      <c r="AC266" s="1">
        <f t="shared" si="29"/>
        <v>0</v>
      </c>
      <c r="AD266" s="1">
        <f t="shared" si="30"/>
        <v>0</v>
      </c>
    </row>
    <row r="267" spans="19:30">
      <c r="S267" s="17">
        <v>10</v>
      </c>
      <c r="T267" s="18" t="s">
        <v>345</v>
      </c>
      <c r="U267" s="17">
        <v>2</v>
      </c>
      <c r="V267" s="17" t="s">
        <v>55</v>
      </c>
      <c r="W267" s="18">
        <v>4</v>
      </c>
      <c r="X267" s="18" t="s">
        <v>342</v>
      </c>
      <c r="Y267" s="18">
        <f t="shared" si="31"/>
        <v>0</v>
      </c>
      <c r="Z267" s="17" t="s">
        <v>47</v>
      </c>
      <c r="AA267" s="17">
        <v>1</v>
      </c>
      <c r="AB267" s="1">
        <f t="shared" si="28"/>
        <v>1</v>
      </c>
      <c r="AC267" s="1">
        <f t="shared" si="29"/>
        <v>0</v>
      </c>
      <c r="AD267" s="1">
        <f t="shared" si="30"/>
        <v>0</v>
      </c>
    </row>
    <row r="268" spans="19:30">
      <c r="S268" s="17">
        <v>11</v>
      </c>
      <c r="T268" s="18" t="s">
        <v>345</v>
      </c>
      <c r="U268" s="17">
        <v>2</v>
      </c>
      <c r="V268" s="17" t="s">
        <v>55</v>
      </c>
      <c r="W268" s="18">
        <v>4</v>
      </c>
      <c r="X268" s="18" t="s">
        <v>342</v>
      </c>
      <c r="Y268" s="18">
        <f t="shared" si="31"/>
        <v>0</v>
      </c>
      <c r="Z268" s="17" t="s">
        <v>59</v>
      </c>
      <c r="AA268" s="17">
        <v>1</v>
      </c>
      <c r="AB268" s="1">
        <f t="shared" si="28"/>
        <v>1</v>
      </c>
      <c r="AC268" s="1">
        <f t="shared" si="29"/>
        <v>0</v>
      </c>
      <c r="AD268" s="1">
        <f t="shared" si="30"/>
        <v>0</v>
      </c>
    </row>
    <row r="269" spans="19:30">
      <c r="S269" s="17">
        <v>12</v>
      </c>
      <c r="T269" s="18" t="s">
        <v>345</v>
      </c>
      <c r="U269" s="17">
        <v>2</v>
      </c>
      <c r="V269" s="17" t="s">
        <v>55</v>
      </c>
      <c r="W269" s="18">
        <v>3</v>
      </c>
      <c r="X269" s="18" t="s">
        <v>342</v>
      </c>
      <c r="Y269" s="18">
        <f t="shared" si="31"/>
        <v>1</v>
      </c>
      <c r="Z269" s="17" t="s">
        <v>121</v>
      </c>
      <c r="AA269" s="17">
        <v>1</v>
      </c>
      <c r="AB269" s="1">
        <f t="shared" si="28"/>
        <v>1</v>
      </c>
      <c r="AC269" s="1">
        <f t="shared" si="29"/>
        <v>0</v>
      </c>
      <c r="AD269" s="1">
        <f t="shared" si="30"/>
        <v>0</v>
      </c>
    </row>
    <row r="270" spans="19:30">
      <c r="S270" s="17">
        <v>13</v>
      </c>
      <c r="T270" s="18" t="s">
        <v>345</v>
      </c>
      <c r="U270" s="17">
        <v>1</v>
      </c>
      <c r="V270" s="17" t="s">
        <v>55</v>
      </c>
      <c r="W270" s="18">
        <v>4</v>
      </c>
      <c r="X270" s="18" t="s">
        <v>342</v>
      </c>
      <c r="Y270" s="18">
        <f t="shared" si="31"/>
        <v>0</v>
      </c>
      <c r="Z270" s="17" t="s">
        <v>35</v>
      </c>
      <c r="AA270" s="17">
        <v>2</v>
      </c>
      <c r="AB270" s="1">
        <f t="shared" si="28"/>
        <v>1</v>
      </c>
      <c r="AC270" s="1">
        <f t="shared" si="29"/>
        <v>0</v>
      </c>
      <c r="AD270" s="1">
        <f t="shared" si="30"/>
        <v>0</v>
      </c>
    </row>
    <row r="271" spans="19:30">
      <c r="S271" s="17">
        <v>14</v>
      </c>
      <c r="T271" s="18" t="s">
        <v>345</v>
      </c>
      <c r="U271" s="17">
        <v>2</v>
      </c>
      <c r="V271" s="17" t="s">
        <v>55</v>
      </c>
      <c r="W271" s="18">
        <v>4</v>
      </c>
      <c r="X271" s="18" t="s">
        <v>342</v>
      </c>
      <c r="Y271" s="18">
        <f t="shared" si="31"/>
        <v>0</v>
      </c>
      <c r="Z271" s="17" t="s">
        <v>73</v>
      </c>
      <c r="AA271" s="17">
        <v>1</v>
      </c>
      <c r="AB271" s="1">
        <f t="shared" si="28"/>
        <v>1</v>
      </c>
      <c r="AC271" s="1">
        <f t="shared" si="29"/>
        <v>0</v>
      </c>
      <c r="AD271" s="1">
        <f t="shared" si="30"/>
        <v>0</v>
      </c>
    </row>
    <row r="272" spans="19:30">
      <c r="S272" s="17">
        <v>15</v>
      </c>
      <c r="T272" s="18" t="s">
        <v>345</v>
      </c>
      <c r="U272" s="17">
        <v>1</v>
      </c>
      <c r="V272" s="17" t="s">
        <v>55</v>
      </c>
      <c r="W272" s="18">
        <v>4</v>
      </c>
      <c r="X272" s="18" t="s">
        <v>342</v>
      </c>
      <c r="Y272" s="18">
        <f t="shared" si="31"/>
        <v>0</v>
      </c>
      <c r="Z272" s="17" t="s">
        <v>63</v>
      </c>
      <c r="AA272" s="17">
        <v>2</v>
      </c>
      <c r="AB272" s="1">
        <f t="shared" si="28"/>
        <v>1</v>
      </c>
      <c r="AC272" s="1">
        <f t="shared" si="29"/>
        <v>0</v>
      </c>
      <c r="AD272" s="1">
        <f t="shared" si="30"/>
        <v>0</v>
      </c>
    </row>
    <row r="273" spans="19:30" ht="12.75" customHeight="1">
      <c r="S273" s="58" t="s">
        <v>339</v>
      </c>
      <c r="T273" s="58" t="s">
        <v>340</v>
      </c>
      <c r="U273" s="58" t="s">
        <v>341</v>
      </c>
      <c r="V273" s="58" t="s">
        <v>1</v>
      </c>
      <c r="W273" s="69" t="s">
        <v>220</v>
      </c>
      <c r="X273" s="70"/>
      <c r="Y273" s="71"/>
      <c r="Z273" s="58" t="s">
        <v>1</v>
      </c>
      <c r="AA273" s="58" t="s">
        <v>341</v>
      </c>
      <c r="AB273" s="1">
        <f t="shared" si="28"/>
        <v>1</v>
      </c>
      <c r="AC273" s="1">
        <f t="shared" si="29"/>
        <v>0</v>
      </c>
      <c r="AD273" s="1">
        <f t="shared" si="30"/>
        <v>0</v>
      </c>
    </row>
    <row r="274" spans="19:30">
      <c r="S274" s="17">
        <v>1</v>
      </c>
      <c r="T274" s="18" t="s">
        <v>345</v>
      </c>
      <c r="U274" s="17">
        <v>1</v>
      </c>
      <c r="V274" s="17" t="s">
        <v>63</v>
      </c>
      <c r="W274" s="18">
        <v>3</v>
      </c>
      <c r="X274" s="18" t="s">
        <v>342</v>
      </c>
      <c r="Y274" s="18">
        <f>IF(W274="","",4-W274)</f>
        <v>1</v>
      </c>
      <c r="Z274" s="17" t="s">
        <v>33</v>
      </c>
      <c r="AA274" s="17">
        <v>2</v>
      </c>
      <c r="AB274" s="1">
        <f t="shared" si="28"/>
        <v>1</v>
      </c>
      <c r="AC274" s="1">
        <f t="shared" si="29"/>
        <v>0</v>
      </c>
      <c r="AD274" s="1">
        <f t="shared" si="30"/>
        <v>0</v>
      </c>
    </row>
    <row r="275" spans="19:30">
      <c r="S275" s="17">
        <v>2</v>
      </c>
      <c r="T275" s="18" t="s">
        <v>345</v>
      </c>
      <c r="U275" s="17">
        <v>2</v>
      </c>
      <c r="V275" s="17" t="s">
        <v>63</v>
      </c>
      <c r="W275" s="18">
        <v>4</v>
      </c>
      <c r="X275" s="18" t="s">
        <v>342</v>
      </c>
      <c r="Y275" s="18">
        <f t="shared" ref="Y275:Y288" si="32">IF(W275="","",4-W275)</f>
        <v>0</v>
      </c>
      <c r="Z275" s="17" t="s">
        <v>343</v>
      </c>
      <c r="AA275" s="17">
        <v>1</v>
      </c>
      <c r="AB275" s="1">
        <f t="shared" si="28"/>
        <v>1</v>
      </c>
      <c r="AC275" s="1">
        <f t="shared" si="29"/>
        <v>0</v>
      </c>
      <c r="AD275" s="1">
        <f t="shared" si="30"/>
        <v>0</v>
      </c>
    </row>
    <row r="276" spans="19:30">
      <c r="S276" s="17">
        <v>3</v>
      </c>
      <c r="T276" s="18" t="s">
        <v>345</v>
      </c>
      <c r="U276" s="17">
        <v>2</v>
      </c>
      <c r="V276" s="17" t="s">
        <v>63</v>
      </c>
      <c r="W276" s="18">
        <v>3</v>
      </c>
      <c r="X276" s="18" t="s">
        <v>342</v>
      </c>
      <c r="Y276" s="18">
        <f t="shared" si="32"/>
        <v>1</v>
      </c>
      <c r="Z276" s="17" t="s">
        <v>75</v>
      </c>
      <c r="AA276" s="17">
        <v>1</v>
      </c>
      <c r="AB276" s="1">
        <f t="shared" si="28"/>
        <v>1</v>
      </c>
      <c r="AC276" s="1">
        <f t="shared" si="29"/>
        <v>0</v>
      </c>
      <c r="AD276" s="1">
        <f t="shared" si="30"/>
        <v>0</v>
      </c>
    </row>
    <row r="277" spans="19:30">
      <c r="S277" s="17">
        <v>4</v>
      </c>
      <c r="T277" s="18" t="s">
        <v>345</v>
      </c>
      <c r="U277" s="17">
        <v>2</v>
      </c>
      <c r="V277" s="17" t="s">
        <v>63</v>
      </c>
      <c r="W277" s="18">
        <v>3</v>
      </c>
      <c r="X277" s="18" t="s">
        <v>342</v>
      </c>
      <c r="Y277" s="18">
        <f t="shared" si="32"/>
        <v>1</v>
      </c>
      <c r="Z277" s="17" t="s">
        <v>61</v>
      </c>
      <c r="AA277" s="17">
        <v>1</v>
      </c>
      <c r="AB277" s="1">
        <f t="shared" si="28"/>
        <v>1</v>
      </c>
      <c r="AC277" s="1">
        <f t="shared" si="29"/>
        <v>0</v>
      </c>
      <c r="AD277" s="1">
        <f t="shared" si="30"/>
        <v>0</v>
      </c>
    </row>
    <row r="278" spans="19:30">
      <c r="S278" s="17">
        <v>5</v>
      </c>
      <c r="T278" s="18" t="s">
        <v>345</v>
      </c>
      <c r="U278" s="17">
        <v>1</v>
      </c>
      <c r="V278" s="17" t="s">
        <v>63</v>
      </c>
      <c r="W278" s="18">
        <v>4</v>
      </c>
      <c r="X278" s="18" t="s">
        <v>342</v>
      </c>
      <c r="Y278" s="18">
        <f t="shared" si="32"/>
        <v>0</v>
      </c>
      <c r="Z278" s="17" t="s">
        <v>45</v>
      </c>
      <c r="AA278" s="17">
        <v>2</v>
      </c>
      <c r="AB278" s="1">
        <f t="shared" si="28"/>
        <v>1</v>
      </c>
      <c r="AC278" s="1">
        <f t="shared" si="29"/>
        <v>0</v>
      </c>
      <c r="AD278" s="1">
        <f t="shared" si="30"/>
        <v>0</v>
      </c>
    </row>
    <row r="279" spans="19:30">
      <c r="S279" s="17">
        <v>6</v>
      </c>
      <c r="T279" s="18" t="s">
        <v>345</v>
      </c>
      <c r="U279" s="17">
        <v>2</v>
      </c>
      <c r="V279" s="17" t="s">
        <v>63</v>
      </c>
      <c r="W279" s="18">
        <v>4</v>
      </c>
      <c r="X279" s="18" t="s">
        <v>342</v>
      </c>
      <c r="Y279" s="18">
        <f t="shared" si="32"/>
        <v>0</v>
      </c>
      <c r="Z279" s="17" t="s">
        <v>57</v>
      </c>
      <c r="AA279" s="17">
        <v>1</v>
      </c>
      <c r="AB279" s="1">
        <f t="shared" si="28"/>
        <v>1</v>
      </c>
      <c r="AC279" s="1">
        <f t="shared" si="29"/>
        <v>0</v>
      </c>
      <c r="AD279" s="1">
        <f t="shared" si="30"/>
        <v>0</v>
      </c>
    </row>
    <row r="280" spans="19:30">
      <c r="S280" s="17">
        <v>7</v>
      </c>
      <c r="T280" s="18" t="s">
        <v>345</v>
      </c>
      <c r="U280" s="17">
        <v>1</v>
      </c>
      <c r="V280" s="17" t="s">
        <v>63</v>
      </c>
      <c r="W280" s="18">
        <v>4</v>
      </c>
      <c r="X280" s="18" t="s">
        <v>342</v>
      </c>
      <c r="Y280" s="18">
        <f t="shared" si="32"/>
        <v>0</v>
      </c>
      <c r="Z280" s="17" t="s">
        <v>25</v>
      </c>
      <c r="AA280" s="17">
        <v>2</v>
      </c>
      <c r="AB280" s="1">
        <f t="shared" si="28"/>
        <v>1</v>
      </c>
      <c r="AC280" s="1">
        <f t="shared" si="29"/>
        <v>0</v>
      </c>
      <c r="AD280" s="1">
        <f t="shared" si="30"/>
        <v>0</v>
      </c>
    </row>
    <row r="281" spans="19:30">
      <c r="S281" s="17">
        <v>8</v>
      </c>
      <c r="T281" s="18" t="s">
        <v>345</v>
      </c>
      <c r="U281" s="17">
        <v>1</v>
      </c>
      <c r="V281" s="17" t="s">
        <v>63</v>
      </c>
      <c r="W281" s="18">
        <v>3</v>
      </c>
      <c r="X281" s="18" t="s">
        <v>342</v>
      </c>
      <c r="Y281" s="18">
        <f t="shared" si="32"/>
        <v>1</v>
      </c>
      <c r="Z281" s="17" t="s">
        <v>31</v>
      </c>
      <c r="AA281" s="17">
        <v>2</v>
      </c>
      <c r="AB281" s="1">
        <f t="shared" si="28"/>
        <v>1</v>
      </c>
      <c r="AC281" s="1">
        <f t="shared" si="29"/>
        <v>0</v>
      </c>
      <c r="AD281" s="1">
        <f t="shared" si="30"/>
        <v>0</v>
      </c>
    </row>
    <row r="282" spans="19:30">
      <c r="S282" s="17">
        <v>9</v>
      </c>
      <c r="T282" s="18" t="s">
        <v>345</v>
      </c>
      <c r="U282" s="17">
        <v>2</v>
      </c>
      <c r="V282" s="17" t="s">
        <v>63</v>
      </c>
      <c r="W282" s="18">
        <v>3</v>
      </c>
      <c r="X282" s="18" t="s">
        <v>342</v>
      </c>
      <c r="Y282" s="18">
        <f t="shared" si="32"/>
        <v>1</v>
      </c>
      <c r="Z282" s="17" t="s">
        <v>47</v>
      </c>
      <c r="AA282" s="17">
        <v>1</v>
      </c>
      <c r="AB282" s="1">
        <f t="shared" si="28"/>
        <v>1</v>
      </c>
      <c r="AC282" s="1">
        <f t="shared" si="29"/>
        <v>0</v>
      </c>
      <c r="AD282" s="1">
        <f t="shared" si="30"/>
        <v>0</v>
      </c>
    </row>
    <row r="283" spans="19:30">
      <c r="S283" s="17">
        <v>10</v>
      </c>
      <c r="T283" s="18" t="s">
        <v>345</v>
      </c>
      <c r="U283" s="17">
        <v>2</v>
      </c>
      <c r="V283" s="17" t="s">
        <v>63</v>
      </c>
      <c r="W283" s="18">
        <v>4</v>
      </c>
      <c r="X283" s="18" t="s">
        <v>342</v>
      </c>
      <c r="Y283" s="18">
        <f t="shared" si="32"/>
        <v>0</v>
      </c>
      <c r="Z283" s="17" t="s">
        <v>71</v>
      </c>
      <c r="AA283" s="17">
        <v>1</v>
      </c>
      <c r="AB283" s="1">
        <f t="shared" si="28"/>
        <v>1</v>
      </c>
      <c r="AC283" s="1">
        <f t="shared" si="29"/>
        <v>0</v>
      </c>
      <c r="AD283" s="1">
        <f t="shared" si="30"/>
        <v>0</v>
      </c>
    </row>
    <row r="284" spans="19:30">
      <c r="S284" s="17">
        <v>11</v>
      </c>
      <c r="T284" s="18" t="s">
        <v>345</v>
      </c>
      <c r="U284" s="17">
        <v>1</v>
      </c>
      <c r="V284" s="17" t="s">
        <v>63</v>
      </c>
      <c r="W284" s="18">
        <v>3</v>
      </c>
      <c r="X284" s="18" t="s">
        <v>342</v>
      </c>
      <c r="Y284" s="18">
        <f t="shared" si="32"/>
        <v>1</v>
      </c>
      <c r="Z284" s="17" t="s">
        <v>121</v>
      </c>
      <c r="AA284" s="17">
        <v>2</v>
      </c>
      <c r="AB284" s="1">
        <f t="shared" si="28"/>
        <v>1</v>
      </c>
      <c r="AC284" s="1">
        <f t="shared" si="29"/>
        <v>0</v>
      </c>
      <c r="AD284" s="1">
        <f t="shared" si="30"/>
        <v>0</v>
      </c>
    </row>
    <row r="285" spans="19:30">
      <c r="S285" s="17">
        <v>12</v>
      </c>
      <c r="T285" s="18" t="s">
        <v>345</v>
      </c>
      <c r="U285" s="17">
        <v>2</v>
      </c>
      <c r="V285" s="17" t="s">
        <v>63</v>
      </c>
      <c r="W285" s="18">
        <v>3</v>
      </c>
      <c r="X285" s="18" t="s">
        <v>342</v>
      </c>
      <c r="Y285" s="18">
        <f t="shared" si="32"/>
        <v>1</v>
      </c>
      <c r="Z285" s="17" t="s">
        <v>59</v>
      </c>
      <c r="AA285" s="17">
        <v>1</v>
      </c>
      <c r="AB285" s="1">
        <f t="shared" si="28"/>
        <v>1</v>
      </c>
      <c r="AC285" s="1">
        <f t="shared" si="29"/>
        <v>0</v>
      </c>
      <c r="AD285" s="1">
        <f t="shared" si="30"/>
        <v>0</v>
      </c>
    </row>
    <row r="286" spans="19:30">
      <c r="S286" s="17">
        <v>13</v>
      </c>
      <c r="T286" s="18" t="s">
        <v>345</v>
      </c>
      <c r="U286" s="17">
        <v>1</v>
      </c>
      <c r="V286" s="17" t="s">
        <v>63</v>
      </c>
      <c r="W286" s="18">
        <v>2</v>
      </c>
      <c r="X286" s="18" t="s">
        <v>342</v>
      </c>
      <c r="Y286" s="18">
        <f t="shared" si="32"/>
        <v>2</v>
      </c>
      <c r="Z286" s="17" t="s">
        <v>73</v>
      </c>
      <c r="AA286" s="17">
        <v>2</v>
      </c>
      <c r="AB286" s="1">
        <f t="shared" si="28"/>
        <v>0</v>
      </c>
      <c r="AC286" s="1">
        <f t="shared" si="29"/>
        <v>1</v>
      </c>
      <c r="AD286" s="1">
        <f t="shared" si="30"/>
        <v>0</v>
      </c>
    </row>
    <row r="287" spans="19:30">
      <c r="S287" s="17">
        <v>14</v>
      </c>
      <c r="T287" s="18" t="s">
        <v>345</v>
      </c>
      <c r="U287" s="17">
        <v>1</v>
      </c>
      <c r="V287" s="17" t="s">
        <v>63</v>
      </c>
      <c r="W287" s="18">
        <v>4</v>
      </c>
      <c r="X287" s="18" t="s">
        <v>342</v>
      </c>
      <c r="Y287" s="18">
        <f t="shared" si="32"/>
        <v>0</v>
      </c>
      <c r="Z287" s="17" t="s">
        <v>35</v>
      </c>
      <c r="AA287" s="17">
        <v>2</v>
      </c>
      <c r="AB287" s="1">
        <f t="shared" si="28"/>
        <v>1</v>
      </c>
      <c r="AC287" s="1">
        <f t="shared" si="29"/>
        <v>0</v>
      </c>
      <c r="AD287" s="1">
        <f t="shared" si="30"/>
        <v>0</v>
      </c>
    </row>
    <row r="288" spans="19:30">
      <c r="S288" s="17">
        <v>15</v>
      </c>
      <c r="T288" s="18" t="s">
        <v>345</v>
      </c>
      <c r="U288" s="17">
        <v>2</v>
      </c>
      <c r="V288" s="17" t="s">
        <v>63</v>
      </c>
      <c r="W288" s="18">
        <v>0</v>
      </c>
      <c r="X288" s="18" t="s">
        <v>342</v>
      </c>
      <c r="Y288" s="18">
        <f t="shared" si="32"/>
        <v>4</v>
      </c>
      <c r="Z288" s="17" t="s">
        <v>55</v>
      </c>
      <c r="AA288" s="17">
        <v>1</v>
      </c>
      <c r="AB288" s="1">
        <f t="shared" si="28"/>
        <v>0</v>
      </c>
      <c r="AC288" s="1">
        <f t="shared" si="29"/>
        <v>0</v>
      </c>
      <c r="AD288" s="1">
        <f t="shared" si="30"/>
        <v>1</v>
      </c>
    </row>
    <row r="289" spans="19:30" ht="12.75" customHeight="1">
      <c r="S289" s="58" t="s">
        <v>339</v>
      </c>
      <c r="T289" s="58" t="s">
        <v>340</v>
      </c>
      <c r="U289" s="58" t="s">
        <v>341</v>
      </c>
      <c r="V289" s="58" t="s">
        <v>1</v>
      </c>
      <c r="W289" s="69" t="s">
        <v>220</v>
      </c>
      <c r="X289" s="70"/>
      <c r="Y289" s="71"/>
      <c r="Z289" s="58" t="s">
        <v>1</v>
      </c>
      <c r="AA289" s="58" t="s">
        <v>341</v>
      </c>
      <c r="AB289" s="1">
        <f t="shared" si="28"/>
        <v>1</v>
      </c>
      <c r="AC289" s="1">
        <f t="shared" si="29"/>
        <v>0</v>
      </c>
      <c r="AD289" s="1">
        <f t="shared" si="30"/>
        <v>0</v>
      </c>
    </row>
    <row r="290" spans="19:30">
      <c r="S290" s="17">
        <v>1</v>
      </c>
      <c r="T290" s="18" t="s">
        <v>345</v>
      </c>
      <c r="U290" s="17">
        <v>2</v>
      </c>
      <c r="V290" s="17" t="s">
        <v>73</v>
      </c>
      <c r="W290" s="18">
        <v>4</v>
      </c>
      <c r="X290" s="18" t="s">
        <v>342</v>
      </c>
      <c r="Y290" s="18">
        <f>IF(W290="","",4-W290)</f>
        <v>0</v>
      </c>
      <c r="Z290" s="17" t="s">
        <v>61</v>
      </c>
      <c r="AA290" s="17">
        <v>1</v>
      </c>
      <c r="AB290" s="1">
        <f t="shared" si="28"/>
        <v>1</v>
      </c>
      <c r="AC290" s="1">
        <f t="shared" si="29"/>
        <v>0</v>
      </c>
      <c r="AD290" s="1">
        <f t="shared" si="30"/>
        <v>0</v>
      </c>
    </row>
    <row r="291" spans="19:30">
      <c r="S291" s="17">
        <v>2</v>
      </c>
      <c r="T291" s="18" t="s">
        <v>345</v>
      </c>
      <c r="U291" s="17">
        <v>1</v>
      </c>
      <c r="V291" s="17" t="s">
        <v>73</v>
      </c>
      <c r="W291" s="18">
        <v>4</v>
      </c>
      <c r="X291" s="18" t="s">
        <v>342</v>
      </c>
      <c r="Y291" s="18">
        <f t="shared" ref="Y291:Y304" si="33">IF(W291="","",4-W291)</f>
        <v>0</v>
      </c>
      <c r="Z291" s="17" t="s">
        <v>75</v>
      </c>
      <c r="AA291" s="17">
        <v>2</v>
      </c>
      <c r="AB291" s="1">
        <f t="shared" si="28"/>
        <v>1</v>
      </c>
      <c r="AC291" s="1">
        <f t="shared" si="29"/>
        <v>0</v>
      </c>
      <c r="AD291" s="1">
        <f t="shared" si="30"/>
        <v>0</v>
      </c>
    </row>
    <row r="292" spans="19:30">
      <c r="S292" s="17">
        <v>3</v>
      </c>
      <c r="T292" s="18" t="s">
        <v>345</v>
      </c>
      <c r="U292" s="17">
        <v>1</v>
      </c>
      <c r="V292" s="17" t="s">
        <v>73</v>
      </c>
      <c r="W292" s="18">
        <v>4</v>
      </c>
      <c r="X292" s="18" t="s">
        <v>342</v>
      </c>
      <c r="Y292" s="18">
        <f t="shared" si="33"/>
        <v>0</v>
      </c>
      <c r="Z292" s="17" t="s">
        <v>343</v>
      </c>
      <c r="AA292" s="17">
        <v>2</v>
      </c>
      <c r="AB292" s="1">
        <f t="shared" si="28"/>
        <v>1</v>
      </c>
      <c r="AC292" s="1">
        <f t="shared" si="29"/>
        <v>0</v>
      </c>
      <c r="AD292" s="1">
        <f t="shared" si="30"/>
        <v>0</v>
      </c>
    </row>
    <row r="293" spans="19:30">
      <c r="S293" s="17">
        <v>4</v>
      </c>
      <c r="T293" s="18" t="s">
        <v>345</v>
      </c>
      <c r="U293" s="17">
        <v>1</v>
      </c>
      <c r="V293" s="17" t="s">
        <v>73</v>
      </c>
      <c r="W293" s="18">
        <v>4</v>
      </c>
      <c r="X293" s="18" t="s">
        <v>342</v>
      </c>
      <c r="Y293" s="18">
        <f t="shared" si="33"/>
        <v>0</v>
      </c>
      <c r="Z293" s="17" t="s">
        <v>33</v>
      </c>
      <c r="AA293" s="17">
        <v>2</v>
      </c>
      <c r="AB293" s="1">
        <f t="shared" si="28"/>
        <v>1</v>
      </c>
      <c r="AC293" s="1">
        <f t="shared" si="29"/>
        <v>0</v>
      </c>
      <c r="AD293" s="1">
        <f t="shared" si="30"/>
        <v>0</v>
      </c>
    </row>
    <row r="294" spans="19:30">
      <c r="S294" s="17">
        <v>5</v>
      </c>
      <c r="T294" s="18" t="s">
        <v>345</v>
      </c>
      <c r="U294" s="17">
        <v>1</v>
      </c>
      <c r="V294" s="17" t="s">
        <v>73</v>
      </c>
      <c r="W294" s="18">
        <v>4</v>
      </c>
      <c r="X294" s="18" t="s">
        <v>342</v>
      </c>
      <c r="Y294" s="18">
        <f t="shared" si="33"/>
        <v>0</v>
      </c>
      <c r="Z294" s="17" t="s">
        <v>31</v>
      </c>
      <c r="AA294" s="17">
        <v>2</v>
      </c>
      <c r="AB294" s="1">
        <f t="shared" si="28"/>
        <v>1</v>
      </c>
      <c r="AC294" s="1">
        <f t="shared" si="29"/>
        <v>0</v>
      </c>
      <c r="AD294" s="1">
        <f t="shared" si="30"/>
        <v>0</v>
      </c>
    </row>
    <row r="295" spans="19:30">
      <c r="S295" s="17">
        <v>6</v>
      </c>
      <c r="T295" s="18" t="s">
        <v>345</v>
      </c>
      <c r="U295" s="17">
        <v>2</v>
      </c>
      <c r="V295" s="17" t="s">
        <v>73</v>
      </c>
      <c r="W295" s="18">
        <v>4</v>
      </c>
      <c r="X295" s="18" t="s">
        <v>342</v>
      </c>
      <c r="Y295" s="18">
        <f t="shared" si="33"/>
        <v>0</v>
      </c>
      <c r="Z295" s="17" t="s">
        <v>25</v>
      </c>
      <c r="AA295" s="17">
        <v>1</v>
      </c>
      <c r="AB295" s="1">
        <f t="shared" si="28"/>
        <v>1</v>
      </c>
      <c r="AC295" s="1">
        <f t="shared" si="29"/>
        <v>0</v>
      </c>
      <c r="AD295" s="1">
        <f t="shared" si="30"/>
        <v>0</v>
      </c>
    </row>
    <row r="296" spans="19:30">
      <c r="S296" s="17">
        <v>7</v>
      </c>
      <c r="T296" s="18" t="s">
        <v>345</v>
      </c>
      <c r="U296" s="17">
        <v>2</v>
      </c>
      <c r="V296" s="17" t="s">
        <v>73</v>
      </c>
      <c r="W296" s="18">
        <v>4</v>
      </c>
      <c r="X296" s="18" t="s">
        <v>342</v>
      </c>
      <c r="Y296" s="18">
        <f t="shared" si="33"/>
        <v>0</v>
      </c>
      <c r="Z296" s="17" t="s">
        <v>57</v>
      </c>
      <c r="AA296" s="17">
        <v>1</v>
      </c>
      <c r="AB296" s="1">
        <f t="shared" si="28"/>
        <v>1</v>
      </c>
      <c r="AC296" s="1">
        <f t="shared" si="29"/>
        <v>0</v>
      </c>
      <c r="AD296" s="1">
        <f t="shared" si="30"/>
        <v>0</v>
      </c>
    </row>
    <row r="297" spans="19:30">
      <c r="S297" s="17">
        <v>8</v>
      </c>
      <c r="T297" s="18" t="s">
        <v>345</v>
      </c>
      <c r="U297" s="17">
        <v>2</v>
      </c>
      <c r="V297" s="17" t="s">
        <v>73</v>
      </c>
      <c r="W297" s="18">
        <v>4</v>
      </c>
      <c r="X297" s="18" t="s">
        <v>342</v>
      </c>
      <c r="Y297" s="18">
        <f t="shared" si="33"/>
        <v>0</v>
      </c>
      <c r="Z297" s="17" t="s">
        <v>45</v>
      </c>
      <c r="AA297" s="17">
        <v>1</v>
      </c>
      <c r="AB297" s="1">
        <f t="shared" si="28"/>
        <v>1</v>
      </c>
      <c r="AC297" s="1">
        <f t="shared" si="29"/>
        <v>0</v>
      </c>
      <c r="AD297" s="1">
        <f t="shared" si="30"/>
        <v>0</v>
      </c>
    </row>
    <row r="298" spans="19:30">
      <c r="S298" s="17">
        <v>9</v>
      </c>
      <c r="T298" s="18" t="s">
        <v>345</v>
      </c>
      <c r="U298" s="17">
        <v>2</v>
      </c>
      <c r="V298" s="17" t="s">
        <v>73</v>
      </c>
      <c r="W298" s="18">
        <v>3</v>
      </c>
      <c r="X298" s="18" t="s">
        <v>342</v>
      </c>
      <c r="Y298" s="18">
        <f t="shared" si="33"/>
        <v>1</v>
      </c>
      <c r="Z298" s="17" t="s">
        <v>59</v>
      </c>
      <c r="AA298" s="17">
        <v>1</v>
      </c>
      <c r="AB298" s="1">
        <f t="shared" si="28"/>
        <v>1</v>
      </c>
      <c r="AC298" s="1">
        <f t="shared" si="29"/>
        <v>0</v>
      </c>
      <c r="AD298" s="1">
        <f t="shared" si="30"/>
        <v>0</v>
      </c>
    </row>
    <row r="299" spans="19:30">
      <c r="S299" s="17">
        <v>10</v>
      </c>
      <c r="T299" s="18" t="s">
        <v>345</v>
      </c>
      <c r="U299" s="17">
        <v>1</v>
      </c>
      <c r="V299" s="17" t="s">
        <v>73</v>
      </c>
      <c r="W299" s="18">
        <v>3</v>
      </c>
      <c r="X299" s="18" t="s">
        <v>342</v>
      </c>
      <c r="Y299" s="18">
        <f t="shared" si="33"/>
        <v>1</v>
      </c>
      <c r="Z299" s="17" t="s">
        <v>121</v>
      </c>
      <c r="AA299" s="17">
        <v>2</v>
      </c>
      <c r="AB299" s="1">
        <f t="shared" si="28"/>
        <v>1</v>
      </c>
      <c r="AC299" s="1">
        <f t="shared" si="29"/>
        <v>0</v>
      </c>
      <c r="AD299" s="1">
        <f t="shared" si="30"/>
        <v>0</v>
      </c>
    </row>
    <row r="300" spans="19:30">
      <c r="S300" s="17">
        <v>11</v>
      </c>
      <c r="T300" s="18" t="s">
        <v>345</v>
      </c>
      <c r="U300" s="17">
        <v>2</v>
      </c>
      <c r="V300" s="17" t="s">
        <v>73</v>
      </c>
      <c r="W300" s="18">
        <v>4</v>
      </c>
      <c r="X300" s="18" t="s">
        <v>342</v>
      </c>
      <c r="Y300" s="18">
        <f t="shared" si="33"/>
        <v>0</v>
      </c>
      <c r="Z300" s="17" t="s">
        <v>71</v>
      </c>
      <c r="AA300" s="17">
        <v>1</v>
      </c>
      <c r="AB300" s="1">
        <f t="shared" si="28"/>
        <v>1</v>
      </c>
      <c r="AC300" s="1">
        <f t="shared" si="29"/>
        <v>0</v>
      </c>
      <c r="AD300" s="1">
        <f t="shared" si="30"/>
        <v>0</v>
      </c>
    </row>
    <row r="301" spans="19:30">
      <c r="S301" s="17">
        <v>12</v>
      </c>
      <c r="T301" s="18" t="s">
        <v>345</v>
      </c>
      <c r="U301" s="17">
        <v>2</v>
      </c>
      <c r="V301" s="17" t="s">
        <v>73</v>
      </c>
      <c r="W301" s="18">
        <v>3</v>
      </c>
      <c r="X301" s="18" t="s">
        <v>342</v>
      </c>
      <c r="Y301" s="18">
        <f t="shared" si="33"/>
        <v>1</v>
      </c>
      <c r="Z301" s="17" t="s">
        <v>47</v>
      </c>
      <c r="AA301" s="17">
        <v>1</v>
      </c>
      <c r="AB301" s="1">
        <f t="shared" si="28"/>
        <v>1</v>
      </c>
      <c r="AC301" s="1">
        <f t="shared" si="29"/>
        <v>0</v>
      </c>
      <c r="AD301" s="1">
        <f t="shared" si="30"/>
        <v>0</v>
      </c>
    </row>
    <row r="302" spans="19:30">
      <c r="S302" s="17">
        <v>13</v>
      </c>
      <c r="T302" s="18" t="s">
        <v>345</v>
      </c>
      <c r="U302" s="17">
        <v>2</v>
      </c>
      <c r="V302" s="17" t="s">
        <v>73</v>
      </c>
      <c r="W302" s="18">
        <v>2</v>
      </c>
      <c r="X302" s="18" t="s">
        <v>342</v>
      </c>
      <c r="Y302" s="18">
        <f t="shared" si="33"/>
        <v>2</v>
      </c>
      <c r="Z302" s="17" t="s">
        <v>63</v>
      </c>
      <c r="AA302" s="17">
        <v>1</v>
      </c>
      <c r="AB302" s="1">
        <f t="shared" si="28"/>
        <v>0</v>
      </c>
      <c r="AC302" s="1">
        <f t="shared" si="29"/>
        <v>1</v>
      </c>
      <c r="AD302" s="1">
        <f t="shared" si="30"/>
        <v>0</v>
      </c>
    </row>
    <row r="303" spans="19:30">
      <c r="S303" s="17">
        <v>14</v>
      </c>
      <c r="T303" s="18" t="s">
        <v>345</v>
      </c>
      <c r="U303" s="17">
        <v>1</v>
      </c>
      <c r="V303" s="17" t="s">
        <v>73</v>
      </c>
      <c r="W303" s="18">
        <v>0</v>
      </c>
      <c r="X303" s="18" t="s">
        <v>342</v>
      </c>
      <c r="Y303" s="18">
        <f t="shared" si="33"/>
        <v>4</v>
      </c>
      <c r="Z303" s="17" t="s">
        <v>55</v>
      </c>
      <c r="AA303" s="17">
        <v>2</v>
      </c>
      <c r="AB303" s="1">
        <f t="shared" si="28"/>
        <v>0</v>
      </c>
      <c r="AC303" s="1">
        <f t="shared" si="29"/>
        <v>0</v>
      </c>
      <c r="AD303" s="1">
        <f t="shared" si="30"/>
        <v>1</v>
      </c>
    </row>
    <row r="304" spans="19:30">
      <c r="S304" s="17">
        <v>15</v>
      </c>
      <c r="T304" s="18" t="s">
        <v>345</v>
      </c>
      <c r="U304" s="17">
        <v>1</v>
      </c>
      <c r="V304" s="17" t="s">
        <v>73</v>
      </c>
      <c r="W304" s="18">
        <v>4</v>
      </c>
      <c r="X304" s="18" t="s">
        <v>342</v>
      </c>
      <c r="Y304" s="18">
        <f t="shared" si="33"/>
        <v>0</v>
      </c>
      <c r="Z304" s="17" t="s">
        <v>35</v>
      </c>
      <c r="AA304" s="17">
        <v>2</v>
      </c>
      <c r="AB304" s="1">
        <f t="shared" si="28"/>
        <v>1</v>
      </c>
      <c r="AC304" s="1">
        <f t="shared" si="29"/>
        <v>0</v>
      </c>
      <c r="AD304" s="1">
        <f t="shared" si="30"/>
        <v>0</v>
      </c>
    </row>
    <row r="305" spans="19:30" ht="12.75" customHeight="1">
      <c r="S305" s="58" t="s">
        <v>339</v>
      </c>
      <c r="T305" s="58" t="s">
        <v>340</v>
      </c>
      <c r="U305" s="58" t="s">
        <v>341</v>
      </c>
      <c r="V305" s="58" t="s">
        <v>1</v>
      </c>
      <c r="W305" s="69" t="s">
        <v>220</v>
      </c>
      <c r="X305" s="70"/>
      <c r="Y305" s="71"/>
      <c r="Z305" s="58" t="s">
        <v>1</v>
      </c>
      <c r="AA305" s="58" t="s">
        <v>341</v>
      </c>
      <c r="AB305" s="1">
        <f t="shared" si="28"/>
        <v>1</v>
      </c>
      <c r="AC305" s="1">
        <f t="shared" si="29"/>
        <v>0</v>
      </c>
      <c r="AD305" s="1">
        <f t="shared" si="30"/>
        <v>0</v>
      </c>
    </row>
    <row r="306" spans="19:30">
      <c r="S306" s="17">
        <v>1</v>
      </c>
      <c r="T306" s="18" t="s">
        <v>345</v>
      </c>
      <c r="U306" s="17">
        <v>1</v>
      </c>
      <c r="V306" s="17" t="s">
        <v>35</v>
      </c>
      <c r="W306" s="18">
        <v>4</v>
      </c>
      <c r="X306" s="18" t="s">
        <v>342</v>
      </c>
      <c r="Y306" s="18">
        <f>IF(W306="","",4-W306)</f>
        <v>0</v>
      </c>
      <c r="Z306" s="17" t="s">
        <v>75</v>
      </c>
      <c r="AA306" s="17">
        <v>2</v>
      </c>
      <c r="AB306" s="1">
        <f t="shared" si="28"/>
        <v>1</v>
      </c>
      <c r="AC306" s="1">
        <f t="shared" si="29"/>
        <v>0</v>
      </c>
      <c r="AD306" s="1">
        <f t="shared" si="30"/>
        <v>0</v>
      </c>
    </row>
    <row r="307" spans="19:30">
      <c r="S307" s="17">
        <v>2</v>
      </c>
      <c r="T307" s="18" t="s">
        <v>345</v>
      </c>
      <c r="U307" s="17">
        <v>2</v>
      </c>
      <c r="V307" s="17" t="s">
        <v>35</v>
      </c>
      <c r="W307" s="18">
        <v>4</v>
      </c>
      <c r="X307" s="18" t="s">
        <v>342</v>
      </c>
      <c r="Y307" s="18">
        <f t="shared" ref="Y307:Y320" si="34">IF(W307="","",4-W307)</f>
        <v>0</v>
      </c>
      <c r="Z307" s="17" t="s">
        <v>61</v>
      </c>
      <c r="AA307" s="17">
        <v>1</v>
      </c>
      <c r="AB307" s="1">
        <f t="shared" si="28"/>
        <v>1</v>
      </c>
      <c r="AC307" s="1">
        <f t="shared" si="29"/>
        <v>0</v>
      </c>
      <c r="AD307" s="1">
        <f t="shared" si="30"/>
        <v>0</v>
      </c>
    </row>
    <row r="308" spans="19:30">
      <c r="S308" s="17">
        <v>3</v>
      </c>
      <c r="T308" s="18" t="s">
        <v>345</v>
      </c>
      <c r="U308" s="17">
        <v>2</v>
      </c>
      <c r="V308" s="17" t="s">
        <v>35</v>
      </c>
      <c r="W308" s="18">
        <v>4</v>
      </c>
      <c r="X308" s="18" t="s">
        <v>342</v>
      </c>
      <c r="Y308" s="18">
        <f t="shared" si="34"/>
        <v>0</v>
      </c>
      <c r="Z308" s="17" t="s">
        <v>33</v>
      </c>
      <c r="AA308" s="17">
        <v>1</v>
      </c>
      <c r="AB308" s="1">
        <f t="shared" si="28"/>
        <v>1</v>
      </c>
      <c r="AC308" s="1">
        <f t="shared" si="29"/>
        <v>0</v>
      </c>
      <c r="AD308" s="1">
        <f t="shared" si="30"/>
        <v>0</v>
      </c>
    </row>
    <row r="309" spans="19:30">
      <c r="S309" s="17">
        <v>4</v>
      </c>
      <c r="T309" s="18" t="s">
        <v>345</v>
      </c>
      <c r="U309" s="17">
        <v>1</v>
      </c>
      <c r="V309" s="17" t="s">
        <v>35</v>
      </c>
      <c r="W309" s="18">
        <v>4</v>
      </c>
      <c r="X309" s="18" t="s">
        <v>342</v>
      </c>
      <c r="Y309" s="18">
        <f t="shared" si="34"/>
        <v>0</v>
      </c>
      <c r="Z309" s="17" t="s">
        <v>343</v>
      </c>
      <c r="AA309" s="17">
        <v>2</v>
      </c>
      <c r="AB309" s="1">
        <f t="shared" si="28"/>
        <v>1</v>
      </c>
      <c r="AC309" s="1">
        <f t="shared" si="29"/>
        <v>0</v>
      </c>
      <c r="AD309" s="1">
        <f t="shared" si="30"/>
        <v>0</v>
      </c>
    </row>
    <row r="310" spans="19:30">
      <c r="S310" s="17">
        <v>5</v>
      </c>
      <c r="T310" s="18" t="s">
        <v>345</v>
      </c>
      <c r="U310" s="17">
        <v>2</v>
      </c>
      <c r="V310" s="17" t="s">
        <v>35</v>
      </c>
      <c r="W310" s="18">
        <v>4</v>
      </c>
      <c r="X310" s="18" t="s">
        <v>342</v>
      </c>
      <c r="Y310" s="18">
        <f t="shared" si="34"/>
        <v>0</v>
      </c>
      <c r="Z310" s="17" t="s">
        <v>25</v>
      </c>
      <c r="AA310" s="17">
        <v>1</v>
      </c>
      <c r="AB310" s="1">
        <f t="shared" si="28"/>
        <v>1</v>
      </c>
      <c r="AC310" s="1">
        <f t="shared" si="29"/>
        <v>0</v>
      </c>
      <c r="AD310" s="1">
        <f t="shared" si="30"/>
        <v>0</v>
      </c>
    </row>
    <row r="311" spans="19:30">
      <c r="S311" s="17">
        <v>6</v>
      </c>
      <c r="T311" s="18" t="s">
        <v>345</v>
      </c>
      <c r="U311" s="17">
        <v>2</v>
      </c>
      <c r="V311" s="17" t="s">
        <v>35</v>
      </c>
      <c r="W311" s="18">
        <v>4</v>
      </c>
      <c r="X311" s="18" t="s">
        <v>342</v>
      </c>
      <c r="Y311" s="18">
        <f t="shared" si="34"/>
        <v>0</v>
      </c>
      <c r="Z311" s="17" t="s">
        <v>31</v>
      </c>
      <c r="AA311" s="17">
        <v>1</v>
      </c>
      <c r="AB311" s="1">
        <f t="shared" si="28"/>
        <v>1</v>
      </c>
      <c r="AC311" s="1">
        <f t="shared" si="29"/>
        <v>0</v>
      </c>
      <c r="AD311" s="1">
        <f t="shared" si="30"/>
        <v>0</v>
      </c>
    </row>
    <row r="312" spans="19:30">
      <c r="S312" s="17">
        <v>7</v>
      </c>
      <c r="T312" s="18" t="s">
        <v>345</v>
      </c>
      <c r="U312" s="17">
        <v>1</v>
      </c>
      <c r="V312" s="17" t="s">
        <v>35</v>
      </c>
      <c r="W312" s="18">
        <v>4</v>
      </c>
      <c r="X312" s="18" t="s">
        <v>342</v>
      </c>
      <c r="Y312" s="18">
        <f t="shared" si="34"/>
        <v>0</v>
      </c>
      <c r="Z312" s="17" t="s">
        <v>45</v>
      </c>
      <c r="AA312" s="17">
        <v>2</v>
      </c>
      <c r="AB312" s="1">
        <f t="shared" si="28"/>
        <v>1</v>
      </c>
      <c r="AC312" s="1">
        <f t="shared" si="29"/>
        <v>0</v>
      </c>
      <c r="AD312" s="1">
        <f t="shared" si="30"/>
        <v>0</v>
      </c>
    </row>
    <row r="313" spans="19:30">
      <c r="S313" s="17">
        <v>8</v>
      </c>
      <c r="T313" s="18" t="s">
        <v>345</v>
      </c>
      <c r="U313" s="17">
        <v>2</v>
      </c>
      <c r="V313" s="17" t="s">
        <v>35</v>
      </c>
      <c r="W313" s="18">
        <v>4</v>
      </c>
      <c r="X313" s="18" t="s">
        <v>342</v>
      </c>
      <c r="Y313" s="18">
        <f t="shared" si="34"/>
        <v>0</v>
      </c>
      <c r="Z313" s="17" t="s">
        <v>57</v>
      </c>
      <c r="AA313" s="17">
        <v>1</v>
      </c>
      <c r="AB313" s="1">
        <f t="shared" si="28"/>
        <v>1</v>
      </c>
      <c r="AC313" s="1">
        <f t="shared" si="29"/>
        <v>0</v>
      </c>
      <c r="AD313" s="1">
        <f t="shared" si="30"/>
        <v>0</v>
      </c>
    </row>
    <row r="314" spans="19:30">
      <c r="S314" s="17">
        <v>9</v>
      </c>
      <c r="T314" s="18" t="s">
        <v>345</v>
      </c>
      <c r="U314" s="17">
        <v>1</v>
      </c>
      <c r="V314" s="17" t="s">
        <v>35</v>
      </c>
      <c r="W314" s="18">
        <v>3</v>
      </c>
      <c r="X314" s="18" t="s">
        <v>342</v>
      </c>
      <c r="Y314" s="18">
        <f t="shared" si="34"/>
        <v>1</v>
      </c>
      <c r="Z314" s="17" t="s">
        <v>121</v>
      </c>
      <c r="AA314" s="17">
        <v>2</v>
      </c>
      <c r="AB314" s="1">
        <f t="shared" si="28"/>
        <v>1</v>
      </c>
      <c r="AC314" s="1">
        <f t="shared" si="29"/>
        <v>0</v>
      </c>
      <c r="AD314" s="1">
        <f t="shared" si="30"/>
        <v>0</v>
      </c>
    </row>
    <row r="315" spans="19:30">
      <c r="S315" s="17">
        <v>10</v>
      </c>
      <c r="T315" s="18" t="s">
        <v>345</v>
      </c>
      <c r="U315" s="17">
        <v>2</v>
      </c>
      <c r="V315" s="17" t="s">
        <v>35</v>
      </c>
      <c r="W315" s="18">
        <v>3</v>
      </c>
      <c r="X315" s="18" t="s">
        <v>342</v>
      </c>
      <c r="Y315" s="18">
        <f t="shared" si="34"/>
        <v>1</v>
      </c>
      <c r="Z315" s="17" t="s">
        <v>59</v>
      </c>
      <c r="AA315" s="17">
        <v>1</v>
      </c>
      <c r="AB315" s="1">
        <f t="shared" si="28"/>
        <v>1</v>
      </c>
      <c r="AC315" s="1">
        <f t="shared" si="29"/>
        <v>0</v>
      </c>
      <c r="AD315" s="1">
        <f t="shared" si="30"/>
        <v>0</v>
      </c>
    </row>
    <row r="316" spans="19:30">
      <c r="S316" s="17">
        <v>11</v>
      </c>
      <c r="T316" s="18" t="s">
        <v>345</v>
      </c>
      <c r="U316" s="17">
        <v>1</v>
      </c>
      <c r="V316" s="17" t="s">
        <v>35</v>
      </c>
      <c r="W316" s="18">
        <v>2</v>
      </c>
      <c r="X316" s="18" t="s">
        <v>342</v>
      </c>
      <c r="Y316" s="18">
        <f t="shared" si="34"/>
        <v>2</v>
      </c>
      <c r="Z316" s="17" t="s">
        <v>47</v>
      </c>
      <c r="AA316" s="17">
        <v>2</v>
      </c>
      <c r="AB316" s="1">
        <f t="shared" si="28"/>
        <v>0</v>
      </c>
      <c r="AC316" s="1">
        <f t="shared" si="29"/>
        <v>1</v>
      </c>
      <c r="AD316" s="1">
        <f t="shared" si="30"/>
        <v>0</v>
      </c>
    </row>
    <row r="317" spans="19:30">
      <c r="S317" s="17">
        <v>12</v>
      </c>
      <c r="T317" s="18" t="s">
        <v>345</v>
      </c>
      <c r="U317" s="17">
        <v>2</v>
      </c>
      <c r="V317" s="17" t="s">
        <v>35</v>
      </c>
      <c r="W317" s="18">
        <v>3</v>
      </c>
      <c r="X317" s="18" t="s">
        <v>342</v>
      </c>
      <c r="Y317" s="18">
        <f t="shared" si="34"/>
        <v>1</v>
      </c>
      <c r="Z317" s="17" t="s">
        <v>71</v>
      </c>
      <c r="AA317" s="17">
        <v>1</v>
      </c>
      <c r="AB317" s="1">
        <f t="shared" si="28"/>
        <v>1</v>
      </c>
      <c r="AC317" s="1">
        <f t="shared" si="29"/>
        <v>0</v>
      </c>
      <c r="AD317" s="1">
        <f t="shared" si="30"/>
        <v>0</v>
      </c>
    </row>
    <row r="318" spans="19:30">
      <c r="S318" s="17">
        <v>13</v>
      </c>
      <c r="T318" s="18" t="s">
        <v>345</v>
      </c>
      <c r="U318" s="17">
        <v>2</v>
      </c>
      <c r="V318" s="17" t="s">
        <v>35</v>
      </c>
      <c r="W318" s="18">
        <v>0</v>
      </c>
      <c r="X318" s="18" t="s">
        <v>342</v>
      </c>
      <c r="Y318" s="18">
        <f t="shared" si="34"/>
        <v>4</v>
      </c>
      <c r="Z318" s="17" t="s">
        <v>55</v>
      </c>
      <c r="AA318" s="17">
        <v>1</v>
      </c>
      <c r="AB318" s="1">
        <f t="shared" si="28"/>
        <v>0</v>
      </c>
      <c r="AC318" s="1">
        <f t="shared" si="29"/>
        <v>0</v>
      </c>
      <c r="AD318" s="1">
        <f t="shared" si="30"/>
        <v>1</v>
      </c>
    </row>
    <row r="319" spans="19:30">
      <c r="S319" s="17">
        <v>14</v>
      </c>
      <c r="T319" s="18" t="s">
        <v>345</v>
      </c>
      <c r="U319" s="17">
        <v>2</v>
      </c>
      <c r="V319" s="17" t="s">
        <v>35</v>
      </c>
      <c r="W319" s="18">
        <v>0</v>
      </c>
      <c r="X319" s="18" t="s">
        <v>342</v>
      </c>
      <c r="Y319" s="18">
        <f t="shared" si="34"/>
        <v>4</v>
      </c>
      <c r="Z319" s="17" t="s">
        <v>63</v>
      </c>
      <c r="AA319" s="17">
        <v>1</v>
      </c>
      <c r="AB319" s="1">
        <f t="shared" si="28"/>
        <v>0</v>
      </c>
      <c r="AC319" s="1">
        <f t="shared" si="29"/>
        <v>0</v>
      </c>
      <c r="AD319" s="1">
        <f t="shared" si="30"/>
        <v>1</v>
      </c>
    </row>
    <row r="320" spans="19:30">
      <c r="S320" s="17">
        <v>15</v>
      </c>
      <c r="T320" s="18" t="s">
        <v>345</v>
      </c>
      <c r="U320" s="17">
        <v>2</v>
      </c>
      <c r="V320" s="17" t="s">
        <v>35</v>
      </c>
      <c r="W320" s="18">
        <v>0</v>
      </c>
      <c r="X320" s="18" t="s">
        <v>342</v>
      </c>
      <c r="Y320" s="18">
        <f t="shared" si="34"/>
        <v>4</v>
      </c>
      <c r="Z320" s="17" t="s">
        <v>73</v>
      </c>
      <c r="AA320" s="17">
        <v>1</v>
      </c>
      <c r="AB320" s="1">
        <f t="shared" si="28"/>
        <v>0</v>
      </c>
      <c r="AC320" s="1">
        <f t="shared" si="29"/>
        <v>0</v>
      </c>
      <c r="AD320" s="1">
        <f t="shared" si="30"/>
        <v>1</v>
      </c>
    </row>
    <row r="321" spans="19:30" ht="12.75" customHeight="1">
      <c r="S321" s="58" t="s">
        <v>339</v>
      </c>
      <c r="T321" s="58" t="s">
        <v>340</v>
      </c>
      <c r="U321" s="58" t="s">
        <v>341</v>
      </c>
      <c r="V321" s="58" t="s">
        <v>1</v>
      </c>
      <c r="W321" s="69" t="s">
        <v>220</v>
      </c>
      <c r="X321" s="70"/>
      <c r="Y321" s="71"/>
      <c r="Z321" s="58" t="s">
        <v>1</v>
      </c>
      <c r="AA321" s="58" t="s">
        <v>341</v>
      </c>
      <c r="AB321" s="1">
        <f t="shared" ref="AB321:AB384" si="35">IF(W321="",0,IF(W321&gt;Y321,1,0))</f>
        <v>1</v>
      </c>
      <c r="AC321" s="1">
        <f t="shared" ref="AC321:AC384" si="36">IF(W321="",0,IF(W321=Y321,1,0))</f>
        <v>0</v>
      </c>
      <c r="AD321" s="1">
        <f t="shared" ref="AD321:AD384" si="37">IF(W321="",0,IF(W321&lt;Y321,1,0))</f>
        <v>0</v>
      </c>
    </row>
    <row r="322" spans="19:30">
      <c r="S322" s="17">
        <v>1</v>
      </c>
      <c r="T322" s="18" t="s">
        <v>345</v>
      </c>
      <c r="U322" s="17">
        <v>2</v>
      </c>
      <c r="V322" s="17" t="s">
        <v>121</v>
      </c>
      <c r="W322" s="18">
        <v>4</v>
      </c>
      <c r="X322" s="18" t="s">
        <v>342</v>
      </c>
      <c r="Y322" s="18">
        <f>IF(W322="","",4-W322)</f>
        <v>0</v>
      </c>
      <c r="Z322" s="17" t="s">
        <v>57</v>
      </c>
      <c r="AA322" s="17">
        <v>1</v>
      </c>
      <c r="AB322" s="1">
        <f t="shared" si="35"/>
        <v>1</v>
      </c>
      <c r="AC322" s="1">
        <f t="shared" si="36"/>
        <v>0</v>
      </c>
      <c r="AD322" s="1">
        <f t="shared" si="37"/>
        <v>0</v>
      </c>
    </row>
    <row r="323" spans="19:30">
      <c r="S323" s="17">
        <v>2</v>
      </c>
      <c r="T323" s="18" t="s">
        <v>345</v>
      </c>
      <c r="U323" s="17">
        <v>2</v>
      </c>
      <c r="V323" s="17" t="s">
        <v>121</v>
      </c>
      <c r="W323" s="18">
        <v>4</v>
      </c>
      <c r="X323" s="18" t="s">
        <v>342</v>
      </c>
      <c r="Y323" s="18">
        <f t="shared" ref="Y323:Y336" si="38">IF(W323="","",4-W323)</f>
        <v>0</v>
      </c>
      <c r="Z323" s="17" t="s">
        <v>45</v>
      </c>
      <c r="AA323" s="17">
        <v>1</v>
      </c>
      <c r="AB323" s="1">
        <f t="shared" si="35"/>
        <v>1</v>
      </c>
      <c r="AC323" s="1">
        <f t="shared" si="36"/>
        <v>0</v>
      </c>
      <c r="AD323" s="1">
        <f t="shared" si="37"/>
        <v>0</v>
      </c>
    </row>
    <row r="324" spans="19:30">
      <c r="S324" s="17">
        <v>3</v>
      </c>
      <c r="T324" s="18" t="s">
        <v>345</v>
      </c>
      <c r="U324" s="17">
        <v>2</v>
      </c>
      <c r="V324" s="17" t="s">
        <v>121</v>
      </c>
      <c r="W324" s="18">
        <v>4</v>
      </c>
      <c r="X324" s="18" t="s">
        <v>342</v>
      </c>
      <c r="Y324" s="18">
        <f t="shared" si="38"/>
        <v>0</v>
      </c>
      <c r="Z324" s="17" t="s">
        <v>31</v>
      </c>
      <c r="AA324" s="17">
        <v>1</v>
      </c>
      <c r="AB324" s="1">
        <f t="shared" si="35"/>
        <v>1</v>
      </c>
      <c r="AC324" s="1">
        <f t="shared" si="36"/>
        <v>0</v>
      </c>
      <c r="AD324" s="1">
        <f t="shared" si="37"/>
        <v>0</v>
      </c>
    </row>
    <row r="325" spans="19:30">
      <c r="S325" s="17">
        <v>4</v>
      </c>
      <c r="T325" s="18" t="s">
        <v>345</v>
      </c>
      <c r="U325" s="17">
        <v>1</v>
      </c>
      <c r="V325" s="17" t="s">
        <v>121</v>
      </c>
      <c r="W325" s="18">
        <v>4</v>
      </c>
      <c r="X325" s="18" t="s">
        <v>342</v>
      </c>
      <c r="Y325" s="18">
        <f t="shared" si="38"/>
        <v>0</v>
      </c>
      <c r="Z325" s="17" t="s">
        <v>25</v>
      </c>
      <c r="AA325" s="17">
        <v>2</v>
      </c>
      <c r="AB325" s="1">
        <f t="shared" si="35"/>
        <v>1</v>
      </c>
      <c r="AC325" s="1">
        <f t="shared" si="36"/>
        <v>0</v>
      </c>
      <c r="AD325" s="1">
        <f t="shared" si="37"/>
        <v>0</v>
      </c>
    </row>
    <row r="326" spans="19:30">
      <c r="S326" s="17">
        <v>5</v>
      </c>
      <c r="T326" s="18" t="s">
        <v>345</v>
      </c>
      <c r="U326" s="17">
        <v>2</v>
      </c>
      <c r="V326" s="17" t="s">
        <v>121</v>
      </c>
      <c r="W326" s="18">
        <v>4</v>
      </c>
      <c r="X326" s="18" t="s">
        <v>342</v>
      </c>
      <c r="Y326" s="18">
        <f t="shared" si="38"/>
        <v>0</v>
      </c>
      <c r="Z326" s="17" t="s">
        <v>343</v>
      </c>
      <c r="AA326" s="17">
        <v>1</v>
      </c>
      <c r="AB326" s="1">
        <f t="shared" si="35"/>
        <v>1</v>
      </c>
      <c r="AC326" s="1">
        <f t="shared" si="36"/>
        <v>0</v>
      </c>
      <c r="AD326" s="1">
        <f t="shared" si="37"/>
        <v>0</v>
      </c>
    </row>
    <row r="327" spans="19:30">
      <c r="S327" s="17">
        <v>6</v>
      </c>
      <c r="T327" s="18" t="s">
        <v>345</v>
      </c>
      <c r="U327" s="17">
        <v>1</v>
      </c>
      <c r="V327" s="17" t="s">
        <v>121</v>
      </c>
      <c r="W327" s="18">
        <v>4</v>
      </c>
      <c r="X327" s="18" t="s">
        <v>342</v>
      </c>
      <c r="Y327" s="18">
        <f t="shared" si="38"/>
        <v>0</v>
      </c>
      <c r="Z327" s="17" t="s">
        <v>33</v>
      </c>
      <c r="AA327" s="17">
        <v>2</v>
      </c>
      <c r="AB327" s="1">
        <f t="shared" si="35"/>
        <v>1</v>
      </c>
      <c r="AC327" s="1">
        <f t="shared" si="36"/>
        <v>0</v>
      </c>
      <c r="AD327" s="1">
        <f t="shared" si="37"/>
        <v>0</v>
      </c>
    </row>
    <row r="328" spans="19:30">
      <c r="S328" s="17">
        <v>7</v>
      </c>
      <c r="T328" s="18" t="s">
        <v>345</v>
      </c>
      <c r="U328" s="17">
        <v>2</v>
      </c>
      <c r="V328" s="17" t="s">
        <v>121</v>
      </c>
      <c r="W328" s="18">
        <v>4</v>
      </c>
      <c r="X328" s="18" t="s">
        <v>342</v>
      </c>
      <c r="Y328" s="18">
        <f t="shared" si="38"/>
        <v>0</v>
      </c>
      <c r="Z328" s="17" t="s">
        <v>61</v>
      </c>
      <c r="AA328" s="17">
        <v>1</v>
      </c>
      <c r="AB328" s="1">
        <f t="shared" si="35"/>
        <v>1</v>
      </c>
      <c r="AC328" s="1">
        <f t="shared" si="36"/>
        <v>0</v>
      </c>
      <c r="AD328" s="1">
        <f t="shared" si="37"/>
        <v>0</v>
      </c>
    </row>
    <row r="329" spans="19:30">
      <c r="S329" s="17">
        <v>8</v>
      </c>
      <c r="T329" s="18" t="s">
        <v>345</v>
      </c>
      <c r="U329" s="17">
        <v>2</v>
      </c>
      <c r="V329" s="17" t="s">
        <v>121</v>
      </c>
      <c r="W329" s="18">
        <v>4</v>
      </c>
      <c r="X329" s="18" t="s">
        <v>342</v>
      </c>
      <c r="Y329" s="18">
        <f t="shared" si="38"/>
        <v>0</v>
      </c>
      <c r="Z329" s="17" t="s">
        <v>75</v>
      </c>
      <c r="AA329" s="17">
        <v>1</v>
      </c>
      <c r="AB329" s="1">
        <f t="shared" si="35"/>
        <v>1</v>
      </c>
      <c r="AC329" s="1">
        <f t="shared" si="36"/>
        <v>0</v>
      </c>
      <c r="AD329" s="1">
        <f t="shared" si="37"/>
        <v>0</v>
      </c>
    </row>
    <row r="330" spans="19:30">
      <c r="S330" s="17">
        <v>9</v>
      </c>
      <c r="T330" s="18" t="s">
        <v>345</v>
      </c>
      <c r="U330" s="17">
        <v>2</v>
      </c>
      <c r="V330" s="17" t="s">
        <v>121</v>
      </c>
      <c r="W330" s="18">
        <v>1</v>
      </c>
      <c r="X330" s="18" t="s">
        <v>342</v>
      </c>
      <c r="Y330" s="18">
        <f t="shared" si="38"/>
        <v>3</v>
      </c>
      <c r="Z330" s="17" t="s">
        <v>35</v>
      </c>
      <c r="AA330" s="17">
        <v>1</v>
      </c>
      <c r="AB330" s="1">
        <f t="shared" si="35"/>
        <v>0</v>
      </c>
      <c r="AC330" s="1">
        <f t="shared" si="36"/>
        <v>0</v>
      </c>
      <c r="AD330" s="1">
        <f t="shared" si="37"/>
        <v>1</v>
      </c>
    </row>
    <row r="331" spans="19:30">
      <c r="S331" s="17">
        <v>10</v>
      </c>
      <c r="T331" s="18" t="s">
        <v>345</v>
      </c>
      <c r="U331" s="17">
        <v>2</v>
      </c>
      <c r="V331" s="17" t="s">
        <v>121</v>
      </c>
      <c r="W331" s="18">
        <v>1</v>
      </c>
      <c r="X331" s="18" t="s">
        <v>342</v>
      </c>
      <c r="Y331" s="18">
        <f t="shared" si="38"/>
        <v>3</v>
      </c>
      <c r="Z331" s="17" t="s">
        <v>73</v>
      </c>
      <c r="AA331" s="17">
        <v>1</v>
      </c>
      <c r="AB331" s="1">
        <f t="shared" si="35"/>
        <v>0</v>
      </c>
      <c r="AC331" s="1">
        <f t="shared" si="36"/>
        <v>0</v>
      </c>
      <c r="AD331" s="1">
        <f t="shared" si="37"/>
        <v>1</v>
      </c>
    </row>
    <row r="332" spans="19:30">
      <c r="S332" s="17">
        <v>11</v>
      </c>
      <c r="T332" s="18" t="s">
        <v>345</v>
      </c>
      <c r="U332" s="17">
        <v>2</v>
      </c>
      <c r="V332" s="17" t="s">
        <v>121</v>
      </c>
      <c r="W332" s="18">
        <v>1</v>
      </c>
      <c r="X332" s="18" t="s">
        <v>342</v>
      </c>
      <c r="Y332" s="18">
        <f t="shared" si="38"/>
        <v>3</v>
      </c>
      <c r="Z332" s="17" t="s">
        <v>63</v>
      </c>
      <c r="AA332" s="17">
        <v>1</v>
      </c>
      <c r="AB332" s="1">
        <f t="shared" si="35"/>
        <v>0</v>
      </c>
      <c r="AC332" s="1">
        <f t="shared" si="36"/>
        <v>0</v>
      </c>
      <c r="AD332" s="1">
        <f t="shared" si="37"/>
        <v>1</v>
      </c>
    </row>
    <row r="333" spans="19:30">
      <c r="S333" s="17">
        <v>12</v>
      </c>
      <c r="T333" s="18" t="s">
        <v>345</v>
      </c>
      <c r="U333" s="17">
        <v>1</v>
      </c>
      <c r="V333" s="17" t="s">
        <v>121</v>
      </c>
      <c r="W333" s="18">
        <v>1</v>
      </c>
      <c r="X333" s="18" t="s">
        <v>342</v>
      </c>
      <c r="Y333" s="18">
        <f t="shared" si="38"/>
        <v>3</v>
      </c>
      <c r="Z333" s="17" t="s">
        <v>55</v>
      </c>
      <c r="AA333" s="17">
        <v>2</v>
      </c>
      <c r="AB333" s="1">
        <f t="shared" si="35"/>
        <v>0</v>
      </c>
      <c r="AC333" s="1">
        <f t="shared" si="36"/>
        <v>0</v>
      </c>
      <c r="AD333" s="1">
        <f t="shared" si="37"/>
        <v>1</v>
      </c>
    </row>
    <row r="334" spans="19:30">
      <c r="S334" s="17">
        <v>13</v>
      </c>
      <c r="T334" s="18" t="s">
        <v>345</v>
      </c>
      <c r="U334" s="17">
        <v>1</v>
      </c>
      <c r="V334" s="17" t="s">
        <v>121</v>
      </c>
      <c r="W334" s="18">
        <v>3</v>
      </c>
      <c r="X334" s="18" t="s">
        <v>342</v>
      </c>
      <c r="Y334" s="18">
        <f t="shared" si="38"/>
        <v>1</v>
      </c>
      <c r="Z334" s="17" t="s">
        <v>71</v>
      </c>
      <c r="AA334" s="17">
        <v>2</v>
      </c>
      <c r="AB334" s="1">
        <f t="shared" si="35"/>
        <v>1</v>
      </c>
      <c r="AC334" s="1">
        <f t="shared" si="36"/>
        <v>0</v>
      </c>
      <c r="AD334" s="1">
        <f t="shared" si="37"/>
        <v>0</v>
      </c>
    </row>
    <row r="335" spans="19:30">
      <c r="S335" s="17">
        <v>14</v>
      </c>
      <c r="T335" s="18" t="s">
        <v>345</v>
      </c>
      <c r="U335" s="17">
        <v>2</v>
      </c>
      <c r="V335" s="17" t="s">
        <v>121</v>
      </c>
      <c r="W335" s="18">
        <v>3</v>
      </c>
      <c r="X335" s="18" t="s">
        <v>342</v>
      </c>
      <c r="Y335" s="18">
        <f t="shared" si="38"/>
        <v>1</v>
      </c>
      <c r="Z335" s="17" t="s">
        <v>47</v>
      </c>
      <c r="AA335" s="17">
        <v>1</v>
      </c>
      <c r="AB335" s="1">
        <f t="shared" si="35"/>
        <v>1</v>
      </c>
      <c r="AC335" s="1">
        <f t="shared" si="36"/>
        <v>0</v>
      </c>
      <c r="AD335" s="1">
        <f t="shared" si="37"/>
        <v>0</v>
      </c>
    </row>
    <row r="336" spans="19:30">
      <c r="S336" s="17">
        <v>15</v>
      </c>
      <c r="T336" s="18" t="s">
        <v>345</v>
      </c>
      <c r="U336" s="17">
        <v>2</v>
      </c>
      <c r="V336" s="17" t="s">
        <v>121</v>
      </c>
      <c r="W336" s="18">
        <v>4</v>
      </c>
      <c r="X336" s="18" t="s">
        <v>342</v>
      </c>
      <c r="Y336" s="18">
        <f t="shared" si="38"/>
        <v>0</v>
      </c>
      <c r="Z336" s="17" t="s">
        <v>59</v>
      </c>
      <c r="AA336" s="17">
        <v>1</v>
      </c>
      <c r="AB336" s="1">
        <f t="shared" si="35"/>
        <v>1</v>
      </c>
      <c r="AC336" s="1">
        <f t="shared" si="36"/>
        <v>0</v>
      </c>
      <c r="AD336" s="1">
        <f t="shared" si="37"/>
        <v>0</v>
      </c>
    </row>
    <row r="337" spans="19:30" ht="12.75" customHeight="1">
      <c r="S337" s="58" t="s">
        <v>339</v>
      </c>
      <c r="T337" s="58" t="s">
        <v>340</v>
      </c>
      <c r="U337" s="58" t="s">
        <v>341</v>
      </c>
      <c r="V337" s="58" t="s">
        <v>1</v>
      </c>
      <c r="W337" s="69" t="s">
        <v>220</v>
      </c>
      <c r="X337" s="70"/>
      <c r="Y337" s="71"/>
      <c r="Z337" s="58" t="s">
        <v>1</v>
      </c>
      <c r="AA337" s="58" t="s">
        <v>341</v>
      </c>
      <c r="AB337" s="1">
        <f t="shared" si="35"/>
        <v>1</v>
      </c>
      <c r="AC337" s="1">
        <f t="shared" si="36"/>
        <v>0</v>
      </c>
      <c r="AD337" s="1">
        <f t="shared" si="37"/>
        <v>0</v>
      </c>
    </row>
    <row r="338" spans="19:30">
      <c r="S338" s="17">
        <v>1</v>
      </c>
      <c r="T338" s="18" t="s">
        <v>345</v>
      </c>
      <c r="U338" s="17">
        <v>1</v>
      </c>
      <c r="V338" s="17" t="s">
        <v>59</v>
      </c>
      <c r="W338" s="18">
        <v>4</v>
      </c>
      <c r="X338" s="18" t="s">
        <v>342</v>
      </c>
      <c r="Y338" s="18">
        <f>IF(W338="","",4-W338)</f>
        <v>0</v>
      </c>
      <c r="Z338" s="17" t="s">
        <v>45</v>
      </c>
      <c r="AA338" s="17">
        <v>2</v>
      </c>
      <c r="AB338" s="1">
        <f t="shared" si="35"/>
        <v>1</v>
      </c>
      <c r="AC338" s="1">
        <f t="shared" si="36"/>
        <v>0</v>
      </c>
      <c r="AD338" s="1">
        <f t="shared" si="37"/>
        <v>0</v>
      </c>
    </row>
    <row r="339" spans="19:30">
      <c r="S339" s="17">
        <v>2</v>
      </c>
      <c r="T339" s="18" t="s">
        <v>345</v>
      </c>
      <c r="U339" s="17">
        <v>1</v>
      </c>
      <c r="V339" s="17" t="s">
        <v>59</v>
      </c>
      <c r="W339" s="18">
        <v>4</v>
      </c>
      <c r="X339" s="18" t="s">
        <v>342</v>
      </c>
      <c r="Y339" s="18">
        <f t="shared" ref="Y339:Y352" si="39">IF(W339="","",4-W339)</f>
        <v>0</v>
      </c>
      <c r="Z339" s="17" t="s">
        <v>57</v>
      </c>
      <c r="AA339" s="17">
        <v>2</v>
      </c>
      <c r="AB339" s="1">
        <f t="shared" si="35"/>
        <v>1</v>
      </c>
      <c r="AC339" s="1">
        <f t="shared" si="36"/>
        <v>0</v>
      </c>
      <c r="AD339" s="1">
        <f t="shared" si="37"/>
        <v>0</v>
      </c>
    </row>
    <row r="340" spans="19:30">
      <c r="S340" s="17">
        <v>3</v>
      </c>
      <c r="T340" s="18" t="s">
        <v>345</v>
      </c>
      <c r="U340" s="17">
        <v>2</v>
      </c>
      <c r="V340" s="17" t="s">
        <v>59</v>
      </c>
      <c r="W340" s="18">
        <v>4</v>
      </c>
      <c r="X340" s="18" t="s">
        <v>342</v>
      </c>
      <c r="Y340" s="18">
        <f t="shared" si="39"/>
        <v>0</v>
      </c>
      <c r="Z340" s="17" t="s">
        <v>25</v>
      </c>
      <c r="AA340" s="17">
        <v>1</v>
      </c>
      <c r="AB340" s="1">
        <f t="shared" si="35"/>
        <v>1</v>
      </c>
      <c r="AC340" s="1">
        <f t="shared" si="36"/>
        <v>0</v>
      </c>
      <c r="AD340" s="1">
        <f t="shared" si="37"/>
        <v>0</v>
      </c>
    </row>
    <row r="341" spans="19:30">
      <c r="S341" s="17">
        <v>4</v>
      </c>
      <c r="T341" s="18" t="s">
        <v>345</v>
      </c>
      <c r="U341" s="17">
        <v>1</v>
      </c>
      <c r="V341" s="17" t="s">
        <v>59</v>
      </c>
      <c r="W341" s="18">
        <v>4</v>
      </c>
      <c r="X341" s="18" t="s">
        <v>342</v>
      </c>
      <c r="Y341" s="18">
        <f t="shared" si="39"/>
        <v>0</v>
      </c>
      <c r="Z341" s="17" t="s">
        <v>31</v>
      </c>
      <c r="AA341" s="17">
        <v>2</v>
      </c>
      <c r="AB341" s="1">
        <f t="shared" si="35"/>
        <v>1</v>
      </c>
      <c r="AC341" s="1">
        <f t="shared" si="36"/>
        <v>0</v>
      </c>
      <c r="AD341" s="1">
        <f t="shared" si="37"/>
        <v>0</v>
      </c>
    </row>
    <row r="342" spans="19:30">
      <c r="S342" s="17">
        <v>5</v>
      </c>
      <c r="T342" s="18" t="s">
        <v>345</v>
      </c>
      <c r="U342" s="17">
        <v>2</v>
      </c>
      <c r="V342" s="17" t="s">
        <v>59</v>
      </c>
      <c r="W342" s="18">
        <v>4</v>
      </c>
      <c r="X342" s="18" t="s">
        <v>342</v>
      </c>
      <c r="Y342" s="18">
        <f t="shared" si="39"/>
        <v>0</v>
      </c>
      <c r="Z342" s="17" t="s">
        <v>33</v>
      </c>
      <c r="AA342" s="17">
        <v>1</v>
      </c>
      <c r="AB342" s="1">
        <f t="shared" si="35"/>
        <v>1</v>
      </c>
      <c r="AC342" s="1">
        <f t="shared" si="36"/>
        <v>0</v>
      </c>
      <c r="AD342" s="1">
        <f t="shared" si="37"/>
        <v>0</v>
      </c>
    </row>
    <row r="343" spans="19:30">
      <c r="S343" s="17">
        <v>6</v>
      </c>
      <c r="T343" s="18" t="s">
        <v>345</v>
      </c>
      <c r="U343" s="17">
        <v>2</v>
      </c>
      <c r="V343" s="17" t="s">
        <v>59</v>
      </c>
      <c r="W343" s="18">
        <v>4</v>
      </c>
      <c r="X343" s="18" t="s">
        <v>342</v>
      </c>
      <c r="Y343" s="18">
        <f t="shared" si="39"/>
        <v>0</v>
      </c>
      <c r="Z343" s="17" t="s">
        <v>343</v>
      </c>
      <c r="AA343" s="17">
        <v>1</v>
      </c>
      <c r="AB343" s="1">
        <f t="shared" si="35"/>
        <v>1</v>
      </c>
      <c r="AC343" s="1">
        <f t="shared" si="36"/>
        <v>0</v>
      </c>
      <c r="AD343" s="1">
        <f t="shared" si="37"/>
        <v>0</v>
      </c>
    </row>
    <row r="344" spans="19:30">
      <c r="S344" s="17">
        <v>7</v>
      </c>
      <c r="T344" s="18" t="s">
        <v>345</v>
      </c>
      <c r="U344" s="17">
        <v>2</v>
      </c>
      <c r="V344" s="17" t="s">
        <v>59</v>
      </c>
      <c r="W344" s="18">
        <v>4</v>
      </c>
      <c r="X344" s="18" t="s">
        <v>342</v>
      </c>
      <c r="Y344" s="18">
        <f t="shared" si="39"/>
        <v>0</v>
      </c>
      <c r="Z344" s="17" t="s">
        <v>75</v>
      </c>
      <c r="AA344" s="17">
        <v>1</v>
      </c>
      <c r="AB344" s="1">
        <f t="shared" si="35"/>
        <v>1</v>
      </c>
      <c r="AC344" s="1">
        <f t="shared" si="36"/>
        <v>0</v>
      </c>
      <c r="AD344" s="1">
        <f t="shared" si="37"/>
        <v>0</v>
      </c>
    </row>
    <row r="345" spans="19:30">
      <c r="S345" s="17">
        <v>8</v>
      </c>
      <c r="T345" s="18" t="s">
        <v>345</v>
      </c>
      <c r="U345" s="17">
        <v>1</v>
      </c>
      <c r="V345" s="17" t="s">
        <v>59</v>
      </c>
      <c r="W345" s="18">
        <v>3</v>
      </c>
      <c r="X345" s="18" t="s">
        <v>342</v>
      </c>
      <c r="Y345" s="18">
        <f t="shared" si="39"/>
        <v>1</v>
      </c>
      <c r="Z345" s="17" t="s">
        <v>61</v>
      </c>
      <c r="AA345" s="17">
        <v>2</v>
      </c>
      <c r="AB345" s="1">
        <f t="shared" si="35"/>
        <v>1</v>
      </c>
      <c r="AC345" s="1">
        <f t="shared" si="36"/>
        <v>0</v>
      </c>
      <c r="AD345" s="1">
        <f t="shared" si="37"/>
        <v>0</v>
      </c>
    </row>
    <row r="346" spans="19:30">
      <c r="S346" s="17">
        <v>9</v>
      </c>
      <c r="T346" s="18" t="s">
        <v>345</v>
      </c>
      <c r="U346" s="17">
        <v>1</v>
      </c>
      <c r="V346" s="17" t="s">
        <v>59</v>
      </c>
      <c r="W346" s="18">
        <v>1</v>
      </c>
      <c r="X346" s="18" t="s">
        <v>342</v>
      </c>
      <c r="Y346" s="18">
        <f t="shared" si="39"/>
        <v>3</v>
      </c>
      <c r="Z346" s="17" t="s">
        <v>73</v>
      </c>
      <c r="AA346" s="17">
        <v>2</v>
      </c>
      <c r="AB346" s="1">
        <f t="shared" si="35"/>
        <v>0</v>
      </c>
      <c r="AC346" s="1">
        <f t="shared" si="36"/>
        <v>0</v>
      </c>
      <c r="AD346" s="1">
        <f t="shared" si="37"/>
        <v>1</v>
      </c>
    </row>
    <row r="347" spans="19:30">
      <c r="S347" s="17">
        <v>10</v>
      </c>
      <c r="T347" s="18" t="s">
        <v>345</v>
      </c>
      <c r="U347" s="17">
        <v>1</v>
      </c>
      <c r="V347" s="17" t="s">
        <v>59</v>
      </c>
      <c r="W347" s="18">
        <v>1</v>
      </c>
      <c r="X347" s="18" t="s">
        <v>342</v>
      </c>
      <c r="Y347" s="18">
        <f t="shared" si="39"/>
        <v>3</v>
      </c>
      <c r="Z347" s="17" t="s">
        <v>35</v>
      </c>
      <c r="AA347" s="17">
        <v>2</v>
      </c>
      <c r="AB347" s="1">
        <f t="shared" si="35"/>
        <v>0</v>
      </c>
      <c r="AC347" s="1">
        <f t="shared" si="36"/>
        <v>0</v>
      </c>
      <c r="AD347" s="1">
        <f t="shared" si="37"/>
        <v>1</v>
      </c>
    </row>
    <row r="348" spans="19:30">
      <c r="S348" s="17">
        <v>11</v>
      </c>
      <c r="T348" s="18" t="s">
        <v>345</v>
      </c>
      <c r="U348" s="17">
        <v>1</v>
      </c>
      <c r="V348" s="17" t="s">
        <v>59</v>
      </c>
      <c r="W348" s="18">
        <v>0</v>
      </c>
      <c r="X348" s="18" t="s">
        <v>342</v>
      </c>
      <c r="Y348" s="18">
        <f t="shared" si="39"/>
        <v>4</v>
      </c>
      <c r="Z348" s="17" t="s">
        <v>55</v>
      </c>
      <c r="AA348" s="17">
        <v>2</v>
      </c>
      <c r="AB348" s="1">
        <f t="shared" si="35"/>
        <v>0</v>
      </c>
      <c r="AC348" s="1">
        <f t="shared" si="36"/>
        <v>0</v>
      </c>
      <c r="AD348" s="1">
        <f t="shared" si="37"/>
        <v>1</v>
      </c>
    </row>
    <row r="349" spans="19:30">
      <c r="S349" s="17">
        <v>12</v>
      </c>
      <c r="T349" s="18" t="s">
        <v>345</v>
      </c>
      <c r="U349" s="17">
        <v>1</v>
      </c>
      <c r="V349" s="17" t="s">
        <v>59</v>
      </c>
      <c r="W349" s="18">
        <v>1</v>
      </c>
      <c r="X349" s="18" t="s">
        <v>342</v>
      </c>
      <c r="Y349" s="18">
        <f t="shared" si="39"/>
        <v>3</v>
      </c>
      <c r="Z349" s="17" t="s">
        <v>63</v>
      </c>
      <c r="AA349" s="17">
        <v>2</v>
      </c>
      <c r="AB349" s="1">
        <f t="shared" si="35"/>
        <v>0</v>
      </c>
      <c r="AC349" s="1">
        <f t="shared" si="36"/>
        <v>0</v>
      </c>
      <c r="AD349" s="1">
        <f t="shared" si="37"/>
        <v>1</v>
      </c>
    </row>
    <row r="350" spans="19:30">
      <c r="S350" s="17">
        <v>13</v>
      </c>
      <c r="T350" s="18" t="s">
        <v>345</v>
      </c>
      <c r="U350" s="17">
        <v>1</v>
      </c>
      <c r="V350" s="17" t="s">
        <v>59</v>
      </c>
      <c r="W350" s="18">
        <v>3</v>
      </c>
      <c r="X350" s="18" t="s">
        <v>342</v>
      </c>
      <c r="Y350" s="18">
        <f t="shared" si="39"/>
        <v>1</v>
      </c>
      <c r="Z350" s="17" t="s">
        <v>47</v>
      </c>
      <c r="AA350" s="17">
        <v>2</v>
      </c>
      <c r="AB350" s="1">
        <f t="shared" si="35"/>
        <v>1</v>
      </c>
      <c r="AC350" s="1">
        <f t="shared" si="36"/>
        <v>0</v>
      </c>
      <c r="AD350" s="1">
        <f t="shared" si="37"/>
        <v>0</v>
      </c>
    </row>
    <row r="351" spans="19:30">
      <c r="S351" s="17">
        <v>14</v>
      </c>
      <c r="T351" s="18" t="s">
        <v>345</v>
      </c>
      <c r="U351" s="17">
        <v>1</v>
      </c>
      <c r="V351" s="17" t="s">
        <v>59</v>
      </c>
      <c r="W351" s="18">
        <v>4</v>
      </c>
      <c r="X351" s="18" t="s">
        <v>342</v>
      </c>
      <c r="Y351" s="18">
        <f t="shared" si="39"/>
        <v>0</v>
      </c>
      <c r="Z351" s="17" t="s">
        <v>71</v>
      </c>
      <c r="AA351" s="17">
        <v>2</v>
      </c>
      <c r="AB351" s="1">
        <f t="shared" si="35"/>
        <v>1</v>
      </c>
      <c r="AC351" s="1">
        <f t="shared" si="36"/>
        <v>0</v>
      </c>
      <c r="AD351" s="1">
        <f t="shared" si="37"/>
        <v>0</v>
      </c>
    </row>
    <row r="352" spans="19:30">
      <c r="S352" s="17">
        <v>15</v>
      </c>
      <c r="T352" s="18" t="s">
        <v>345</v>
      </c>
      <c r="U352" s="17">
        <v>1</v>
      </c>
      <c r="V352" s="17" t="s">
        <v>59</v>
      </c>
      <c r="W352" s="18">
        <v>0</v>
      </c>
      <c r="X352" s="18" t="s">
        <v>342</v>
      </c>
      <c r="Y352" s="18">
        <f t="shared" si="39"/>
        <v>4</v>
      </c>
      <c r="Z352" s="17" t="s">
        <v>121</v>
      </c>
      <c r="AA352" s="17">
        <v>2</v>
      </c>
      <c r="AB352" s="1">
        <f t="shared" si="35"/>
        <v>0</v>
      </c>
      <c r="AC352" s="1">
        <f t="shared" si="36"/>
        <v>0</v>
      </c>
      <c r="AD352" s="1">
        <f t="shared" si="37"/>
        <v>1</v>
      </c>
    </row>
    <row r="353" spans="19:30" ht="12.75" customHeight="1">
      <c r="S353" s="58" t="s">
        <v>339</v>
      </c>
      <c r="T353" s="58" t="s">
        <v>340</v>
      </c>
      <c r="U353" s="58" t="s">
        <v>341</v>
      </c>
      <c r="V353" s="58" t="s">
        <v>1</v>
      </c>
      <c r="W353" s="69" t="s">
        <v>220</v>
      </c>
      <c r="X353" s="70"/>
      <c r="Y353" s="71"/>
      <c r="Z353" s="58" t="s">
        <v>1</v>
      </c>
      <c r="AA353" s="58" t="s">
        <v>341</v>
      </c>
      <c r="AB353" s="1">
        <f t="shared" si="35"/>
        <v>1</v>
      </c>
      <c r="AC353" s="1">
        <f t="shared" si="36"/>
        <v>0</v>
      </c>
      <c r="AD353" s="1">
        <f t="shared" si="37"/>
        <v>0</v>
      </c>
    </row>
    <row r="354" spans="19:30">
      <c r="S354" s="17">
        <v>1</v>
      </c>
      <c r="T354" s="18" t="s">
        <v>345</v>
      </c>
      <c r="U354" s="17">
        <v>1</v>
      </c>
      <c r="V354" s="17" t="s">
        <v>47</v>
      </c>
      <c r="W354" s="18">
        <v>4</v>
      </c>
      <c r="X354" s="18" t="s">
        <v>342</v>
      </c>
      <c r="Y354" s="18">
        <f>IF(W354="","",4-W354)</f>
        <v>0</v>
      </c>
      <c r="Z354" s="17" t="s">
        <v>31</v>
      </c>
      <c r="AA354" s="17">
        <v>2</v>
      </c>
      <c r="AB354" s="1">
        <f t="shared" si="35"/>
        <v>1</v>
      </c>
      <c r="AC354" s="1">
        <f t="shared" si="36"/>
        <v>0</v>
      </c>
      <c r="AD354" s="1">
        <f t="shared" si="37"/>
        <v>0</v>
      </c>
    </row>
    <row r="355" spans="19:30">
      <c r="S355" s="17">
        <v>2</v>
      </c>
      <c r="T355" s="18" t="s">
        <v>345</v>
      </c>
      <c r="U355" s="17">
        <v>1</v>
      </c>
      <c r="V355" s="17" t="s">
        <v>47</v>
      </c>
      <c r="W355" s="18">
        <v>3</v>
      </c>
      <c r="X355" s="18" t="s">
        <v>342</v>
      </c>
      <c r="Y355" s="18">
        <f t="shared" ref="Y355:Y368" si="40">IF(W355="","",4-W355)</f>
        <v>1</v>
      </c>
      <c r="Z355" s="17" t="s">
        <v>25</v>
      </c>
      <c r="AA355" s="17">
        <v>2</v>
      </c>
      <c r="AB355" s="1">
        <f t="shared" si="35"/>
        <v>1</v>
      </c>
      <c r="AC355" s="1">
        <f t="shared" si="36"/>
        <v>0</v>
      </c>
      <c r="AD355" s="1">
        <f t="shared" si="37"/>
        <v>0</v>
      </c>
    </row>
    <row r="356" spans="19:30">
      <c r="S356" s="17">
        <v>3</v>
      </c>
      <c r="T356" s="18" t="s">
        <v>345</v>
      </c>
      <c r="U356" s="17">
        <v>1</v>
      </c>
      <c r="V356" s="17" t="s">
        <v>47</v>
      </c>
      <c r="W356" s="18">
        <v>4</v>
      </c>
      <c r="X356" s="18" t="s">
        <v>342</v>
      </c>
      <c r="Y356" s="18">
        <f t="shared" si="40"/>
        <v>0</v>
      </c>
      <c r="Z356" s="17" t="s">
        <v>57</v>
      </c>
      <c r="AA356" s="17">
        <v>2</v>
      </c>
      <c r="AB356" s="1">
        <f t="shared" si="35"/>
        <v>1</v>
      </c>
      <c r="AC356" s="1">
        <f t="shared" si="36"/>
        <v>0</v>
      </c>
      <c r="AD356" s="1">
        <f t="shared" si="37"/>
        <v>0</v>
      </c>
    </row>
    <row r="357" spans="19:30">
      <c r="S357" s="17">
        <v>4</v>
      </c>
      <c r="T357" s="18" t="s">
        <v>345</v>
      </c>
      <c r="U357" s="17">
        <v>1</v>
      </c>
      <c r="V357" s="17" t="s">
        <v>47</v>
      </c>
      <c r="W357" s="18">
        <v>3</v>
      </c>
      <c r="X357" s="18" t="s">
        <v>342</v>
      </c>
      <c r="Y357" s="18">
        <f t="shared" si="40"/>
        <v>1</v>
      </c>
      <c r="Z357" s="17" t="s">
        <v>45</v>
      </c>
      <c r="AA357" s="17">
        <v>2</v>
      </c>
      <c r="AB357" s="1">
        <f t="shared" si="35"/>
        <v>1</v>
      </c>
      <c r="AC357" s="1">
        <f t="shared" si="36"/>
        <v>0</v>
      </c>
      <c r="AD357" s="1">
        <f t="shared" si="37"/>
        <v>0</v>
      </c>
    </row>
    <row r="358" spans="19:30">
      <c r="S358" s="17">
        <v>5</v>
      </c>
      <c r="T358" s="18" t="s">
        <v>345</v>
      </c>
      <c r="U358" s="17">
        <v>2</v>
      </c>
      <c r="V358" s="17" t="s">
        <v>47</v>
      </c>
      <c r="W358" s="18">
        <v>4</v>
      </c>
      <c r="X358" s="18" t="s">
        <v>342</v>
      </c>
      <c r="Y358" s="18">
        <f t="shared" si="40"/>
        <v>0</v>
      </c>
      <c r="Z358" s="17" t="s">
        <v>61</v>
      </c>
      <c r="AA358" s="17">
        <v>1</v>
      </c>
      <c r="AB358" s="1">
        <f t="shared" si="35"/>
        <v>1</v>
      </c>
      <c r="AC358" s="1">
        <f t="shared" si="36"/>
        <v>0</v>
      </c>
      <c r="AD358" s="1">
        <f t="shared" si="37"/>
        <v>0</v>
      </c>
    </row>
    <row r="359" spans="19:30">
      <c r="S359" s="17">
        <v>6</v>
      </c>
      <c r="T359" s="18" t="s">
        <v>345</v>
      </c>
      <c r="U359" s="17">
        <v>2</v>
      </c>
      <c r="V359" s="17" t="s">
        <v>47</v>
      </c>
      <c r="W359" s="18">
        <v>4</v>
      </c>
      <c r="X359" s="18" t="s">
        <v>342</v>
      </c>
      <c r="Y359" s="18">
        <f t="shared" si="40"/>
        <v>0</v>
      </c>
      <c r="Z359" s="17" t="s">
        <v>75</v>
      </c>
      <c r="AA359" s="17">
        <v>1</v>
      </c>
      <c r="AB359" s="1">
        <f t="shared" si="35"/>
        <v>1</v>
      </c>
      <c r="AC359" s="1">
        <f t="shared" si="36"/>
        <v>0</v>
      </c>
      <c r="AD359" s="1">
        <f t="shared" si="37"/>
        <v>0</v>
      </c>
    </row>
    <row r="360" spans="19:30">
      <c r="S360" s="17">
        <v>7</v>
      </c>
      <c r="T360" s="18" t="s">
        <v>345</v>
      </c>
      <c r="U360" s="17">
        <v>1</v>
      </c>
      <c r="V360" s="17" t="s">
        <v>47</v>
      </c>
      <c r="W360" s="18">
        <v>4</v>
      </c>
      <c r="X360" s="18" t="s">
        <v>342</v>
      </c>
      <c r="Y360" s="18">
        <f t="shared" si="40"/>
        <v>0</v>
      </c>
      <c r="Z360" s="17" t="s">
        <v>343</v>
      </c>
      <c r="AA360" s="17">
        <v>2</v>
      </c>
      <c r="AB360" s="1">
        <f t="shared" si="35"/>
        <v>1</v>
      </c>
      <c r="AC360" s="1">
        <f t="shared" si="36"/>
        <v>0</v>
      </c>
      <c r="AD360" s="1">
        <f t="shared" si="37"/>
        <v>0</v>
      </c>
    </row>
    <row r="361" spans="19:30">
      <c r="S361" s="17">
        <v>8</v>
      </c>
      <c r="T361" s="18" t="s">
        <v>345</v>
      </c>
      <c r="U361" s="17">
        <v>2</v>
      </c>
      <c r="V361" s="17" t="s">
        <v>47</v>
      </c>
      <c r="W361" s="18">
        <v>4</v>
      </c>
      <c r="X361" s="18" t="s">
        <v>342</v>
      </c>
      <c r="Y361" s="18">
        <f t="shared" si="40"/>
        <v>0</v>
      </c>
      <c r="Z361" s="17" t="s">
        <v>33</v>
      </c>
      <c r="AA361" s="17">
        <v>1</v>
      </c>
      <c r="AB361" s="1">
        <f t="shared" si="35"/>
        <v>1</v>
      </c>
      <c r="AC361" s="1">
        <f t="shared" si="36"/>
        <v>0</v>
      </c>
      <c r="AD361" s="1">
        <f t="shared" si="37"/>
        <v>0</v>
      </c>
    </row>
    <row r="362" spans="19:30">
      <c r="S362" s="17">
        <v>9</v>
      </c>
      <c r="T362" s="18" t="s">
        <v>345</v>
      </c>
      <c r="U362" s="17">
        <v>1</v>
      </c>
      <c r="V362" s="17" t="s">
        <v>47</v>
      </c>
      <c r="W362" s="18">
        <v>1</v>
      </c>
      <c r="X362" s="18" t="s">
        <v>342</v>
      </c>
      <c r="Y362" s="18">
        <f t="shared" si="40"/>
        <v>3</v>
      </c>
      <c r="Z362" s="17" t="s">
        <v>63</v>
      </c>
      <c r="AA362" s="17">
        <v>2</v>
      </c>
      <c r="AB362" s="1">
        <f t="shared" si="35"/>
        <v>0</v>
      </c>
      <c r="AC362" s="1">
        <f t="shared" si="36"/>
        <v>0</v>
      </c>
      <c r="AD362" s="1">
        <f t="shared" si="37"/>
        <v>1</v>
      </c>
    </row>
    <row r="363" spans="19:30">
      <c r="S363" s="17">
        <v>10</v>
      </c>
      <c r="T363" s="18" t="s">
        <v>345</v>
      </c>
      <c r="U363" s="17">
        <v>1</v>
      </c>
      <c r="V363" s="17" t="s">
        <v>47</v>
      </c>
      <c r="W363" s="18">
        <v>0</v>
      </c>
      <c r="X363" s="18" t="s">
        <v>342</v>
      </c>
      <c r="Y363" s="18">
        <f t="shared" si="40"/>
        <v>4</v>
      </c>
      <c r="Z363" s="17" t="s">
        <v>55</v>
      </c>
      <c r="AA363" s="17">
        <v>2</v>
      </c>
      <c r="AB363" s="1">
        <f t="shared" si="35"/>
        <v>0</v>
      </c>
      <c r="AC363" s="1">
        <f t="shared" si="36"/>
        <v>0</v>
      </c>
      <c r="AD363" s="1">
        <f t="shared" si="37"/>
        <v>1</v>
      </c>
    </row>
    <row r="364" spans="19:30">
      <c r="S364" s="17">
        <v>11</v>
      </c>
      <c r="T364" s="18" t="s">
        <v>345</v>
      </c>
      <c r="U364" s="17">
        <v>2</v>
      </c>
      <c r="V364" s="17" t="s">
        <v>47</v>
      </c>
      <c r="W364" s="18">
        <v>2</v>
      </c>
      <c r="X364" s="18" t="s">
        <v>342</v>
      </c>
      <c r="Y364" s="18">
        <f t="shared" si="40"/>
        <v>2</v>
      </c>
      <c r="Z364" s="17" t="s">
        <v>35</v>
      </c>
      <c r="AA364" s="17">
        <v>1</v>
      </c>
      <c r="AB364" s="1">
        <f t="shared" si="35"/>
        <v>0</v>
      </c>
      <c r="AC364" s="1">
        <f t="shared" si="36"/>
        <v>1</v>
      </c>
      <c r="AD364" s="1">
        <f t="shared" si="37"/>
        <v>0</v>
      </c>
    </row>
    <row r="365" spans="19:30">
      <c r="S365" s="17">
        <v>12</v>
      </c>
      <c r="T365" s="18" t="s">
        <v>345</v>
      </c>
      <c r="U365" s="17">
        <v>1</v>
      </c>
      <c r="V365" s="17" t="s">
        <v>47</v>
      </c>
      <c r="W365" s="18">
        <v>1</v>
      </c>
      <c r="X365" s="18" t="s">
        <v>342</v>
      </c>
      <c r="Y365" s="18">
        <f t="shared" si="40"/>
        <v>3</v>
      </c>
      <c r="Z365" s="17" t="s">
        <v>73</v>
      </c>
      <c r="AA365" s="17">
        <v>2</v>
      </c>
      <c r="AB365" s="1">
        <f t="shared" si="35"/>
        <v>0</v>
      </c>
      <c r="AC365" s="1">
        <f t="shared" si="36"/>
        <v>0</v>
      </c>
      <c r="AD365" s="1">
        <f t="shared" si="37"/>
        <v>1</v>
      </c>
    </row>
    <row r="366" spans="19:30">
      <c r="S366" s="17">
        <v>13</v>
      </c>
      <c r="T366" s="18" t="s">
        <v>345</v>
      </c>
      <c r="U366" s="17">
        <v>2</v>
      </c>
      <c r="V366" s="17" t="s">
        <v>47</v>
      </c>
      <c r="W366" s="18">
        <v>1</v>
      </c>
      <c r="X366" s="18" t="s">
        <v>342</v>
      </c>
      <c r="Y366" s="18">
        <f t="shared" si="40"/>
        <v>3</v>
      </c>
      <c r="Z366" s="17" t="s">
        <v>59</v>
      </c>
      <c r="AA366" s="17">
        <v>1</v>
      </c>
      <c r="AB366" s="1">
        <f t="shared" si="35"/>
        <v>0</v>
      </c>
      <c r="AC366" s="1">
        <f t="shared" si="36"/>
        <v>0</v>
      </c>
      <c r="AD366" s="1">
        <f t="shared" si="37"/>
        <v>1</v>
      </c>
    </row>
    <row r="367" spans="19:30">
      <c r="S367" s="17">
        <v>14</v>
      </c>
      <c r="T367" s="18" t="s">
        <v>345</v>
      </c>
      <c r="U367" s="17">
        <v>1</v>
      </c>
      <c r="V367" s="17" t="s">
        <v>47</v>
      </c>
      <c r="W367" s="18">
        <v>1</v>
      </c>
      <c r="X367" s="18" t="s">
        <v>342</v>
      </c>
      <c r="Y367" s="18">
        <f t="shared" si="40"/>
        <v>3</v>
      </c>
      <c r="Z367" s="17" t="s">
        <v>121</v>
      </c>
      <c r="AA367" s="17">
        <v>2</v>
      </c>
      <c r="AB367" s="1">
        <f t="shared" si="35"/>
        <v>0</v>
      </c>
      <c r="AC367" s="1">
        <f t="shared" si="36"/>
        <v>0</v>
      </c>
      <c r="AD367" s="1">
        <f t="shared" si="37"/>
        <v>1</v>
      </c>
    </row>
    <row r="368" spans="19:30">
      <c r="S368" s="17">
        <v>15</v>
      </c>
      <c r="T368" s="18" t="s">
        <v>345</v>
      </c>
      <c r="U368" s="17">
        <v>2</v>
      </c>
      <c r="V368" s="17" t="s">
        <v>47</v>
      </c>
      <c r="W368" s="18">
        <v>2</v>
      </c>
      <c r="X368" s="18" t="s">
        <v>342</v>
      </c>
      <c r="Y368" s="18">
        <f t="shared" si="40"/>
        <v>2</v>
      </c>
      <c r="Z368" s="17" t="s">
        <v>71</v>
      </c>
      <c r="AA368" s="17">
        <v>1</v>
      </c>
      <c r="AB368" s="1">
        <f t="shared" si="35"/>
        <v>0</v>
      </c>
      <c r="AC368" s="1">
        <f t="shared" si="36"/>
        <v>1</v>
      </c>
      <c r="AD368" s="1">
        <f t="shared" si="37"/>
        <v>0</v>
      </c>
    </row>
    <row r="369" spans="19:30" ht="12.75" customHeight="1">
      <c r="S369" s="58" t="s">
        <v>339</v>
      </c>
      <c r="T369" s="58" t="s">
        <v>340</v>
      </c>
      <c r="U369" s="58" t="s">
        <v>341</v>
      </c>
      <c r="V369" s="58" t="s">
        <v>1</v>
      </c>
      <c r="W369" s="69" t="s">
        <v>220</v>
      </c>
      <c r="X369" s="70"/>
      <c r="Y369" s="71"/>
      <c r="Z369" s="58" t="s">
        <v>1</v>
      </c>
      <c r="AA369" s="58" t="s">
        <v>341</v>
      </c>
      <c r="AB369" s="1">
        <f t="shared" si="35"/>
        <v>1</v>
      </c>
      <c r="AC369" s="1">
        <f t="shared" si="36"/>
        <v>0</v>
      </c>
      <c r="AD369" s="1">
        <f t="shared" si="37"/>
        <v>0</v>
      </c>
    </row>
    <row r="370" spans="19:30">
      <c r="S370" s="17">
        <v>1</v>
      </c>
      <c r="T370" s="18" t="s">
        <v>345</v>
      </c>
      <c r="U370" s="17">
        <v>1</v>
      </c>
      <c r="V370" s="17" t="s">
        <v>71</v>
      </c>
      <c r="W370" s="18">
        <v>1</v>
      </c>
      <c r="X370" s="18" t="s">
        <v>342</v>
      </c>
      <c r="Y370" s="18">
        <f>IF(W370="","",4-W370)</f>
        <v>3</v>
      </c>
      <c r="Z370" s="17" t="s">
        <v>25</v>
      </c>
      <c r="AA370" s="17">
        <v>2</v>
      </c>
      <c r="AB370" s="1">
        <f t="shared" si="35"/>
        <v>0</v>
      </c>
      <c r="AC370" s="1">
        <f t="shared" si="36"/>
        <v>0</v>
      </c>
      <c r="AD370" s="1">
        <f t="shared" si="37"/>
        <v>1</v>
      </c>
    </row>
    <row r="371" spans="19:30">
      <c r="S371" s="17">
        <v>2</v>
      </c>
      <c r="T371" s="18" t="s">
        <v>345</v>
      </c>
      <c r="U371" s="17">
        <v>1</v>
      </c>
      <c r="V371" s="17" t="s">
        <v>71</v>
      </c>
      <c r="W371" s="18">
        <v>3</v>
      </c>
      <c r="X371" s="18" t="s">
        <v>342</v>
      </c>
      <c r="Y371" s="18">
        <f t="shared" ref="Y371:Y384" si="41">IF(W371="","",4-W371)</f>
        <v>1</v>
      </c>
      <c r="Z371" s="17" t="s">
        <v>31</v>
      </c>
      <c r="AA371" s="17">
        <v>2</v>
      </c>
      <c r="AB371" s="1">
        <f t="shared" si="35"/>
        <v>1</v>
      </c>
      <c r="AC371" s="1">
        <f t="shared" si="36"/>
        <v>0</v>
      </c>
      <c r="AD371" s="1">
        <f t="shared" si="37"/>
        <v>0</v>
      </c>
    </row>
    <row r="372" spans="19:30">
      <c r="S372" s="17">
        <v>3</v>
      </c>
      <c r="T372" s="18" t="s">
        <v>345</v>
      </c>
      <c r="U372" s="17">
        <v>1</v>
      </c>
      <c r="V372" s="17" t="s">
        <v>71</v>
      </c>
      <c r="W372" s="18">
        <v>2</v>
      </c>
      <c r="X372" s="18" t="s">
        <v>342</v>
      </c>
      <c r="Y372" s="18">
        <f t="shared" si="41"/>
        <v>2</v>
      </c>
      <c r="Z372" s="17" t="s">
        <v>45</v>
      </c>
      <c r="AA372" s="17">
        <v>2</v>
      </c>
      <c r="AB372" s="1">
        <f t="shared" si="35"/>
        <v>0</v>
      </c>
      <c r="AC372" s="1">
        <f t="shared" si="36"/>
        <v>1</v>
      </c>
      <c r="AD372" s="1">
        <f t="shared" si="37"/>
        <v>0</v>
      </c>
    </row>
    <row r="373" spans="19:30">
      <c r="S373" s="17">
        <v>4</v>
      </c>
      <c r="T373" s="18" t="s">
        <v>345</v>
      </c>
      <c r="U373" s="17">
        <v>1</v>
      </c>
      <c r="V373" s="17" t="s">
        <v>71</v>
      </c>
      <c r="W373" s="18">
        <v>4</v>
      </c>
      <c r="X373" s="18" t="s">
        <v>342</v>
      </c>
      <c r="Y373" s="18">
        <f t="shared" si="41"/>
        <v>0</v>
      </c>
      <c r="Z373" s="17" t="s">
        <v>57</v>
      </c>
      <c r="AA373" s="17">
        <v>2</v>
      </c>
      <c r="AB373" s="1">
        <f t="shared" si="35"/>
        <v>1</v>
      </c>
      <c r="AC373" s="1">
        <f t="shared" si="36"/>
        <v>0</v>
      </c>
      <c r="AD373" s="1">
        <f t="shared" si="37"/>
        <v>0</v>
      </c>
    </row>
    <row r="374" spans="19:30">
      <c r="S374" s="17">
        <v>5</v>
      </c>
      <c r="T374" s="18" t="s">
        <v>345</v>
      </c>
      <c r="U374" s="17">
        <v>2</v>
      </c>
      <c r="V374" s="17" t="s">
        <v>71</v>
      </c>
      <c r="W374" s="18">
        <v>4</v>
      </c>
      <c r="X374" s="18" t="s">
        <v>342</v>
      </c>
      <c r="Y374" s="18">
        <f t="shared" si="41"/>
        <v>0</v>
      </c>
      <c r="Z374" s="17" t="s">
        <v>75</v>
      </c>
      <c r="AA374" s="17">
        <v>1</v>
      </c>
      <c r="AB374" s="1">
        <f t="shared" si="35"/>
        <v>1</v>
      </c>
      <c r="AC374" s="1">
        <f t="shared" si="36"/>
        <v>0</v>
      </c>
      <c r="AD374" s="1">
        <f t="shared" si="37"/>
        <v>0</v>
      </c>
    </row>
    <row r="375" spans="19:30">
      <c r="S375" s="17">
        <v>6</v>
      </c>
      <c r="T375" s="18" t="s">
        <v>345</v>
      </c>
      <c r="U375" s="17">
        <v>1</v>
      </c>
      <c r="V375" s="17" t="s">
        <v>71</v>
      </c>
      <c r="W375" s="18">
        <v>4</v>
      </c>
      <c r="X375" s="18" t="s">
        <v>342</v>
      </c>
      <c r="Y375" s="18">
        <f t="shared" si="41"/>
        <v>0</v>
      </c>
      <c r="Z375" s="17" t="s">
        <v>61</v>
      </c>
      <c r="AA375" s="17">
        <v>2</v>
      </c>
      <c r="AB375" s="1">
        <f t="shared" si="35"/>
        <v>1</v>
      </c>
      <c r="AC375" s="1">
        <f t="shared" si="36"/>
        <v>0</v>
      </c>
      <c r="AD375" s="1">
        <f t="shared" si="37"/>
        <v>0</v>
      </c>
    </row>
    <row r="376" spans="19:30">
      <c r="S376" s="17">
        <v>7</v>
      </c>
      <c r="T376" s="18" t="s">
        <v>345</v>
      </c>
      <c r="U376" s="17">
        <v>2</v>
      </c>
      <c r="V376" s="17" t="s">
        <v>71</v>
      </c>
      <c r="W376" s="18">
        <v>3</v>
      </c>
      <c r="X376" s="18" t="s">
        <v>342</v>
      </c>
      <c r="Y376" s="18">
        <f t="shared" si="41"/>
        <v>1</v>
      </c>
      <c r="Z376" s="17" t="s">
        <v>33</v>
      </c>
      <c r="AA376" s="17">
        <v>1</v>
      </c>
      <c r="AB376" s="1">
        <f t="shared" si="35"/>
        <v>1</v>
      </c>
      <c r="AC376" s="1">
        <f t="shared" si="36"/>
        <v>0</v>
      </c>
      <c r="AD376" s="1">
        <f t="shared" si="37"/>
        <v>0</v>
      </c>
    </row>
    <row r="377" spans="19:30">
      <c r="S377" s="17">
        <v>8</v>
      </c>
      <c r="T377" s="18" t="s">
        <v>345</v>
      </c>
      <c r="U377" s="17">
        <v>1</v>
      </c>
      <c r="V377" s="17" t="s">
        <v>71</v>
      </c>
      <c r="W377" s="18">
        <v>4</v>
      </c>
      <c r="X377" s="18" t="s">
        <v>342</v>
      </c>
      <c r="Y377" s="18">
        <f t="shared" si="41"/>
        <v>0</v>
      </c>
      <c r="Z377" s="17" t="s">
        <v>343</v>
      </c>
      <c r="AA377" s="17">
        <v>2</v>
      </c>
      <c r="AB377" s="1">
        <f t="shared" si="35"/>
        <v>1</v>
      </c>
      <c r="AC377" s="1">
        <f t="shared" si="36"/>
        <v>0</v>
      </c>
      <c r="AD377" s="1">
        <f t="shared" si="37"/>
        <v>0</v>
      </c>
    </row>
    <row r="378" spans="19:30">
      <c r="S378" s="17">
        <v>9</v>
      </c>
      <c r="T378" s="18" t="s">
        <v>345</v>
      </c>
      <c r="U378" s="17">
        <v>2</v>
      </c>
      <c r="V378" s="17" t="s">
        <v>71</v>
      </c>
      <c r="W378" s="18">
        <v>0</v>
      </c>
      <c r="X378" s="18" t="s">
        <v>342</v>
      </c>
      <c r="Y378" s="18">
        <f t="shared" si="41"/>
        <v>4</v>
      </c>
      <c r="Z378" s="17" t="s">
        <v>55</v>
      </c>
      <c r="AA378" s="17">
        <v>1</v>
      </c>
      <c r="AB378" s="1">
        <f t="shared" si="35"/>
        <v>0</v>
      </c>
      <c r="AC378" s="1">
        <f t="shared" si="36"/>
        <v>0</v>
      </c>
      <c r="AD378" s="1">
        <f t="shared" si="37"/>
        <v>1</v>
      </c>
    </row>
    <row r="379" spans="19:30">
      <c r="S379" s="17">
        <v>10</v>
      </c>
      <c r="T379" s="18" t="s">
        <v>345</v>
      </c>
      <c r="U379" s="17">
        <v>1</v>
      </c>
      <c r="V379" s="17" t="s">
        <v>71</v>
      </c>
      <c r="W379" s="18">
        <v>0</v>
      </c>
      <c r="X379" s="18" t="s">
        <v>342</v>
      </c>
      <c r="Y379" s="18">
        <f t="shared" si="41"/>
        <v>4</v>
      </c>
      <c r="Z379" s="17" t="s">
        <v>63</v>
      </c>
      <c r="AA379" s="17">
        <v>2</v>
      </c>
      <c r="AB379" s="1">
        <f t="shared" si="35"/>
        <v>0</v>
      </c>
      <c r="AC379" s="1">
        <f t="shared" si="36"/>
        <v>0</v>
      </c>
      <c r="AD379" s="1">
        <f t="shared" si="37"/>
        <v>1</v>
      </c>
    </row>
    <row r="380" spans="19:30">
      <c r="S380" s="17">
        <v>11</v>
      </c>
      <c r="T380" s="18" t="s">
        <v>345</v>
      </c>
      <c r="U380" s="17">
        <v>1</v>
      </c>
      <c r="V380" s="17" t="s">
        <v>71</v>
      </c>
      <c r="W380" s="18">
        <v>0</v>
      </c>
      <c r="X380" s="18" t="s">
        <v>342</v>
      </c>
      <c r="Y380" s="18">
        <f t="shared" si="41"/>
        <v>4</v>
      </c>
      <c r="Z380" s="17" t="s">
        <v>73</v>
      </c>
      <c r="AA380" s="17">
        <v>2</v>
      </c>
      <c r="AB380" s="1">
        <f t="shared" si="35"/>
        <v>0</v>
      </c>
      <c r="AC380" s="1">
        <f t="shared" si="36"/>
        <v>0</v>
      </c>
      <c r="AD380" s="1">
        <f t="shared" si="37"/>
        <v>1</v>
      </c>
    </row>
    <row r="381" spans="19:30">
      <c r="S381" s="17">
        <v>12</v>
      </c>
      <c r="T381" s="18" t="s">
        <v>345</v>
      </c>
      <c r="U381" s="17">
        <v>1</v>
      </c>
      <c r="V381" s="17" t="s">
        <v>71</v>
      </c>
      <c r="W381" s="18">
        <v>1</v>
      </c>
      <c r="X381" s="18" t="s">
        <v>342</v>
      </c>
      <c r="Y381" s="18">
        <f t="shared" si="41"/>
        <v>3</v>
      </c>
      <c r="Z381" s="17" t="s">
        <v>35</v>
      </c>
      <c r="AA381" s="17">
        <v>2</v>
      </c>
      <c r="AB381" s="1">
        <f t="shared" si="35"/>
        <v>0</v>
      </c>
      <c r="AC381" s="1">
        <f t="shared" si="36"/>
        <v>0</v>
      </c>
      <c r="AD381" s="1">
        <f t="shared" si="37"/>
        <v>1</v>
      </c>
    </row>
    <row r="382" spans="19:30">
      <c r="S382" s="17">
        <v>13</v>
      </c>
      <c r="T382" s="18" t="s">
        <v>345</v>
      </c>
      <c r="U382" s="17">
        <v>2</v>
      </c>
      <c r="V382" s="17" t="s">
        <v>71</v>
      </c>
      <c r="W382" s="18">
        <v>1</v>
      </c>
      <c r="X382" s="18" t="s">
        <v>342</v>
      </c>
      <c r="Y382" s="18">
        <f t="shared" si="41"/>
        <v>3</v>
      </c>
      <c r="Z382" s="17" t="s">
        <v>121</v>
      </c>
      <c r="AA382" s="17">
        <v>1</v>
      </c>
      <c r="AB382" s="1">
        <f t="shared" si="35"/>
        <v>0</v>
      </c>
      <c r="AC382" s="1">
        <f t="shared" si="36"/>
        <v>0</v>
      </c>
      <c r="AD382" s="1">
        <f t="shared" si="37"/>
        <v>1</v>
      </c>
    </row>
    <row r="383" spans="19:30">
      <c r="S383" s="17">
        <v>14</v>
      </c>
      <c r="T383" s="18" t="s">
        <v>345</v>
      </c>
      <c r="U383" s="17">
        <v>2</v>
      </c>
      <c r="V383" s="17" t="s">
        <v>71</v>
      </c>
      <c r="W383" s="18">
        <v>0</v>
      </c>
      <c r="X383" s="18" t="s">
        <v>342</v>
      </c>
      <c r="Y383" s="18">
        <f t="shared" si="41"/>
        <v>4</v>
      </c>
      <c r="Z383" s="17" t="s">
        <v>59</v>
      </c>
      <c r="AA383" s="17">
        <v>1</v>
      </c>
      <c r="AB383" s="1">
        <f t="shared" si="35"/>
        <v>0</v>
      </c>
      <c r="AC383" s="1">
        <f t="shared" si="36"/>
        <v>0</v>
      </c>
      <c r="AD383" s="1">
        <f t="shared" si="37"/>
        <v>1</v>
      </c>
    </row>
    <row r="384" spans="19:30">
      <c r="S384" s="17">
        <v>15</v>
      </c>
      <c r="T384" s="18" t="s">
        <v>345</v>
      </c>
      <c r="U384" s="17">
        <v>1</v>
      </c>
      <c r="V384" s="17" t="s">
        <v>71</v>
      </c>
      <c r="W384" s="18">
        <v>2</v>
      </c>
      <c r="X384" s="18" t="s">
        <v>342</v>
      </c>
      <c r="Y384" s="18">
        <f t="shared" si="41"/>
        <v>2</v>
      </c>
      <c r="Z384" s="17" t="s">
        <v>47</v>
      </c>
      <c r="AA384" s="17">
        <v>2</v>
      </c>
      <c r="AB384" s="1">
        <f t="shared" si="35"/>
        <v>0</v>
      </c>
      <c r="AC384" s="1">
        <f t="shared" si="36"/>
        <v>1</v>
      </c>
      <c r="AD384" s="1">
        <f t="shared" si="37"/>
        <v>0</v>
      </c>
    </row>
    <row r="385" spans="19:30" ht="12.75" customHeight="1">
      <c r="S385" s="58" t="s">
        <v>339</v>
      </c>
      <c r="T385" s="58" t="s">
        <v>340</v>
      </c>
      <c r="U385" s="58" t="s">
        <v>341</v>
      </c>
      <c r="V385" s="58" t="s">
        <v>1</v>
      </c>
      <c r="W385" s="69" t="s">
        <v>220</v>
      </c>
      <c r="X385" s="70"/>
      <c r="Y385" s="71"/>
      <c r="Z385" s="58" t="s">
        <v>1</v>
      </c>
      <c r="AA385" s="58" t="s">
        <v>341</v>
      </c>
      <c r="AB385" s="1">
        <f t="shared" ref="AB385:AB448" si="42">IF(W385="",0,IF(W385&gt;Y385,1,0))</f>
        <v>1</v>
      </c>
      <c r="AC385" s="1">
        <f t="shared" ref="AC385:AC448" si="43">IF(W385="",0,IF(W385=Y385,1,0))</f>
        <v>0</v>
      </c>
      <c r="AD385" s="1">
        <f t="shared" ref="AD385:AD448" si="44">IF(W385="",0,IF(W385&lt;Y385,1,0))</f>
        <v>0</v>
      </c>
    </row>
    <row r="386" spans="19:30">
      <c r="S386" s="17">
        <v>1</v>
      </c>
      <c r="T386" s="18" t="s">
        <v>345</v>
      </c>
      <c r="U386" s="17">
        <v>2</v>
      </c>
      <c r="V386" s="17" t="s">
        <v>25</v>
      </c>
      <c r="W386" s="18">
        <v>3</v>
      </c>
      <c r="X386" s="18" t="s">
        <v>342</v>
      </c>
      <c r="Y386" s="18">
        <f>IF(W386="","",4-W386)</f>
        <v>1</v>
      </c>
      <c r="Z386" s="17" t="s">
        <v>71</v>
      </c>
      <c r="AA386" s="17">
        <v>1</v>
      </c>
      <c r="AB386" s="1">
        <f t="shared" si="42"/>
        <v>1</v>
      </c>
      <c r="AC386" s="1">
        <f t="shared" si="43"/>
        <v>0</v>
      </c>
      <c r="AD386" s="1">
        <f t="shared" si="44"/>
        <v>0</v>
      </c>
    </row>
    <row r="387" spans="19:30">
      <c r="S387" s="17">
        <v>2</v>
      </c>
      <c r="T387" s="18" t="s">
        <v>345</v>
      </c>
      <c r="U387" s="17">
        <v>2</v>
      </c>
      <c r="V387" s="17" t="s">
        <v>25</v>
      </c>
      <c r="W387" s="18">
        <v>1</v>
      </c>
      <c r="X387" s="18" t="s">
        <v>342</v>
      </c>
      <c r="Y387" s="18">
        <f t="shared" ref="Y387:Y400" si="45">IF(W387="","",4-W387)</f>
        <v>3</v>
      </c>
      <c r="Z387" s="17" t="s">
        <v>47</v>
      </c>
      <c r="AA387" s="17">
        <v>1</v>
      </c>
      <c r="AB387" s="1">
        <f t="shared" si="42"/>
        <v>0</v>
      </c>
      <c r="AC387" s="1">
        <f t="shared" si="43"/>
        <v>0</v>
      </c>
      <c r="AD387" s="1">
        <f t="shared" si="44"/>
        <v>1</v>
      </c>
    </row>
    <row r="388" spans="19:30">
      <c r="S388" s="17">
        <v>3</v>
      </c>
      <c r="T388" s="18" t="s">
        <v>345</v>
      </c>
      <c r="U388" s="17">
        <v>1</v>
      </c>
      <c r="V388" s="17" t="s">
        <v>25</v>
      </c>
      <c r="W388" s="18">
        <v>0</v>
      </c>
      <c r="X388" s="18" t="s">
        <v>342</v>
      </c>
      <c r="Y388" s="18">
        <f t="shared" si="45"/>
        <v>4</v>
      </c>
      <c r="Z388" s="17" t="s">
        <v>59</v>
      </c>
      <c r="AA388" s="17">
        <v>2</v>
      </c>
      <c r="AB388" s="1">
        <f t="shared" si="42"/>
        <v>0</v>
      </c>
      <c r="AC388" s="1">
        <f t="shared" si="43"/>
        <v>0</v>
      </c>
      <c r="AD388" s="1">
        <f t="shared" si="44"/>
        <v>1</v>
      </c>
    </row>
    <row r="389" spans="19:30">
      <c r="S389" s="17">
        <v>4</v>
      </c>
      <c r="T389" s="18" t="s">
        <v>345</v>
      </c>
      <c r="U389" s="17">
        <v>2</v>
      </c>
      <c r="V389" s="17" t="s">
        <v>25</v>
      </c>
      <c r="W389" s="18">
        <v>0</v>
      </c>
      <c r="X389" s="18" t="s">
        <v>342</v>
      </c>
      <c r="Y389" s="18">
        <f t="shared" si="45"/>
        <v>4</v>
      </c>
      <c r="Z389" s="17" t="s">
        <v>121</v>
      </c>
      <c r="AA389" s="17">
        <v>1</v>
      </c>
      <c r="AB389" s="1">
        <f t="shared" si="42"/>
        <v>0</v>
      </c>
      <c r="AC389" s="1">
        <f t="shared" si="43"/>
        <v>0</v>
      </c>
      <c r="AD389" s="1">
        <f t="shared" si="44"/>
        <v>1</v>
      </c>
    </row>
    <row r="390" spans="19:30">
      <c r="S390" s="17">
        <v>5</v>
      </c>
      <c r="T390" s="18" t="s">
        <v>345</v>
      </c>
      <c r="U390" s="17">
        <v>1</v>
      </c>
      <c r="V390" s="17" t="s">
        <v>25</v>
      </c>
      <c r="W390" s="18">
        <v>0</v>
      </c>
      <c r="X390" s="18" t="s">
        <v>342</v>
      </c>
      <c r="Y390" s="18">
        <f t="shared" si="45"/>
        <v>4</v>
      </c>
      <c r="Z390" s="17" t="s">
        <v>35</v>
      </c>
      <c r="AA390" s="17">
        <v>2</v>
      </c>
      <c r="AB390" s="1">
        <f t="shared" si="42"/>
        <v>0</v>
      </c>
      <c r="AC390" s="1">
        <f t="shared" si="43"/>
        <v>0</v>
      </c>
      <c r="AD390" s="1">
        <f t="shared" si="44"/>
        <v>1</v>
      </c>
    </row>
    <row r="391" spans="19:30">
      <c r="S391" s="17">
        <v>6</v>
      </c>
      <c r="T391" s="18" t="s">
        <v>345</v>
      </c>
      <c r="U391" s="17">
        <v>1</v>
      </c>
      <c r="V391" s="17" t="s">
        <v>25</v>
      </c>
      <c r="W391" s="18">
        <v>0</v>
      </c>
      <c r="X391" s="18" t="s">
        <v>342</v>
      </c>
      <c r="Y391" s="18">
        <f t="shared" si="45"/>
        <v>4</v>
      </c>
      <c r="Z391" s="17" t="s">
        <v>73</v>
      </c>
      <c r="AA391" s="17">
        <v>2</v>
      </c>
      <c r="AB391" s="1">
        <f t="shared" si="42"/>
        <v>0</v>
      </c>
      <c r="AC391" s="1">
        <f t="shared" si="43"/>
        <v>0</v>
      </c>
      <c r="AD391" s="1">
        <f t="shared" si="44"/>
        <v>1</v>
      </c>
    </row>
    <row r="392" spans="19:30">
      <c r="S392" s="17">
        <v>7</v>
      </c>
      <c r="T392" s="18" t="s">
        <v>345</v>
      </c>
      <c r="U392" s="17">
        <v>2</v>
      </c>
      <c r="V392" s="17" t="s">
        <v>25</v>
      </c>
      <c r="W392" s="18">
        <v>0</v>
      </c>
      <c r="X392" s="18" t="s">
        <v>342</v>
      </c>
      <c r="Y392" s="18">
        <f t="shared" si="45"/>
        <v>4</v>
      </c>
      <c r="Z392" s="17" t="s">
        <v>63</v>
      </c>
      <c r="AA392" s="17">
        <v>1</v>
      </c>
      <c r="AB392" s="1">
        <f t="shared" si="42"/>
        <v>0</v>
      </c>
      <c r="AC392" s="1">
        <f t="shared" si="43"/>
        <v>0</v>
      </c>
      <c r="AD392" s="1">
        <f t="shared" si="44"/>
        <v>1</v>
      </c>
    </row>
    <row r="393" spans="19:30">
      <c r="S393" s="17">
        <v>8</v>
      </c>
      <c r="T393" s="18" t="s">
        <v>345</v>
      </c>
      <c r="U393" s="17">
        <v>2</v>
      </c>
      <c r="V393" s="17" t="s">
        <v>25</v>
      </c>
      <c r="W393" s="18">
        <v>0</v>
      </c>
      <c r="X393" s="18" t="s">
        <v>342</v>
      </c>
      <c r="Y393" s="18">
        <f t="shared" si="45"/>
        <v>4</v>
      </c>
      <c r="Z393" s="17" t="s">
        <v>55</v>
      </c>
      <c r="AA393" s="17">
        <v>1</v>
      </c>
      <c r="AB393" s="1">
        <f t="shared" si="42"/>
        <v>0</v>
      </c>
      <c r="AC393" s="1">
        <f t="shared" si="43"/>
        <v>0</v>
      </c>
      <c r="AD393" s="1">
        <f t="shared" si="44"/>
        <v>1</v>
      </c>
    </row>
    <row r="394" spans="19:30">
      <c r="S394" s="17">
        <v>9</v>
      </c>
      <c r="T394" s="18" t="s">
        <v>345</v>
      </c>
      <c r="U394" s="17">
        <v>1</v>
      </c>
      <c r="V394" s="17" t="s">
        <v>25</v>
      </c>
      <c r="W394" s="18">
        <v>4</v>
      </c>
      <c r="X394" s="18" t="s">
        <v>342</v>
      </c>
      <c r="Y394" s="18">
        <f t="shared" si="45"/>
        <v>0</v>
      </c>
      <c r="Z394" s="17" t="s">
        <v>343</v>
      </c>
      <c r="AA394" s="17">
        <v>2</v>
      </c>
      <c r="AB394" s="1">
        <f t="shared" si="42"/>
        <v>1</v>
      </c>
      <c r="AC394" s="1">
        <f t="shared" si="43"/>
        <v>0</v>
      </c>
      <c r="AD394" s="1">
        <f t="shared" si="44"/>
        <v>0</v>
      </c>
    </row>
    <row r="395" spans="19:30">
      <c r="S395" s="17">
        <v>10</v>
      </c>
      <c r="T395" s="18" t="s">
        <v>345</v>
      </c>
      <c r="U395" s="17">
        <v>2</v>
      </c>
      <c r="V395" s="17" t="s">
        <v>25</v>
      </c>
      <c r="W395" s="18">
        <v>4</v>
      </c>
      <c r="X395" s="18" t="s">
        <v>342</v>
      </c>
      <c r="Y395" s="18">
        <f t="shared" si="45"/>
        <v>0</v>
      </c>
      <c r="Z395" s="17" t="s">
        <v>33</v>
      </c>
      <c r="AA395" s="17">
        <v>1</v>
      </c>
      <c r="AB395" s="1">
        <f t="shared" si="42"/>
        <v>1</v>
      </c>
      <c r="AC395" s="1">
        <f t="shared" si="43"/>
        <v>0</v>
      </c>
      <c r="AD395" s="1">
        <f t="shared" si="44"/>
        <v>0</v>
      </c>
    </row>
    <row r="396" spans="19:30">
      <c r="S396" s="17">
        <v>11</v>
      </c>
      <c r="T396" s="18" t="s">
        <v>345</v>
      </c>
      <c r="U396" s="17">
        <v>2</v>
      </c>
      <c r="V396" s="17" t="s">
        <v>25</v>
      </c>
      <c r="W396" s="18">
        <v>1</v>
      </c>
      <c r="X396" s="18" t="s">
        <v>342</v>
      </c>
      <c r="Y396" s="18">
        <f t="shared" si="45"/>
        <v>3</v>
      </c>
      <c r="Z396" s="17" t="s">
        <v>61</v>
      </c>
      <c r="AA396" s="17">
        <v>1</v>
      </c>
      <c r="AB396" s="1">
        <f t="shared" si="42"/>
        <v>0</v>
      </c>
      <c r="AC396" s="1">
        <f t="shared" si="43"/>
        <v>0</v>
      </c>
      <c r="AD396" s="1">
        <f t="shared" si="44"/>
        <v>1</v>
      </c>
    </row>
    <row r="397" spans="19:30">
      <c r="S397" s="17">
        <v>12</v>
      </c>
      <c r="T397" s="18" t="s">
        <v>345</v>
      </c>
      <c r="U397" s="17">
        <v>2</v>
      </c>
      <c r="V397" s="17" t="s">
        <v>25</v>
      </c>
      <c r="W397" s="18">
        <v>2</v>
      </c>
      <c r="X397" s="18" t="s">
        <v>342</v>
      </c>
      <c r="Y397" s="18">
        <f t="shared" si="45"/>
        <v>2</v>
      </c>
      <c r="Z397" s="17" t="s">
        <v>75</v>
      </c>
      <c r="AA397" s="17">
        <v>1</v>
      </c>
      <c r="AB397" s="1">
        <f t="shared" si="42"/>
        <v>0</v>
      </c>
      <c r="AC397" s="1">
        <f t="shared" si="43"/>
        <v>1</v>
      </c>
      <c r="AD397" s="1">
        <f t="shared" si="44"/>
        <v>0</v>
      </c>
    </row>
    <row r="398" spans="19:30">
      <c r="S398" s="17">
        <v>13</v>
      </c>
      <c r="T398" s="18" t="s">
        <v>345</v>
      </c>
      <c r="U398" s="17">
        <v>2</v>
      </c>
      <c r="V398" s="17" t="s">
        <v>25</v>
      </c>
      <c r="W398" s="18">
        <v>4</v>
      </c>
      <c r="X398" s="18" t="s">
        <v>342</v>
      </c>
      <c r="Y398" s="18">
        <f t="shared" si="45"/>
        <v>0</v>
      </c>
      <c r="Z398" s="17" t="s">
        <v>57</v>
      </c>
      <c r="AA398" s="17">
        <v>1</v>
      </c>
      <c r="AB398" s="1">
        <f t="shared" si="42"/>
        <v>1</v>
      </c>
      <c r="AC398" s="1">
        <f t="shared" si="43"/>
        <v>0</v>
      </c>
      <c r="AD398" s="1">
        <f t="shared" si="44"/>
        <v>0</v>
      </c>
    </row>
    <row r="399" spans="19:30">
      <c r="S399" s="17">
        <v>14</v>
      </c>
      <c r="T399" s="18" t="s">
        <v>345</v>
      </c>
      <c r="U399" s="17">
        <v>2</v>
      </c>
      <c r="V399" s="17" t="s">
        <v>25</v>
      </c>
      <c r="W399" s="18">
        <v>2</v>
      </c>
      <c r="X399" s="18" t="s">
        <v>342</v>
      </c>
      <c r="Y399" s="18">
        <f t="shared" si="45"/>
        <v>2</v>
      </c>
      <c r="Z399" s="17" t="s">
        <v>45</v>
      </c>
      <c r="AA399" s="17">
        <v>1</v>
      </c>
      <c r="AB399" s="1">
        <f t="shared" si="42"/>
        <v>0</v>
      </c>
      <c r="AC399" s="1">
        <f t="shared" si="43"/>
        <v>1</v>
      </c>
      <c r="AD399" s="1">
        <f t="shared" si="44"/>
        <v>0</v>
      </c>
    </row>
    <row r="400" spans="19:30">
      <c r="S400" s="17">
        <v>15</v>
      </c>
      <c r="T400" s="18" t="s">
        <v>345</v>
      </c>
      <c r="U400" s="17">
        <v>2</v>
      </c>
      <c r="V400" s="17" t="s">
        <v>25</v>
      </c>
      <c r="W400" s="18">
        <v>3</v>
      </c>
      <c r="X400" s="18" t="s">
        <v>342</v>
      </c>
      <c r="Y400" s="18">
        <f t="shared" si="45"/>
        <v>1</v>
      </c>
      <c r="Z400" s="17" t="s">
        <v>31</v>
      </c>
      <c r="AA400" s="17">
        <v>1</v>
      </c>
      <c r="AB400" s="1">
        <f t="shared" si="42"/>
        <v>1</v>
      </c>
      <c r="AC400" s="1">
        <f t="shared" si="43"/>
        <v>0</v>
      </c>
      <c r="AD400" s="1">
        <f t="shared" si="44"/>
        <v>0</v>
      </c>
    </row>
    <row r="401" spans="19:30" ht="12.75" customHeight="1">
      <c r="S401" s="58" t="s">
        <v>339</v>
      </c>
      <c r="T401" s="58" t="s">
        <v>340</v>
      </c>
      <c r="U401" s="58" t="s">
        <v>341</v>
      </c>
      <c r="V401" s="58" t="s">
        <v>1</v>
      </c>
      <c r="W401" s="69" t="s">
        <v>220</v>
      </c>
      <c r="X401" s="70"/>
      <c r="Y401" s="71"/>
      <c r="Z401" s="58" t="s">
        <v>1</v>
      </c>
      <c r="AA401" s="58" t="s">
        <v>341</v>
      </c>
      <c r="AB401" s="1">
        <f t="shared" si="42"/>
        <v>1</v>
      </c>
      <c r="AC401" s="1">
        <f t="shared" si="43"/>
        <v>0</v>
      </c>
      <c r="AD401" s="1">
        <f t="shared" si="44"/>
        <v>0</v>
      </c>
    </row>
    <row r="402" spans="19:30">
      <c r="S402" s="17">
        <v>1</v>
      </c>
      <c r="T402" s="18" t="s">
        <v>345</v>
      </c>
      <c r="U402" s="17">
        <v>2</v>
      </c>
      <c r="V402" s="17" t="s">
        <v>31</v>
      </c>
      <c r="W402" s="18">
        <v>0</v>
      </c>
      <c r="X402" s="18" t="s">
        <v>342</v>
      </c>
      <c r="Y402" s="18">
        <f>IF(W402="","",4-W402)</f>
        <v>4</v>
      </c>
      <c r="Z402" s="17" t="s">
        <v>47</v>
      </c>
      <c r="AA402" s="17">
        <v>1</v>
      </c>
      <c r="AB402" s="1">
        <f t="shared" si="42"/>
        <v>0</v>
      </c>
      <c r="AC402" s="1">
        <f t="shared" si="43"/>
        <v>0</v>
      </c>
      <c r="AD402" s="1">
        <f t="shared" si="44"/>
        <v>1</v>
      </c>
    </row>
    <row r="403" spans="19:30">
      <c r="S403" s="17">
        <v>2</v>
      </c>
      <c r="T403" s="18" t="s">
        <v>345</v>
      </c>
      <c r="U403" s="17">
        <v>2</v>
      </c>
      <c r="V403" s="17" t="s">
        <v>31</v>
      </c>
      <c r="W403" s="18">
        <v>1</v>
      </c>
      <c r="X403" s="18" t="s">
        <v>342</v>
      </c>
      <c r="Y403" s="18">
        <f t="shared" ref="Y403:Y416" si="46">IF(W403="","",4-W403)</f>
        <v>3</v>
      </c>
      <c r="Z403" s="17" t="s">
        <v>71</v>
      </c>
      <c r="AA403" s="17">
        <v>1</v>
      </c>
      <c r="AB403" s="1">
        <f t="shared" si="42"/>
        <v>0</v>
      </c>
      <c r="AC403" s="1">
        <f t="shared" si="43"/>
        <v>0</v>
      </c>
      <c r="AD403" s="1">
        <f t="shared" si="44"/>
        <v>1</v>
      </c>
    </row>
    <row r="404" spans="19:30">
      <c r="S404" s="17">
        <v>3</v>
      </c>
      <c r="T404" s="18" t="s">
        <v>345</v>
      </c>
      <c r="U404" s="17">
        <v>1</v>
      </c>
      <c r="V404" s="17" t="s">
        <v>31</v>
      </c>
      <c r="W404" s="18">
        <v>0</v>
      </c>
      <c r="X404" s="18" t="s">
        <v>342</v>
      </c>
      <c r="Y404" s="18">
        <f t="shared" si="46"/>
        <v>4</v>
      </c>
      <c r="Z404" s="17" t="s">
        <v>121</v>
      </c>
      <c r="AA404" s="17">
        <v>2</v>
      </c>
      <c r="AB404" s="1">
        <f t="shared" si="42"/>
        <v>0</v>
      </c>
      <c r="AC404" s="1">
        <f t="shared" si="43"/>
        <v>0</v>
      </c>
      <c r="AD404" s="1">
        <f t="shared" si="44"/>
        <v>1</v>
      </c>
    </row>
    <row r="405" spans="19:30">
      <c r="S405" s="17">
        <v>4</v>
      </c>
      <c r="T405" s="18" t="s">
        <v>345</v>
      </c>
      <c r="U405" s="17">
        <v>2</v>
      </c>
      <c r="V405" s="17" t="s">
        <v>31</v>
      </c>
      <c r="W405" s="18">
        <v>0</v>
      </c>
      <c r="X405" s="18" t="s">
        <v>342</v>
      </c>
      <c r="Y405" s="18">
        <f t="shared" si="46"/>
        <v>4</v>
      </c>
      <c r="Z405" s="17" t="s">
        <v>59</v>
      </c>
      <c r="AA405" s="17">
        <v>1</v>
      </c>
      <c r="AB405" s="1">
        <f t="shared" si="42"/>
        <v>0</v>
      </c>
      <c r="AC405" s="1">
        <f t="shared" si="43"/>
        <v>0</v>
      </c>
      <c r="AD405" s="1">
        <f t="shared" si="44"/>
        <v>1</v>
      </c>
    </row>
    <row r="406" spans="19:30">
      <c r="S406" s="17">
        <v>5</v>
      </c>
      <c r="T406" s="18" t="s">
        <v>345</v>
      </c>
      <c r="U406" s="17">
        <v>2</v>
      </c>
      <c r="V406" s="17" t="s">
        <v>31</v>
      </c>
      <c r="W406" s="18">
        <v>0</v>
      </c>
      <c r="X406" s="18" t="s">
        <v>342</v>
      </c>
      <c r="Y406" s="18">
        <f t="shared" si="46"/>
        <v>4</v>
      </c>
      <c r="Z406" s="17" t="s">
        <v>73</v>
      </c>
      <c r="AA406" s="17">
        <v>1</v>
      </c>
      <c r="AB406" s="1">
        <f t="shared" si="42"/>
        <v>0</v>
      </c>
      <c r="AC406" s="1">
        <f t="shared" si="43"/>
        <v>0</v>
      </c>
      <c r="AD406" s="1">
        <f t="shared" si="44"/>
        <v>1</v>
      </c>
    </row>
    <row r="407" spans="19:30">
      <c r="S407" s="17">
        <v>6</v>
      </c>
      <c r="T407" s="18" t="s">
        <v>345</v>
      </c>
      <c r="U407" s="17">
        <v>1</v>
      </c>
      <c r="V407" s="17" t="s">
        <v>31</v>
      </c>
      <c r="W407" s="18">
        <v>0</v>
      </c>
      <c r="X407" s="18" t="s">
        <v>342</v>
      </c>
      <c r="Y407" s="18">
        <f t="shared" si="46"/>
        <v>4</v>
      </c>
      <c r="Z407" s="17" t="s">
        <v>35</v>
      </c>
      <c r="AA407" s="17">
        <v>2</v>
      </c>
      <c r="AB407" s="1">
        <f t="shared" si="42"/>
        <v>0</v>
      </c>
      <c r="AC407" s="1">
        <f t="shared" si="43"/>
        <v>0</v>
      </c>
      <c r="AD407" s="1">
        <f t="shared" si="44"/>
        <v>1</v>
      </c>
    </row>
    <row r="408" spans="19:30">
      <c r="S408" s="17">
        <v>7</v>
      </c>
      <c r="T408" s="18" t="s">
        <v>345</v>
      </c>
      <c r="U408" s="17">
        <v>2</v>
      </c>
      <c r="V408" s="17" t="s">
        <v>31</v>
      </c>
      <c r="W408" s="18">
        <v>0</v>
      </c>
      <c r="X408" s="18" t="s">
        <v>342</v>
      </c>
      <c r="Y408" s="18">
        <f t="shared" si="46"/>
        <v>4</v>
      </c>
      <c r="Z408" s="17" t="s">
        <v>55</v>
      </c>
      <c r="AA408" s="17">
        <v>1</v>
      </c>
      <c r="AB408" s="1">
        <f t="shared" si="42"/>
        <v>0</v>
      </c>
      <c r="AC408" s="1">
        <f t="shared" si="43"/>
        <v>0</v>
      </c>
      <c r="AD408" s="1">
        <f t="shared" si="44"/>
        <v>1</v>
      </c>
    </row>
    <row r="409" spans="19:30">
      <c r="S409" s="17">
        <v>8</v>
      </c>
      <c r="T409" s="18" t="s">
        <v>345</v>
      </c>
      <c r="U409" s="17">
        <v>2</v>
      </c>
      <c r="V409" s="17" t="s">
        <v>31</v>
      </c>
      <c r="W409" s="18">
        <v>1</v>
      </c>
      <c r="X409" s="18" t="s">
        <v>342</v>
      </c>
      <c r="Y409" s="18">
        <f t="shared" si="46"/>
        <v>3</v>
      </c>
      <c r="Z409" s="17" t="s">
        <v>63</v>
      </c>
      <c r="AA409" s="17">
        <v>1</v>
      </c>
      <c r="AB409" s="1">
        <f t="shared" si="42"/>
        <v>0</v>
      </c>
      <c r="AC409" s="1">
        <f t="shared" si="43"/>
        <v>0</v>
      </c>
      <c r="AD409" s="1">
        <f t="shared" si="44"/>
        <v>1</v>
      </c>
    </row>
    <row r="410" spans="19:30">
      <c r="S410" s="17">
        <v>9</v>
      </c>
      <c r="T410" s="18" t="s">
        <v>345</v>
      </c>
      <c r="U410" s="17">
        <v>1</v>
      </c>
      <c r="V410" s="17" t="s">
        <v>31</v>
      </c>
      <c r="W410" s="18">
        <v>4</v>
      </c>
      <c r="X410" s="18" t="s">
        <v>342</v>
      </c>
      <c r="Y410" s="18">
        <f t="shared" si="46"/>
        <v>0</v>
      </c>
      <c r="Z410" s="17" t="s">
        <v>33</v>
      </c>
      <c r="AA410" s="17">
        <v>2</v>
      </c>
      <c r="AB410" s="1">
        <f t="shared" si="42"/>
        <v>1</v>
      </c>
      <c r="AC410" s="1">
        <f t="shared" si="43"/>
        <v>0</v>
      </c>
      <c r="AD410" s="1">
        <f t="shared" si="44"/>
        <v>0</v>
      </c>
    </row>
    <row r="411" spans="19:30">
      <c r="S411" s="17">
        <v>10</v>
      </c>
      <c r="T411" s="18" t="s">
        <v>345</v>
      </c>
      <c r="U411" s="17">
        <v>2</v>
      </c>
      <c r="V411" s="17" t="s">
        <v>31</v>
      </c>
      <c r="W411" s="18">
        <v>4</v>
      </c>
      <c r="X411" s="18" t="s">
        <v>342</v>
      </c>
      <c r="Y411" s="18">
        <f t="shared" si="46"/>
        <v>0</v>
      </c>
      <c r="Z411" s="17" t="s">
        <v>343</v>
      </c>
      <c r="AA411" s="17">
        <v>1</v>
      </c>
      <c r="AB411" s="1">
        <f t="shared" si="42"/>
        <v>1</v>
      </c>
      <c r="AC411" s="1">
        <f t="shared" si="43"/>
        <v>0</v>
      </c>
      <c r="AD411" s="1">
        <f t="shared" si="44"/>
        <v>0</v>
      </c>
    </row>
    <row r="412" spans="19:30">
      <c r="S412" s="17">
        <v>11</v>
      </c>
      <c r="T412" s="18" t="s">
        <v>345</v>
      </c>
      <c r="U412" s="17">
        <v>2</v>
      </c>
      <c r="V412" s="17" t="s">
        <v>31</v>
      </c>
      <c r="W412" s="18">
        <v>2</v>
      </c>
      <c r="X412" s="18" t="s">
        <v>342</v>
      </c>
      <c r="Y412" s="18">
        <f t="shared" si="46"/>
        <v>2</v>
      </c>
      <c r="Z412" s="17" t="s">
        <v>75</v>
      </c>
      <c r="AA412" s="17">
        <v>1</v>
      </c>
      <c r="AB412" s="1">
        <f t="shared" si="42"/>
        <v>0</v>
      </c>
      <c r="AC412" s="1">
        <f t="shared" si="43"/>
        <v>1</v>
      </c>
      <c r="AD412" s="1">
        <f t="shared" si="44"/>
        <v>0</v>
      </c>
    </row>
    <row r="413" spans="19:30">
      <c r="S413" s="17">
        <v>12</v>
      </c>
      <c r="T413" s="18" t="s">
        <v>345</v>
      </c>
      <c r="U413" s="17">
        <v>1</v>
      </c>
      <c r="V413" s="17" t="s">
        <v>31</v>
      </c>
      <c r="W413" s="18">
        <v>2</v>
      </c>
      <c r="X413" s="18" t="s">
        <v>342</v>
      </c>
      <c r="Y413" s="18">
        <f t="shared" si="46"/>
        <v>2</v>
      </c>
      <c r="Z413" s="17" t="s">
        <v>61</v>
      </c>
      <c r="AA413" s="17">
        <v>2</v>
      </c>
      <c r="AB413" s="1">
        <f t="shared" si="42"/>
        <v>0</v>
      </c>
      <c r="AC413" s="1">
        <f t="shared" si="43"/>
        <v>1</v>
      </c>
      <c r="AD413" s="1">
        <f t="shared" si="44"/>
        <v>0</v>
      </c>
    </row>
    <row r="414" spans="19:30">
      <c r="S414" s="17">
        <v>13</v>
      </c>
      <c r="T414" s="18" t="s">
        <v>345</v>
      </c>
      <c r="U414" s="17">
        <v>1</v>
      </c>
      <c r="V414" s="17" t="s">
        <v>31</v>
      </c>
      <c r="W414" s="18">
        <v>3</v>
      </c>
      <c r="X414" s="18" t="s">
        <v>342</v>
      </c>
      <c r="Y414" s="18">
        <f t="shared" si="46"/>
        <v>1</v>
      </c>
      <c r="Z414" s="17" t="s">
        <v>45</v>
      </c>
      <c r="AA414" s="17">
        <v>2</v>
      </c>
      <c r="AB414" s="1">
        <f t="shared" si="42"/>
        <v>1</v>
      </c>
      <c r="AC414" s="1">
        <f t="shared" si="43"/>
        <v>0</v>
      </c>
      <c r="AD414" s="1">
        <f t="shared" si="44"/>
        <v>0</v>
      </c>
    </row>
    <row r="415" spans="19:30">
      <c r="S415" s="17">
        <v>14</v>
      </c>
      <c r="T415" s="18" t="s">
        <v>345</v>
      </c>
      <c r="U415" s="17">
        <v>1</v>
      </c>
      <c r="V415" s="17" t="s">
        <v>31</v>
      </c>
      <c r="W415" s="18">
        <v>2</v>
      </c>
      <c r="X415" s="18" t="s">
        <v>342</v>
      </c>
      <c r="Y415" s="18">
        <f t="shared" si="46"/>
        <v>2</v>
      </c>
      <c r="Z415" s="17" t="s">
        <v>57</v>
      </c>
      <c r="AA415" s="17">
        <v>2</v>
      </c>
      <c r="AB415" s="1">
        <f t="shared" si="42"/>
        <v>0</v>
      </c>
      <c r="AC415" s="1">
        <f t="shared" si="43"/>
        <v>1</v>
      </c>
      <c r="AD415" s="1">
        <f t="shared" si="44"/>
        <v>0</v>
      </c>
    </row>
    <row r="416" spans="19:30">
      <c r="S416" s="17">
        <v>15</v>
      </c>
      <c r="T416" s="18" t="s">
        <v>345</v>
      </c>
      <c r="U416" s="17">
        <v>1</v>
      </c>
      <c r="V416" s="17" t="s">
        <v>31</v>
      </c>
      <c r="W416" s="18">
        <v>1</v>
      </c>
      <c r="X416" s="18" t="s">
        <v>342</v>
      </c>
      <c r="Y416" s="18">
        <f t="shared" si="46"/>
        <v>3</v>
      </c>
      <c r="Z416" s="17" t="s">
        <v>25</v>
      </c>
      <c r="AA416" s="17">
        <v>2</v>
      </c>
      <c r="AB416" s="1">
        <f t="shared" si="42"/>
        <v>0</v>
      </c>
      <c r="AC416" s="1">
        <f t="shared" si="43"/>
        <v>0</v>
      </c>
      <c r="AD416" s="1">
        <f t="shared" si="44"/>
        <v>1</v>
      </c>
    </row>
    <row r="417" spans="19:30" ht="12.75" customHeight="1">
      <c r="S417" s="58" t="s">
        <v>339</v>
      </c>
      <c r="T417" s="58" t="s">
        <v>340</v>
      </c>
      <c r="U417" s="58" t="s">
        <v>341</v>
      </c>
      <c r="V417" s="58" t="s">
        <v>1</v>
      </c>
      <c r="W417" s="69" t="s">
        <v>220</v>
      </c>
      <c r="X417" s="70"/>
      <c r="Y417" s="71"/>
      <c r="Z417" s="58" t="s">
        <v>1</v>
      </c>
      <c r="AA417" s="58" t="s">
        <v>341</v>
      </c>
      <c r="AB417" s="1">
        <f t="shared" si="42"/>
        <v>1</v>
      </c>
      <c r="AC417" s="1">
        <f t="shared" si="43"/>
        <v>0</v>
      </c>
      <c r="AD417" s="1">
        <f t="shared" si="44"/>
        <v>0</v>
      </c>
    </row>
    <row r="418" spans="19:30">
      <c r="S418" s="17">
        <v>1</v>
      </c>
      <c r="T418" s="18" t="s">
        <v>345</v>
      </c>
      <c r="U418" s="17">
        <v>2</v>
      </c>
      <c r="V418" s="17" t="s">
        <v>45</v>
      </c>
      <c r="W418" s="18">
        <v>0</v>
      </c>
      <c r="X418" s="18" t="s">
        <v>342</v>
      </c>
      <c r="Y418" s="18">
        <f>IF(W418="","",4-W418)</f>
        <v>4</v>
      </c>
      <c r="Z418" s="17" t="s">
        <v>59</v>
      </c>
      <c r="AA418" s="17">
        <v>1</v>
      </c>
      <c r="AB418" s="1">
        <f t="shared" si="42"/>
        <v>0</v>
      </c>
      <c r="AC418" s="1">
        <f t="shared" si="43"/>
        <v>0</v>
      </c>
      <c r="AD418" s="1">
        <f t="shared" si="44"/>
        <v>1</v>
      </c>
    </row>
    <row r="419" spans="19:30">
      <c r="S419" s="17">
        <v>2</v>
      </c>
      <c r="T419" s="18" t="s">
        <v>345</v>
      </c>
      <c r="U419" s="17">
        <v>1</v>
      </c>
      <c r="V419" s="17" t="s">
        <v>45</v>
      </c>
      <c r="W419" s="18">
        <v>0</v>
      </c>
      <c r="X419" s="18" t="s">
        <v>342</v>
      </c>
      <c r="Y419" s="18">
        <f t="shared" ref="Y419:Y432" si="47">IF(W419="","",4-W419)</f>
        <v>4</v>
      </c>
      <c r="Z419" s="17" t="s">
        <v>121</v>
      </c>
      <c r="AA419" s="17">
        <v>2</v>
      </c>
      <c r="AB419" s="1">
        <f t="shared" si="42"/>
        <v>0</v>
      </c>
      <c r="AC419" s="1">
        <f t="shared" si="43"/>
        <v>0</v>
      </c>
      <c r="AD419" s="1">
        <f t="shared" si="44"/>
        <v>1</v>
      </c>
    </row>
    <row r="420" spans="19:30">
      <c r="S420" s="17">
        <v>3</v>
      </c>
      <c r="T420" s="18" t="s">
        <v>345</v>
      </c>
      <c r="U420" s="17">
        <v>2</v>
      </c>
      <c r="V420" s="17" t="s">
        <v>45</v>
      </c>
      <c r="W420" s="18">
        <v>2</v>
      </c>
      <c r="X420" s="18" t="s">
        <v>342</v>
      </c>
      <c r="Y420" s="18">
        <f t="shared" si="47"/>
        <v>2</v>
      </c>
      <c r="Z420" s="17" t="s">
        <v>71</v>
      </c>
      <c r="AA420" s="17">
        <v>1</v>
      </c>
      <c r="AB420" s="1">
        <f t="shared" si="42"/>
        <v>0</v>
      </c>
      <c r="AC420" s="1">
        <f t="shared" si="43"/>
        <v>1</v>
      </c>
      <c r="AD420" s="1">
        <f t="shared" si="44"/>
        <v>0</v>
      </c>
    </row>
    <row r="421" spans="19:30">
      <c r="S421" s="17">
        <v>4</v>
      </c>
      <c r="T421" s="18" t="s">
        <v>345</v>
      </c>
      <c r="U421" s="17">
        <v>2</v>
      </c>
      <c r="V421" s="17" t="s">
        <v>45</v>
      </c>
      <c r="W421" s="18">
        <v>1</v>
      </c>
      <c r="X421" s="18" t="s">
        <v>342</v>
      </c>
      <c r="Y421" s="18">
        <f t="shared" si="47"/>
        <v>3</v>
      </c>
      <c r="Z421" s="17" t="s">
        <v>47</v>
      </c>
      <c r="AA421" s="17">
        <v>1</v>
      </c>
      <c r="AB421" s="1">
        <f t="shared" si="42"/>
        <v>0</v>
      </c>
      <c r="AC421" s="1">
        <f t="shared" si="43"/>
        <v>0</v>
      </c>
      <c r="AD421" s="1">
        <f t="shared" si="44"/>
        <v>1</v>
      </c>
    </row>
    <row r="422" spans="19:30">
      <c r="S422" s="17">
        <v>5</v>
      </c>
      <c r="T422" s="18" t="s">
        <v>345</v>
      </c>
      <c r="U422" s="17">
        <v>2</v>
      </c>
      <c r="V422" s="17" t="s">
        <v>45</v>
      </c>
      <c r="W422" s="18">
        <v>0</v>
      </c>
      <c r="X422" s="18" t="s">
        <v>342</v>
      </c>
      <c r="Y422" s="18">
        <f t="shared" si="47"/>
        <v>4</v>
      </c>
      <c r="Z422" s="17" t="s">
        <v>63</v>
      </c>
      <c r="AA422" s="17">
        <v>1</v>
      </c>
      <c r="AB422" s="1">
        <f t="shared" si="42"/>
        <v>0</v>
      </c>
      <c r="AC422" s="1">
        <f t="shared" si="43"/>
        <v>0</v>
      </c>
      <c r="AD422" s="1">
        <f t="shared" si="44"/>
        <v>1</v>
      </c>
    </row>
    <row r="423" spans="19:30">
      <c r="S423" s="17">
        <v>6</v>
      </c>
      <c r="T423" s="18" t="s">
        <v>345</v>
      </c>
      <c r="U423" s="17">
        <v>2</v>
      </c>
      <c r="V423" s="17" t="s">
        <v>45</v>
      </c>
      <c r="W423" s="18">
        <v>0</v>
      </c>
      <c r="X423" s="18" t="s">
        <v>342</v>
      </c>
      <c r="Y423" s="18">
        <f t="shared" si="47"/>
        <v>4</v>
      </c>
      <c r="Z423" s="17" t="s">
        <v>55</v>
      </c>
      <c r="AA423" s="17">
        <v>1</v>
      </c>
      <c r="AB423" s="1">
        <f t="shared" si="42"/>
        <v>0</v>
      </c>
      <c r="AC423" s="1">
        <f t="shared" si="43"/>
        <v>0</v>
      </c>
      <c r="AD423" s="1">
        <f t="shared" si="44"/>
        <v>1</v>
      </c>
    </row>
    <row r="424" spans="19:30">
      <c r="S424" s="17">
        <v>7</v>
      </c>
      <c r="T424" s="18" t="s">
        <v>345</v>
      </c>
      <c r="U424" s="17">
        <v>2</v>
      </c>
      <c r="V424" s="17" t="s">
        <v>45</v>
      </c>
      <c r="W424" s="18">
        <v>0</v>
      </c>
      <c r="X424" s="18" t="s">
        <v>342</v>
      </c>
      <c r="Y424" s="18">
        <f t="shared" si="47"/>
        <v>4</v>
      </c>
      <c r="Z424" s="17" t="s">
        <v>35</v>
      </c>
      <c r="AA424" s="17">
        <v>1</v>
      </c>
      <c r="AB424" s="1">
        <f t="shared" si="42"/>
        <v>0</v>
      </c>
      <c r="AC424" s="1">
        <f t="shared" si="43"/>
        <v>0</v>
      </c>
      <c r="AD424" s="1">
        <f t="shared" si="44"/>
        <v>1</v>
      </c>
    </row>
    <row r="425" spans="19:30">
      <c r="S425" s="17">
        <v>8</v>
      </c>
      <c r="T425" s="18" t="s">
        <v>345</v>
      </c>
      <c r="U425" s="17">
        <v>1</v>
      </c>
      <c r="V425" s="17" t="s">
        <v>45</v>
      </c>
      <c r="W425" s="18">
        <v>0</v>
      </c>
      <c r="X425" s="18" t="s">
        <v>342</v>
      </c>
      <c r="Y425" s="18">
        <f t="shared" si="47"/>
        <v>4</v>
      </c>
      <c r="Z425" s="17" t="s">
        <v>73</v>
      </c>
      <c r="AA425" s="17">
        <v>2</v>
      </c>
      <c r="AB425" s="1">
        <f t="shared" si="42"/>
        <v>0</v>
      </c>
      <c r="AC425" s="1">
        <f t="shared" si="43"/>
        <v>0</v>
      </c>
      <c r="AD425" s="1">
        <f t="shared" si="44"/>
        <v>1</v>
      </c>
    </row>
    <row r="426" spans="19:30">
      <c r="S426" s="17">
        <v>9</v>
      </c>
      <c r="T426" s="18" t="s">
        <v>345</v>
      </c>
      <c r="U426" s="17">
        <v>2</v>
      </c>
      <c r="V426" s="17" t="s">
        <v>45</v>
      </c>
      <c r="W426" s="18">
        <v>1</v>
      </c>
      <c r="X426" s="18" t="s">
        <v>342</v>
      </c>
      <c r="Y426" s="18">
        <f t="shared" si="47"/>
        <v>3</v>
      </c>
      <c r="Z426" s="17" t="s">
        <v>61</v>
      </c>
      <c r="AA426" s="17">
        <v>1</v>
      </c>
      <c r="AB426" s="1">
        <f t="shared" si="42"/>
        <v>0</v>
      </c>
      <c r="AC426" s="1">
        <f t="shared" si="43"/>
        <v>0</v>
      </c>
      <c r="AD426" s="1">
        <f t="shared" si="44"/>
        <v>1</v>
      </c>
    </row>
    <row r="427" spans="19:30">
      <c r="S427" s="17">
        <v>10</v>
      </c>
      <c r="T427" s="18" t="s">
        <v>345</v>
      </c>
      <c r="U427" s="17">
        <v>1</v>
      </c>
      <c r="V427" s="17" t="s">
        <v>45</v>
      </c>
      <c r="W427" s="18">
        <v>1</v>
      </c>
      <c r="X427" s="18" t="s">
        <v>342</v>
      </c>
      <c r="Y427" s="18">
        <f t="shared" si="47"/>
        <v>3</v>
      </c>
      <c r="Z427" s="17" t="s">
        <v>75</v>
      </c>
      <c r="AA427" s="17">
        <v>2</v>
      </c>
      <c r="AB427" s="1">
        <f t="shared" si="42"/>
        <v>0</v>
      </c>
      <c r="AC427" s="1">
        <f t="shared" si="43"/>
        <v>0</v>
      </c>
      <c r="AD427" s="1">
        <f t="shared" si="44"/>
        <v>1</v>
      </c>
    </row>
    <row r="428" spans="19:30">
      <c r="S428" s="17">
        <v>11</v>
      </c>
      <c r="T428" s="18" t="s">
        <v>345</v>
      </c>
      <c r="U428" s="17">
        <v>1</v>
      </c>
      <c r="V428" s="17" t="s">
        <v>45</v>
      </c>
      <c r="W428" s="18">
        <v>4</v>
      </c>
      <c r="X428" s="18" t="s">
        <v>342</v>
      </c>
      <c r="Y428" s="18">
        <f t="shared" si="47"/>
        <v>0</v>
      </c>
      <c r="Z428" s="17" t="s">
        <v>343</v>
      </c>
      <c r="AA428" s="17">
        <v>2</v>
      </c>
      <c r="AB428" s="1">
        <f t="shared" si="42"/>
        <v>1</v>
      </c>
      <c r="AC428" s="1">
        <f t="shared" si="43"/>
        <v>0</v>
      </c>
      <c r="AD428" s="1">
        <f t="shared" si="44"/>
        <v>0</v>
      </c>
    </row>
    <row r="429" spans="19:30">
      <c r="S429" s="17">
        <v>12</v>
      </c>
      <c r="T429" s="18" t="s">
        <v>345</v>
      </c>
      <c r="U429" s="17">
        <v>1</v>
      </c>
      <c r="V429" s="17" t="s">
        <v>45</v>
      </c>
      <c r="W429" s="18">
        <v>2</v>
      </c>
      <c r="X429" s="18" t="s">
        <v>342</v>
      </c>
      <c r="Y429" s="18">
        <f t="shared" si="47"/>
        <v>2</v>
      </c>
      <c r="Z429" s="17" t="s">
        <v>33</v>
      </c>
      <c r="AA429" s="17">
        <v>2</v>
      </c>
      <c r="AB429" s="1">
        <f t="shared" si="42"/>
        <v>0</v>
      </c>
      <c r="AC429" s="1">
        <f t="shared" si="43"/>
        <v>1</v>
      </c>
      <c r="AD429" s="1">
        <f t="shared" si="44"/>
        <v>0</v>
      </c>
    </row>
    <row r="430" spans="19:30">
      <c r="S430" s="17">
        <v>13</v>
      </c>
      <c r="T430" s="18" t="s">
        <v>345</v>
      </c>
      <c r="U430" s="17">
        <v>2</v>
      </c>
      <c r="V430" s="17" t="s">
        <v>45</v>
      </c>
      <c r="W430" s="18">
        <v>1</v>
      </c>
      <c r="X430" s="18" t="s">
        <v>342</v>
      </c>
      <c r="Y430" s="18">
        <f t="shared" si="47"/>
        <v>3</v>
      </c>
      <c r="Z430" s="17" t="s">
        <v>31</v>
      </c>
      <c r="AA430" s="17">
        <v>1</v>
      </c>
      <c r="AB430" s="1">
        <f t="shared" si="42"/>
        <v>0</v>
      </c>
      <c r="AC430" s="1">
        <f t="shared" si="43"/>
        <v>0</v>
      </c>
      <c r="AD430" s="1">
        <f t="shared" si="44"/>
        <v>1</v>
      </c>
    </row>
    <row r="431" spans="19:30">
      <c r="S431" s="17">
        <v>14</v>
      </c>
      <c r="T431" s="18" t="s">
        <v>345</v>
      </c>
      <c r="U431" s="17">
        <v>1</v>
      </c>
      <c r="V431" s="17" t="s">
        <v>45</v>
      </c>
      <c r="W431" s="18">
        <v>2</v>
      </c>
      <c r="X431" s="18" t="s">
        <v>342</v>
      </c>
      <c r="Y431" s="18">
        <f t="shared" si="47"/>
        <v>2</v>
      </c>
      <c r="Z431" s="17" t="s">
        <v>25</v>
      </c>
      <c r="AA431" s="17">
        <v>2</v>
      </c>
      <c r="AB431" s="1">
        <f t="shared" si="42"/>
        <v>0</v>
      </c>
      <c r="AC431" s="1">
        <f t="shared" si="43"/>
        <v>1</v>
      </c>
      <c r="AD431" s="1">
        <f t="shared" si="44"/>
        <v>0</v>
      </c>
    </row>
    <row r="432" spans="19:30">
      <c r="S432" s="17">
        <v>15</v>
      </c>
      <c r="T432" s="18" t="s">
        <v>345</v>
      </c>
      <c r="U432" s="17">
        <v>2</v>
      </c>
      <c r="V432" s="17" t="s">
        <v>45</v>
      </c>
      <c r="W432" s="18">
        <v>4</v>
      </c>
      <c r="X432" s="18" t="s">
        <v>342</v>
      </c>
      <c r="Y432" s="18">
        <f t="shared" si="47"/>
        <v>0</v>
      </c>
      <c r="Z432" s="17" t="s">
        <v>57</v>
      </c>
      <c r="AA432" s="17">
        <v>1</v>
      </c>
      <c r="AB432" s="1">
        <f t="shared" si="42"/>
        <v>1</v>
      </c>
      <c r="AC432" s="1">
        <f t="shared" si="43"/>
        <v>0</v>
      </c>
      <c r="AD432" s="1">
        <f t="shared" si="44"/>
        <v>0</v>
      </c>
    </row>
    <row r="433" spans="19:30" ht="12.75" customHeight="1">
      <c r="S433" s="58" t="s">
        <v>339</v>
      </c>
      <c r="T433" s="58" t="s">
        <v>340</v>
      </c>
      <c r="U433" s="58" t="s">
        <v>341</v>
      </c>
      <c r="V433" s="58" t="s">
        <v>1</v>
      </c>
      <c r="W433" s="69" t="s">
        <v>220</v>
      </c>
      <c r="X433" s="70"/>
      <c r="Y433" s="71"/>
      <c r="Z433" s="58" t="s">
        <v>1</v>
      </c>
      <c r="AA433" s="58" t="s">
        <v>341</v>
      </c>
      <c r="AB433" s="1">
        <f t="shared" si="42"/>
        <v>1</v>
      </c>
      <c r="AC433" s="1">
        <f t="shared" si="43"/>
        <v>0</v>
      </c>
      <c r="AD433" s="1">
        <f t="shared" si="44"/>
        <v>0</v>
      </c>
    </row>
    <row r="434" spans="19:30">
      <c r="S434" s="17">
        <v>1</v>
      </c>
      <c r="T434" s="18" t="s">
        <v>345</v>
      </c>
      <c r="U434" s="17">
        <v>1</v>
      </c>
      <c r="V434" s="17" t="s">
        <v>57</v>
      </c>
      <c r="W434" s="18">
        <v>0</v>
      </c>
      <c r="X434" s="18" t="s">
        <v>342</v>
      </c>
      <c r="Y434" s="18">
        <f>IF(W434="","",4-W434)</f>
        <v>4</v>
      </c>
      <c r="Z434" s="17" t="s">
        <v>121</v>
      </c>
      <c r="AA434" s="17">
        <v>2</v>
      </c>
      <c r="AB434" s="1">
        <f t="shared" si="42"/>
        <v>0</v>
      </c>
      <c r="AC434" s="1">
        <f t="shared" si="43"/>
        <v>0</v>
      </c>
      <c r="AD434" s="1">
        <f t="shared" si="44"/>
        <v>1</v>
      </c>
    </row>
    <row r="435" spans="19:30">
      <c r="S435" s="17">
        <v>2</v>
      </c>
      <c r="T435" s="18" t="s">
        <v>345</v>
      </c>
      <c r="U435" s="17">
        <v>2</v>
      </c>
      <c r="V435" s="17" t="s">
        <v>57</v>
      </c>
      <c r="W435" s="18">
        <v>0</v>
      </c>
      <c r="X435" s="18" t="s">
        <v>342</v>
      </c>
      <c r="Y435" s="18">
        <f t="shared" ref="Y435:Y448" si="48">IF(W435="","",4-W435)</f>
        <v>4</v>
      </c>
      <c r="Z435" s="17" t="s">
        <v>59</v>
      </c>
      <c r="AA435" s="17">
        <v>1</v>
      </c>
      <c r="AB435" s="1">
        <f t="shared" si="42"/>
        <v>0</v>
      </c>
      <c r="AC435" s="1">
        <f t="shared" si="43"/>
        <v>0</v>
      </c>
      <c r="AD435" s="1">
        <f t="shared" si="44"/>
        <v>1</v>
      </c>
    </row>
    <row r="436" spans="19:30">
      <c r="S436" s="17">
        <v>3</v>
      </c>
      <c r="T436" s="18" t="s">
        <v>345</v>
      </c>
      <c r="U436" s="17">
        <v>2</v>
      </c>
      <c r="V436" s="17" t="s">
        <v>57</v>
      </c>
      <c r="W436" s="18">
        <v>0</v>
      </c>
      <c r="X436" s="18" t="s">
        <v>342</v>
      </c>
      <c r="Y436" s="18">
        <f t="shared" si="48"/>
        <v>4</v>
      </c>
      <c r="Z436" s="17" t="s">
        <v>47</v>
      </c>
      <c r="AA436" s="17">
        <v>1</v>
      </c>
      <c r="AB436" s="1">
        <f t="shared" si="42"/>
        <v>0</v>
      </c>
      <c r="AC436" s="1">
        <f t="shared" si="43"/>
        <v>0</v>
      </c>
      <c r="AD436" s="1">
        <f t="shared" si="44"/>
        <v>1</v>
      </c>
    </row>
    <row r="437" spans="19:30">
      <c r="S437" s="17">
        <v>4</v>
      </c>
      <c r="T437" s="18" t="s">
        <v>345</v>
      </c>
      <c r="U437" s="17">
        <v>2</v>
      </c>
      <c r="V437" s="17" t="s">
        <v>57</v>
      </c>
      <c r="W437" s="18">
        <v>0</v>
      </c>
      <c r="X437" s="18" t="s">
        <v>342</v>
      </c>
      <c r="Y437" s="18">
        <f t="shared" si="48"/>
        <v>4</v>
      </c>
      <c r="Z437" s="17" t="s">
        <v>71</v>
      </c>
      <c r="AA437" s="17">
        <v>1</v>
      </c>
      <c r="AB437" s="1">
        <f t="shared" si="42"/>
        <v>0</v>
      </c>
      <c r="AC437" s="1">
        <f t="shared" si="43"/>
        <v>0</v>
      </c>
      <c r="AD437" s="1">
        <f t="shared" si="44"/>
        <v>1</v>
      </c>
    </row>
    <row r="438" spans="19:30">
      <c r="S438" s="17">
        <v>5</v>
      </c>
      <c r="T438" s="18" t="s">
        <v>345</v>
      </c>
      <c r="U438" s="17">
        <v>2</v>
      </c>
      <c r="V438" s="17" t="s">
        <v>57</v>
      </c>
      <c r="W438" s="18">
        <v>0</v>
      </c>
      <c r="X438" s="18" t="s">
        <v>342</v>
      </c>
      <c r="Y438" s="18">
        <f t="shared" si="48"/>
        <v>4</v>
      </c>
      <c r="Z438" s="17" t="s">
        <v>55</v>
      </c>
      <c r="AA438" s="17">
        <v>1</v>
      </c>
      <c r="AB438" s="1">
        <f t="shared" si="42"/>
        <v>0</v>
      </c>
      <c r="AC438" s="1">
        <f t="shared" si="43"/>
        <v>0</v>
      </c>
      <c r="AD438" s="1">
        <f t="shared" si="44"/>
        <v>1</v>
      </c>
    </row>
    <row r="439" spans="19:30">
      <c r="S439" s="17">
        <v>6</v>
      </c>
      <c r="T439" s="18" t="s">
        <v>345</v>
      </c>
      <c r="U439" s="17">
        <v>1</v>
      </c>
      <c r="V439" s="17" t="s">
        <v>57</v>
      </c>
      <c r="W439" s="18">
        <v>0</v>
      </c>
      <c r="X439" s="18" t="s">
        <v>342</v>
      </c>
      <c r="Y439" s="18">
        <f t="shared" si="48"/>
        <v>4</v>
      </c>
      <c r="Z439" s="17" t="s">
        <v>63</v>
      </c>
      <c r="AA439" s="17">
        <v>2</v>
      </c>
      <c r="AB439" s="1">
        <f t="shared" si="42"/>
        <v>0</v>
      </c>
      <c r="AC439" s="1">
        <f t="shared" si="43"/>
        <v>0</v>
      </c>
      <c r="AD439" s="1">
        <f t="shared" si="44"/>
        <v>1</v>
      </c>
    </row>
    <row r="440" spans="19:30">
      <c r="S440" s="17">
        <v>7</v>
      </c>
      <c r="T440" s="18" t="s">
        <v>345</v>
      </c>
      <c r="U440" s="17">
        <v>1</v>
      </c>
      <c r="V440" s="17" t="s">
        <v>57</v>
      </c>
      <c r="W440" s="18">
        <v>0</v>
      </c>
      <c r="X440" s="18" t="s">
        <v>342</v>
      </c>
      <c r="Y440" s="18">
        <f t="shared" si="48"/>
        <v>4</v>
      </c>
      <c r="Z440" s="17" t="s">
        <v>73</v>
      </c>
      <c r="AA440" s="17">
        <v>2</v>
      </c>
      <c r="AB440" s="1">
        <f t="shared" si="42"/>
        <v>0</v>
      </c>
      <c r="AC440" s="1">
        <f t="shared" si="43"/>
        <v>0</v>
      </c>
      <c r="AD440" s="1">
        <f t="shared" si="44"/>
        <v>1</v>
      </c>
    </row>
    <row r="441" spans="19:30">
      <c r="S441" s="17">
        <v>8</v>
      </c>
      <c r="T441" s="18" t="s">
        <v>345</v>
      </c>
      <c r="U441" s="17">
        <v>1</v>
      </c>
      <c r="V441" s="17" t="s">
        <v>57</v>
      </c>
      <c r="W441" s="18">
        <v>0</v>
      </c>
      <c r="X441" s="18" t="s">
        <v>342</v>
      </c>
      <c r="Y441" s="18">
        <f t="shared" si="48"/>
        <v>4</v>
      </c>
      <c r="Z441" s="17" t="s">
        <v>35</v>
      </c>
      <c r="AA441" s="17">
        <v>2</v>
      </c>
      <c r="AB441" s="1">
        <f t="shared" si="42"/>
        <v>0</v>
      </c>
      <c r="AC441" s="1">
        <f t="shared" si="43"/>
        <v>0</v>
      </c>
      <c r="AD441" s="1">
        <f t="shared" si="44"/>
        <v>1</v>
      </c>
    </row>
    <row r="442" spans="19:30">
      <c r="S442" s="17">
        <v>9</v>
      </c>
      <c r="T442" s="18" t="s">
        <v>345</v>
      </c>
      <c r="U442" s="17">
        <v>2</v>
      </c>
      <c r="V442" s="17" t="s">
        <v>57</v>
      </c>
      <c r="W442" s="18">
        <v>0</v>
      </c>
      <c r="X442" s="18" t="s">
        <v>342</v>
      </c>
      <c r="Y442" s="18">
        <f t="shared" si="48"/>
        <v>4</v>
      </c>
      <c r="Z442" s="17" t="s">
        <v>75</v>
      </c>
      <c r="AA442" s="17">
        <v>1</v>
      </c>
      <c r="AB442" s="1">
        <f t="shared" si="42"/>
        <v>0</v>
      </c>
      <c r="AC442" s="1">
        <f t="shared" si="43"/>
        <v>0</v>
      </c>
      <c r="AD442" s="1">
        <f t="shared" si="44"/>
        <v>1</v>
      </c>
    </row>
    <row r="443" spans="19:30">
      <c r="S443" s="17">
        <v>10</v>
      </c>
      <c r="T443" s="18" t="s">
        <v>345</v>
      </c>
      <c r="U443" s="17">
        <v>2</v>
      </c>
      <c r="V443" s="17" t="s">
        <v>57</v>
      </c>
      <c r="W443" s="18">
        <v>2</v>
      </c>
      <c r="X443" s="18" t="s">
        <v>342</v>
      </c>
      <c r="Y443" s="18">
        <f t="shared" si="48"/>
        <v>2</v>
      </c>
      <c r="Z443" s="17" t="s">
        <v>61</v>
      </c>
      <c r="AA443" s="17">
        <v>1</v>
      </c>
      <c r="AB443" s="1">
        <f t="shared" si="42"/>
        <v>0</v>
      </c>
      <c r="AC443" s="1">
        <f t="shared" si="43"/>
        <v>1</v>
      </c>
      <c r="AD443" s="1">
        <f t="shared" si="44"/>
        <v>0</v>
      </c>
    </row>
    <row r="444" spans="19:30">
      <c r="S444" s="17">
        <v>11</v>
      </c>
      <c r="T444" s="18" t="s">
        <v>345</v>
      </c>
      <c r="U444" s="17">
        <v>1</v>
      </c>
      <c r="V444" s="17" t="s">
        <v>57</v>
      </c>
      <c r="W444" s="18">
        <v>2</v>
      </c>
      <c r="X444" s="18" t="s">
        <v>342</v>
      </c>
      <c r="Y444" s="18">
        <f t="shared" si="48"/>
        <v>2</v>
      </c>
      <c r="Z444" s="17" t="s">
        <v>33</v>
      </c>
      <c r="AA444" s="17">
        <v>2</v>
      </c>
      <c r="AB444" s="1">
        <f t="shared" si="42"/>
        <v>0</v>
      </c>
      <c r="AC444" s="1">
        <f t="shared" si="43"/>
        <v>1</v>
      </c>
      <c r="AD444" s="1">
        <f t="shared" si="44"/>
        <v>0</v>
      </c>
    </row>
    <row r="445" spans="19:30">
      <c r="S445" s="17">
        <v>12</v>
      </c>
      <c r="T445" s="18" t="s">
        <v>345</v>
      </c>
      <c r="U445" s="17">
        <v>1</v>
      </c>
      <c r="V445" s="17" t="s">
        <v>57</v>
      </c>
      <c r="W445" s="18">
        <v>4</v>
      </c>
      <c r="X445" s="18" t="s">
        <v>342</v>
      </c>
      <c r="Y445" s="18">
        <f t="shared" si="48"/>
        <v>0</v>
      </c>
      <c r="Z445" s="17" t="s">
        <v>343</v>
      </c>
      <c r="AA445" s="17">
        <v>2</v>
      </c>
      <c r="AB445" s="1">
        <f t="shared" si="42"/>
        <v>1</v>
      </c>
      <c r="AC445" s="1">
        <f t="shared" si="43"/>
        <v>0</v>
      </c>
      <c r="AD445" s="1">
        <f t="shared" si="44"/>
        <v>0</v>
      </c>
    </row>
    <row r="446" spans="19:30">
      <c r="S446" s="17">
        <v>13</v>
      </c>
      <c r="T446" s="18" t="s">
        <v>345</v>
      </c>
      <c r="U446" s="17">
        <v>1</v>
      </c>
      <c r="V446" s="17" t="s">
        <v>57</v>
      </c>
      <c r="W446" s="18">
        <v>0</v>
      </c>
      <c r="X446" s="18" t="s">
        <v>342</v>
      </c>
      <c r="Y446" s="18">
        <f t="shared" si="48"/>
        <v>4</v>
      </c>
      <c r="Z446" s="17" t="s">
        <v>25</v>
      </c>
      <c r="AA446" s="17">
        <v>2</v>
      </c>
      <c r="AB446" s="1">
        <f t="shared" si="42"/>
        <v>0</v>
      </c>
      <c r="AC446" s="1">
        <f t="shared" si="43"/>
        <v>0</v>
      </c>
      <c r="AD446" s="1">
        <f t="shared" si="44"/>
        <v>1</v>
      </c>
    </row>
    <row r="447" spans="19:30">
      <c r="S447" s="17">
        <v>14</v>
      </c>
      <c r="T447" s="18" t="s">
        <v>345</v>
      </c>
      <c r="U447" s="17">
        <v>2</v>
      </c>
      <c r="V447" s="17" t="s">
        <v>57</v>
      </c>
      <c r="W447" s="18">
        <v>2</v>
      </c>
      <c r="X447" s="18" t="s">
        <v>342</v>
      </c>
      <c r="Y447" s="18">
        <f t="shared" si="48"/>
        <v>2</v>
      </c>
      <c r="Z447" s="17" t="s">
        <v>31</v>
      </c>
      <c r="AA447" s="17">
        <v>1</v>
      </c>
      <c r="AB447" s="1">
        <f t="shared" si="42"/>
        <v>0</v>
      </c>
      <c r="AC447" s="1">
        <f t="shared" si="43"/>
        <v>1</v>
      </c>
      <c r="AD447" s="1">
        <f t="shared" si="44"/>
        <v>0</v>
      </c>
    </row>
    <row r="448" spans="19:30">
      <c r="S448" s="17">
        <v>15</v>
      </c>
      <c r="T448" s="18" t="s">
        <v>345</v>
      </c>
      <c r="U448" s="17">
        <v>1</v>
      </c>
      <c r="V448" s="17" t="s">
        <v>57</v>
      </c>
      <c r="W448" s="18">
        <v>0</v>
      </c>
      <c r="X448" s="18" t="s">
        <v>342</v>
      </c>
      <c r="Y448" s="18">
        <f t="shared" si="48"/>
        <v>4</v>
      </c>
      <c r="Z448" s="17" t="s">
        <v>45</v>
      </c>
      <c r="AA448" s="17">
        <v>2</v>
      </c>
      <c r="AB448" s="1">
        <f t="shared" si="42"/>
        <v>0</v>
      </c>
      <c r="AC448" s="1">
        <f t="shared" si="43"/>
        <v>0</v>
      </c>
      <c r="AD448" s="1">
        <f t="shared" si="44"/>
        <v>1</v>
      </c>
    </row>
    <row r="449" spans="19:30" ht="12.75" customHeight="1">
      <c r="S449" s="58" t="s">
        <v>339</v>
      </c>
      <c r="T449" s="58" t="s">
        <v>340</v>
      </c>
      <c r="U449" s="58" t="s">
        <v>341</v>
      </c>
      <c r="V449" s="58" t="s">
        <v>1</v>
      </c>
      <c r="W449" s="69" t="s">
        <v>220</v>
      </c>
      <c r="X449" s="70"/>
      <c r="Y449" s="71"/>
      <c r="Z449" s="58" t="s">
        <v>1</v>
      </c>
      <c r="AA449" s="58" t="s">
        <v>341</v>
      </c>
      <c r="AB449" s="1">
        <f t="shared" ref="AB449:AB512" si="49">IF(W449="",0,IF(W449&gt;Y449,1,0))</f>
        <v>1</v>
      </c>
      <c r="AC449" s="1">
        <f t="shared" ref="AC449:AC512" si="50">IF(W449="",0,IF(W449=Y449,1,0))</f>
        <v>0</v>
      </c>
      <c r="AD449" s="1">
        <f t="shared" ref="AD449:AD512" si="51">IF(W449="",0,IF(W449&lt;Y449,1,0))</f>
        <v>0</v>
      </c>
    </row>
    <row r="450" spans="19:30">
      <c r="S450" s="17">
        <v>1</v>
      </c>
      <c r="T450" s="18" t="s">
        <v>345</v>
      </c>
      <c r="U450" s="17">
        <v>2</v>
      </c>
      <c r="V450" s="17" t="s">
        <v>75</v>
      </c>
      <c r="W450" s="18">
        <v>0</v>
      </c>
      <c r="X450" s="18" t="s">
        <v>342</v>
      </c>
      <c r="Y450" s="18">
        <f>IF(W450="","",4-W450)</f>
        <v>4</v>
      </c>
      <c r="Z450" s="17" t="s">
        <v>35</v>
      </c>
      <c r="AA450" s="17">
        <v>1</v>
      </c>
      <c r="AB450" s="1">
        <f t="shared" si="49"/>
        <v>0</v>
      </c>
      <c r="AC450" s="1">
        <f t="shared" si="50"/>
        <v>0</v>
      </c>
      <c r="AD450" s="1">
        <f t="shared" si="51"/>
        <v>1</v>
      </c>
    </row>
    <row r="451" spans="19:30">
      <c r="S451" s="17">
        <v>2</v>
      </c>
      <c r="T451" s="18" t="s">
        <v>345</v>
      </c>
      <c r="U451" s="17">
        <v>2</v>
      </c>
      <c r="V451" s="17" t="s">
        <v>75</v>
      </c>
      <c r="W451" s="18">
        <v>0</v>
      </c>
      <c r="X451" s="18" t="s">
        <v>342</v>
      </c>
      <c r="Y451" s="18">
        <f t="shared" ref="Y451:Y464" si="52">IF(W451="","",4-W451)</f>
        <v>4</v>
      </c>
      <c r="Z451" s="17" t="s">
        <v>73</v>
      </c>
      <c r="AA451" s="17">
        <v>1</v>
      </c>
      <c r="AB451" s="1">
        <f t="shared" si="49"/>
        <v>0</v>
      </c>
      <c r="AC451" s="1">
        <f t="shared" si="50"/>
        <v>0</v>
      </c>
      <c r="AD451" s="1">
        <f t="shared" si="51"/>
        <v>1</v>
      </c>
    </row>
    <row r="452" spans="19:30">
      <c r="S452" s="17">
        <v>3</v>
      </c>
      <c r="T452" s="18" t="s">
        <v>345</v>
      </c>
      <c r="U452" s="17">
        <v>1</v>
      </c>
      <c r="V452" s="17" t="s">
        <v>75</v>
      </c>
      <c r="W452" s="18">
        <v>1</v>
      </c>
      <c r="X452" s="18" t="s">
        <v>342</v>
      </c>
      <c r="Y452" s="18">
        <f t="shared" si="52"/>
        <v>3</v>
      </c>
      <c r="Z452" s="17" t="s">
        <v>63</v>
      </c>
      <c r="AA452" s="17">
        <v>2</v>
      </c>
      <c r="AB452" s="1">
        <f t="shared" si="49"/>
        <v>0</v>
      </c>
      <c r="AC452" s="1">
        <f t="shared" si="50"/>
        <v>0</v>
      </c>
      <c r="AD452" s="1">
        <f t="shared" si="51"/>
        <v>1</v>
      </c>
    </row>
    <row r="453" spans="19:30">
      <c r="S453" s="17">
        <v>4</v>
      </c>
      <c r="T453" s="18" t="s">
        <v>345</v>
      </c>
      <c r="U453" s="17">
        <v>2</v>
      </c>
      <c r="V453" s="17" t="s">
        <v>75</v>
      </c>
      <c r="W453" s="18">
        <v>0</v>
      </c>
      <c r="X453" s="18" t="s">
        <v>342</v>
      </c>
      <c r="Y453" s="18">
        <f t="shared" si="52"/>
        <v>4</v>
      </c>
      <c r="Z453" s="17" t="s">
        <v>55</v>
      </c>
      <c r="AA453" s="17">
        <v>1</v>
      </c>
      <c r="AB453" s="1">
        <f t="shared" si="49"/>
        <v>0</v>
      </c>
      <c r="AC453" s="1">
        <f t="shared" si="50"/>
        <v>0</v>
      </c>
      <c r="AD453" s="1">
        <f t="shared" si="51"/>
        <v>1</v>
      </c>
    </row>
    <row r="454" spans="19:30">
      <c r="S454" s="17">
        <v>5</v>
      </c>
      <c r="T454" s="18" t="s">
        <v>345</v>
      </c>
      <c r="U454" s="17">
        <v>1</v>
      </c>
      <c r="V454" s="17" t="s">
        <v>75</v>
      </c>
      <c r="W454" s="18">
        <v>0</v>
      </c>
      <c r="X454" s="18" t="s">
        <v>342</v>
      </c>
      <c r="Y454" s="18">
        <f t="shared" si="52"/>
        <v>4</v>
      </c>
      <c r="Z454" s="17" t="s">
        <v>71</v>
      </c>
      <c r="AA454" s="17">
        <v>2</v>
      </c>
      <c r="AB454" s="1">
        <f t="shared" si="49"/>
        <v>0</v>
      </c>
      <c r="AC454" s="1">
        <f t="shared" si="50"/>
        <v>0</v>
      </c>
      <c r="AD454" s="1">
        <f t="shared" si="51"/>
        <v>1</v>
      </c>
    </row>
    <row r="455" spans="19:30">
      <c r="S455" s="17">
        <v>6</v>
      </c>
      <c r="T455" s="18" t="s">
        <v>345</v>
      </c>
      <c r="U455" s="17">
        <v>1</v>
      </c>
      <c r="V455" s="17" t="s">
        <v>75</v>
      </c>
      <c r="W455" s="18">
        <v>0</v>
      </c>
      <c r="X455" s="18" t="s">
        <v>342</v>
      </c>
      <c r="Y455" s="18">
        <f t="shared" si="52"/>
        <v>4</v>
      </c>
      <c r="Z455" s="17" t="s">
        <v>47</v>
      </c>
      <c r="AA455" s="17">
        <v>2</v>
      </c>
      <c r="AB455" s="1">
        <f t="shared" si="49"/>
        <v>0</v>
      </c>
      <c r="AC455" s="1">
        <f t="shared" si="50"/>
        <v>0</v>
      </c>
      <c r="AD455" s="1">
        <f t="shared" si="51"/>
        <v>1</v>
      </c>
    </row>
    <row r="456" spans="19:30">
      <c r="S456" s="17">
        <v>7</v>
      </c>
      <c r="T456" s="18" t="s">
        <v>345</v>
      </c>
      <c r="U456" s="17">
        <v>1</v>
      </c>
      <c r="V456" s="17" t="s">
        <v>75</v>
      </c>
      <c r="W456" s="18">
        <v>0</v>
      </c>
      <c r="X456" s="18" t="s">
        <v>342</v>
      </c>
      <c r="Y456" s="18">
        <f t="shared" si="52"/>
        <v>4</v>
      </c>
      <c r="Z456" s="17" t="s">
        <v>59</v>
      </c>
      <c r="AA456" s="17">
        <v>2</v>
      </c>
      <c r="AB456" s="1">
        <f t="shared" si="49"/>
        <v>0</v>
      </c>
      <c r="AC456" s="1">
        <f t="shared" si="50"/>
        <v>0</v>
      </c>
      <c r="AD456" s="1">
        <f t="shared" si="51"/>
        <v>1</v>
      </c>
    </row>
    <row r="457" spans="19:30">
      <c r="S457" s="17">
        <v>8</v>
      </c>
      <c r="T457" s="18" t="s">
        <v>345</v>
      </c>
      <c r="U457" s="17">
        <v>1</v>
      </c>
      <c r="V457" s="17" t="s">
        <v>75</v>
      </c>
      <c r="W457" s="18">
        <v>0</v>
      </c>
      <c r="X457" s="18" t="s">
        <v>342</v>
      </c>
      <c r="Y457" s="18">
        <f t="shared" si="52"/>
        <v>4</v>
      </c>
      <c r="Z457" s="17" t="s">
        <v>121</v>
      </c>
      <c r="AA457" s="17">
        <v>2</v>
      </c>
      <c r="AB457" s="1">
        <f t="shared" si="49"/>
        <v>0</v>
      </c>
      <c r="AC457" s="1">
        <f t="shared" si="50"/>
        <v>0</v>
      </c>
      <c r="AD457" s="1">
        <f t="shared" si="51"/>
        <v>1</v>
      </c>
    </row>
    <row r="458" spans="19:30">
      <c r="S458" s="17">
        <v>9</v>
      </c>
      <c r="T458" s="18" t="s">
        <v>345</v>
      </c>
      <c r="U458" s="17">
        <v>1</v>
      </c>
      <c r="V458" s="17" t="s">
        <v>75</v>
      </c>
      <c r="W458" s="18">
        <v>4</v>
      </c>
      <c r="X458" s="18" t="s">
        <v>342</v>
      </c>
      <c r="Y458" s="18">
        <f t="shared" si="52"/>
        <v>0</v>
      </c>
      <c r="Z458" s="17" t="s">
        <v>57</v>
      </c>
      <c r="AA458" s="17">
        <v>2</v>
      </c>
      <c r="AB458" s="1">
        <f t="shared" si="49"/>
        <v>1</v>
      </c>
      <c r="AC458" s="1">
        <f t="shared" si="50"/>
        <v>0</v>
      </c>
      <c r="AD458" s="1">
        <f t="shared" si="51"/>
        <v>0</v>
      </c>
    </row>
    <row r="459" spans="19:30">
      <c r="S459" s="17">
        <v>10</v>
      </c>
      <c r="T459" s="18" t="s">
        <v>345</v>
      </c>
      <c r="U459" s="17">
        <v>2</v>
      </c>
      <c r="V459" s="17" t="s">
        <v>75</v>
      </c>
      <c r="W459" s="18">
        <v>3</v>
      </c>
      <c r="X459" s="18" t="s">
        <v>342</v>
      </c>
      <c r="Y459" s="18">
        <f t="shared" si="52"/>
        <v>1</v>
      </c>
      <c r="Z459" s="17" t="s">
        <v>45</v>
      </c>
      <c r="AA459" s="17">
        <v>1</v>
      </c>
      <c r="AB459" s="1">
        <f t="shared" si="49"/>
        <v>1</v>
      </c>
      <c r="AC459" s="1">
        <f t="shared" si="50"/>
        <v>0</v>
      </c>
      <c r="AD459" s="1">
        <f t="shared" si="51"/>
        <v>0</v>
      </c>
    </row>
    <row r="460" spans="19:30">
      <c r="S460" s="17">
        <v>11</v>
      </c>
      <c r="T460" s="18" t="s">
        <v>345</v>
      </c>
      <c r="U460" s="17">
        <v>1</v>
      </c>
      <c r="V460" s="17" t="s">
        <v>75</v>
      </c>
      <c r="W460" s="18">
        <v>2</v>
      </c>
      <c r="X460" s="18" t="s">
        <v>342</v>
      </c>
      <c r="Y460" s="18">
        <f t="shared" si="52"/>
        <v>2</v>
      </c>
      <c r="Z460" s="17" t="s">
        <v>31</v>
      </c>
      <c r="AA460" s="17">
        <v>2</v>
      </c>
      <c r="AB460" s="1">
        <f t="shared" si="49"/>
        <v>0</v>
      </c>
      <c r="AC460" s="1">
        <f t="shared" si="50"/>
        <v>1</v>
      </c>
      <c r="AD460" s="1">
        <f t="shared" si="51"/>
        <v>0</v>
      </c>
    </row>
    <row r="461" spans="19:30">
      <c r="S461" s="17">
        <v>12</v>
      </c>
      <c r="T461" s="18" t="s">
        <v>345</v>
      </c>
      <c r="U461" s="17">
        <v>1</v>
      </c>
      <c r="V461" s="17" t="s">
        <v>75</v>
      </c>
      <c r="W461" s="18">
        <v>2</v>
      </c>
      <c r="X461" s="18" t="s">
        <v>342</v>
      </c>
      <c r="Y461" s="18">
        <f t="shared" si="52"/>
        <v>2</v>
      </c>
      <c r="Z461" s="17" t="s">
        <v>25</v>
      </c>
      <c r="AA461" s="17">
        <v>2</v>
      </c>
      <c r="AB461" s="1">
        <f t="shared" si="49"/>
        <v>0</v>
      </c>
      <c r="AC461" s="1">
        <f t="shared" si="50"/>
        <v>1</v>
      </c>
      <c r="AD461" s="1">
        <f t="shared" si="51"/>
        <v>0</v>
      </c>
    </row>
    <row r="462" spans="19:30">
      <c r="S462" s="17">
        <v>13</v>
      </c>
      <c r="T462" s="18" t="s">
        <v>345</v>
      </c>
      <c r="U462" s="17">
        <v>2</v>
      </c>
      <c r="V462" s="17" t="s">
        <v>75</v>
      </c>
      <c r="W462" s="18">
        <v>4</v>
      </c>
      <c r="X462" s="18" t="s">
        <v>342</v>
      </c>
      <c r="Y462" s="18">
        <f t="shared" si="52"/>
        <v>0</v>
      </c>
      <c r="Z462" s="17" t="s">
        <v>343</v>
      </c>
      <c r="AA462" s="17">
        <v>1</v>
      </c>
      <c r="AB462" s="1">
        <f t="shared" si="49"/>
        <v>1</v>
      </c>
      <c r="AC462" s="1">
        <f t="shared" si="50"/>
        <v>0</v>
      </c>
      <c r="AD462" s="1">
        <f t="shared" si="51"/>
        <v>0</v>
      </c>
    </row>
    <row r="463" spans="19:30">
      <c r="S463" s="17">
        <v>14</v>
      </c>
      <c r="T463" s="18" t="s">
        <v>345</v>
      </c>
      <c r="U463" s="17">
        <v>1</v>
      </c>
      <c r="V463" s="17" t="s">
        <v>75</v>
      </c>
      <c r="W463" s="18">
        <v>3</v>
      </c>
      <c r="X463" s="18" t="s">
        <v>342</v>
      </c>
      <c r="Y463" s="18">
        <f t="shared" si="52"/>
        <v>1</v>
      </c>
      <c r="Z463" s="17" t="s">
        <v>33</v>
      </c>
      <c r="AA463" s="17">
        <v>2</v>
      </c>
      <c r="AB463" s="1">
        <f t="shared" si="49"/>
        <v>1</v>
      </c>
      <c r="AC463" s="1">
        <f t="shared" si="50"/>
        <v>0</v>
      </c>
      <c r="AD463" s="1">
        <f t="shared" si="51"/>
        <v>0</v>
      </c>
    </row>
    <row r="464" spans="19:30">
      <c r="S464" s="17">
        <v>15</v>
      </c>
      <c r="T464" s="18" t="s">
        <v>345</v>
      </c>
      <c r="U464" s="17">
        <v>1</v>
      </c>
      <c r="V464" s="17" t="s">
        <v>75</v>
      </c>
      <c r="W464" s="18">
        <v>3</v>
      </c>
      <c r="X464" s="18" t="s">
        <v>342</v>
      </c>
      <c r="Y464" s="18">
        <f t="shared" si="52"/>
        <v>1</v>
      </c>
      <c r="Z464" s="17" t="s">
        <v>61</v>
      </c>
      <c r="AA464" s="17">
        <v>2</v>
      </c>
      <c r="AB464" s="1">
        <f t="shared" si="49"/>
        <v>1</v>
      </c>
      <c r="AC464" s="1">
        <f t="shared" si="50"/>
        <v>0</v>
      </c>
      <c r="AD464" s="1">
        <f t="shared" si="51"/>
        <v>0</v>
      </c>
    </row>
    <row r="465" spans="19:30" ht="12.75" customHeight="1">
      <c r="S465" s="58" t="s">
        <v>339</v>
      </c>
      <c r="T465" s="58" t="s">
        <v>340</v>
      </c>
      <c r="U465" s="58" t="s">
        <v>341</v>
      </c>
      <c r="V465" s="58" t="s">
        <v>1</v>
      </c>
      <c r="W465" s="69" t="s">
        <v>220</v>
      </c>
      <c r="X465" s="70"/>
      <c r="Y465" s="71"/>
      <c r="Z465" s="58" t="s">
        <v>1</v>
      </c>
      <c r="AA465" s="58" t="s">
        <v>341</v>
      </c>
      <c r="AB465" s="1">
        <f t="shared" si="49"/>
        <v>1</v>
      </c>
      <c r="AC465" s="1">
        <f t="shared" si="50"/>
        <v>0</v>
      </c>
      <c r="AD465" s="1">
        <f t="shared" si="51"/>
        <v>0</v>
      </c>
    </row>
    <row r="466" spans="19:30">
      <c r="S466" s="17">
        <v>1</v>
      </c>
      <c r="T466" s="18" t="s">
        <v>345</v>
      </c>
      <c r="U466" s="17">
        <v>1</v>
      </c>
      <c r="V466" s="17" t="s">
        <v>61</v>
      </c>
      <c r="W466" s="18">
        <v>0</v>
      </c>
      <c r="X466" s="18" t="s">
        <v>342</v>
      </c>
      <c r="Y466" s="18">
        <f>IF(W466="","",4-W466)</f>
        <v>4</v>
      </c>
      <c r="Z466" s="17" t="s">
        <v>73</v>
      </c>
      <c r="AA466" s="17">
        <v>2</v>
      </c>
      <c r="AB466" s="1">
        <f t="shared" si="49"/>
        <v>0</v>
      </c>
      <c r="AC466" s="1">
        <f t="shared" si="50"/>
        <v>0</v>
      </c>
      <c r="AD466" s="1">
        <f t="shared" si="51"/>
        <v>1</v>
      </c>
    </row>
    <row r="467" spans="19:30">
      <c r="S467" s="17">
        <v>2</v>
      </c>
      <c r="T467" s="18" t="s">
        <v>345</v>
      </c>
      <c r="U467" s="17">
        <v>1</v>
      </c>
      <c r="V467" s="17" t="s">
        <v>61</v>
      </c>
      <c r="W467" s="18">
        <v>0</v>
      </c>
      <c r="X467" s="18" t="s">
        <v>342</v>
      </c>
      <c r="Y467" s="18">
        <f t="shared" ref="Y467:Y480" si="53">IF(W467="","",4-W467)</f>
        <v>4</v>
      </c>
      <c r="Z467" s="17" t="s">
        <v>35</v>
      </c>
      <c r="AA467" s="17">
        <v>2</v>
      </c>
      <c r="AB467" s="1">
        <f t="shared" si="49"/>
        <v>0</v>
      </c>
      <c r="AC467" s="1">
        <f t="shared" si="50"/>
        <v>0</v>
      </c>
      <c r="AD467" s="1">
        <f t="shared" si="51"/>
        <v>1</v>
      </c>
    </row>
    <row r="468" spans="19:30">
      <c r="S468" s="17">
        <v>3</v>
      </c>
      <c r="T468" s="18" t="s">
        <v>345</v>
      </c>
      <c r="U468" s="17">
        <v>1</v>
      </c>
      <c r="V468" s="17" t="s">
        <v>61</v>
      </c>
      <c r="W468" s="18">
        <v>0</v>
      </c>
      <c r="X468" s="18" t="s">
        <v>342</v>
      </c>
      <c r="Y468" s="18">
        <f t="shared" si="53"/>
        <v>4</v>
      </c>
      <c r="Z468" s="17" t="s">
        <v>55</v>
      </c>
      <c r="AA468" s="17">
        <v>2</v>
      </c>
      <c r="AB468" s="1">
        <f t="shared" si="49"/>
        <v>0</v>
      </c>
      <c r="AC468" s="1">
        <f t="shared" si="50"/>
        <v>0</v>
      </c>
      <c r="AD468" s="1">
        <f t="shared" si="51"/>
        <v>1</v>
      </c>
    </row>
    <row r="469" spans="19:30">
      <c r="S469" s="17">
        <v>4</v>
      </c>
      <c r="T469" s="18" t="s">
        <v>345</v>
      </c>
      <c r="U469" s="17">
        <v>1</v>
      </c>
      <c r="V469" s="17" t="s">
        <v>61</v>
      </c>
      <c r="W469" s="18">
        <v>1</v>
      </c>
      <c r="X469" s="18" t="s">
        <v>342</v>
      </c>
      <c r="Y469" s="18">
        <f t="shared" si="53"/>
        <v>3</v>
      </c>
      <c r="Z469" s="17" t="s">
        <v>63</v>
      </c>
      <c r="AA469" s="17">
        <v>2</v>
      </c>
      <c r="AB469" s="1">
        <f t="shared" si="49"/>
        <v>0</v>
      </c>
      <c r="AC469" s="1">
        <f t="shared" si="50"/>
        <v>0</v>
      </c>
      <c r="AD469" s="1">
        <f t="shared" si="51"/>
        <v>1</v>
      </c>
    </row>
    <row r="470" spans="19:30">
      <c r="S470" s="17">
        <v>5</v>
      </c>
      <c r="T470" s="18" t="s">
        <v>345</v>
      </c>
      <c r="U470" s="17">
        <v>1</v>
      </c>
      <c r="V470" s="17" t="s">
        <v>61</v>
      </c>
      <c r="W470" s="18">
        <v>0</v>
      </c>
      <c r="X470" s="18" t="s">
        <v>342</v>
      </c>
      <c r="Y470" s="18">
        <f t="shared" si="53"/>
        <v>4</v>
      </c>
      <c r="Z470" s="17" t="s">
        <v>47</v>
      </c>
      <c r="AA470" s="17">
        <v>2</v>
      </c>
      <c r="AB470" s="1">
        <f t="shared" si="49"/>
        <v>0</v>
      </c>
      <c r="AC470" s="1">
        <f t="shared" si="50"/>
        <v>0</v>
      </c>
      <c r="AD470" s="1">
        <f t="shared" si="51"/>
        <v>1</v>
      </c>
    </row>
    <row r="471" spans="19:30">
      <c r="S471" s="17">
        <v>6</v>
      </c>
      <c r="T471" s="18" t="s">
        <v>345</v>
      </c>
      <c r="U471" s="17">
        <v>2</v>
      </c>
      <c r="V471" s="17" t="s">
        <v>61</v>
      </c>
      <c r="W471" s="18">
        <v>0</v>
      </c>
      <c r="X471" s="18" t="s">
        <v>342</v>
      </c>
      <c r="Y471" s="18">
        <f t="shared" si="53"/>
        <v>4</v>
      </c>
      <c r="Z471" s="17" t="s">
        <v>71</v>
      </c>
      <c r="AA471" s="17">
        <v>1</v>
      </c>
      <c r="AB471" s="1">
        <f t="shared" si="49"/>
        <v>0</v>
      </c>
      <c r="AC471" s="1">
        <f t="shared" si="50"/>
        <v>0</v>
      </c>
      <c r="AD471" s="1">
        <f t="shared" si="51"/>
        <v>1</v>
      </c>
    </row>
    <row r="472" spans="19:30">
      <c r="S472" s="17">
        <v>7</v>
      </c>
      <c r="T472" s="18" t="s">
        <v>345</v>
      </c>
      <c r="U472" s="17">
        <v>1</v>
      </c>
      <c r="V472" s="17" t="s">
        <v>61</v>
      </c>
      <c r="W472" s="18">
        <v>0</v>
      </c>
      <c r="X472" s="18" t="s">
        <v>342</v>
      </c>
      <c r="Y472" s="18">
        <f t="shared" si="53"/>
        <v>4</v>
      </c>
      <c r="Z472" s="17" t="s">
        <v>121</v>
      </c>
      <c r="AA472" s="17">
        <v>2</v>
      </c>
      <c r="AB472" s="1">
        <f t="shared" si="49"/>
        <v>0</v>
      </c>
      <c r="AC472" s="1">
        <f t="shared" si="50"/>
        <v>0</v>
      </c>
      <c r="AD472" s="1">
        <f t="shared" si="51"/>
        <v>1</v>
      </c>
    </row>
    <row r="473" spans="19:30">
      <c r="S473" s="17">
        <v>8</v>
      </c>
      <c r="T473" s="18" t="s">
        <v>345</v>
      </c>
      <c r="U473" s="17">
        <v>2</v>
      </c>
      <c r="V473" s="17" t="s">
        <v>61</v>
      </c>
      <c r="W473" s="18">
        <v>1</v>
      </c>
      <c r="X473" s="18" t="s">
        <v>342</v>
      </c>
      <c r="Y473" s="18">
        <f t="shared" si="53"/>
        <v>3</v>
      </c>
      <c r="Z473" s="17" t="s">
        <v>59</v>
      </c>
      <c r="AA473" s="17">
        <v>1</v>
      </c>
      <c r="AB473" s="1">
        <f t="shared" si="49"/>
        <v>0</v>
      </c>
      <c r="AC473" s="1">
        <f t="shared" si="50"/>
        <v>0</v>
      </c>
      <c r="AD473" s="1">
        <f t="shared" si="51"/>
        <v>1</v>
      </c>
    </row>
    <row r="474" spans="19:30">
      <c r="S474" s="17">
        <v>9</v>
      </c>
      <c r="T474" s="18" t="s">
        <v>345</v>
      </c>
      <c r="U474" s="17">
        <v>1</v>
      </c>
      <c r="V474" s="17" t="s">
        <v>61</v>
      </c>
      <c r="W474" s="18">
        <v>3</v>
      </c>
      <c r="X474" s="18" t="s">
        <v>342</v>
      </c>
      <c r="Y474" s="18">
        <f t="shared" si="53"/>
        <v>1</v>
      </c>
      <c r="Z474" s="17" t="s">
        <v>45</v>
      </c>
      <c r="AA474" s="17">
        <v>2</v>
      </c>
      <c r="AB474" s="1">
        <f t="shared" si="49"/>
        <v>1</v>
      </c>
      <c r="AC474" s="1">
        <f t="shared" si="50"/>
        <v>0</v>
      </c>
      <c r="AD474" s="1">
        <f t="shared" si="51"/>
        <v>0</v>
      </c>
    </row>
    <row r="475" spans="19:30">
      <c r="S475" s="17">
        <v>10</v>
      </c>
      <c r="T475" s="18" t="s">
        <v>345</v>
      </c>
      <c r="U475" s="17">
        <v>1</v>
      </c>
      <c r="V475" s="17" t="s">
        <v>61</v>
      </c>
      <c r="W475" s="18">
        <v>2</v>
      </c>
      <c r="X475" s="18" t="s">
        <v>342</v>
      </c>
      <c r="Y475" s="18">
        <f t="shared" si="53"/>
        <v>2</v>
      </c>
      <c r="Z475" s="17" t="s">
        <v>57</v>
      </c>
      <c r="AA475" s="17">
        <v>2</v>
      </c>
      <c r="AB475" s="1">
        <f t="shared" si="49"/>
        <v>0</v>
      </c>
      <c r="AC475" s="1">
        <f t="shared" si="50"/>
        <v>1</v>
      </c>
      <c r="AD475" s="1">
        <f t="shared" si="51"/>
        <v>0</v>
      </c>
    </row>
    <row r="476" spans="19:30">
      <c r="S476" s="17">
        <v>11</v>
      </c>
      <c r="T476" s="18" t="s">
        <v>345</v>
      </c>
      <c r="U476" s="17">
        <v>1</v>
      </c>
      <c r="V476" s="17" t="s">
        <v>61</v>
      </c>
      <c r="W476" s="18">
        <v>3</v>
      </c>
      <c r="X476" s="18" t="s">
        <v>342</v>
      </c>
      <c r="Y476" s="18">
        <f t="shared" si="53"/>
        <v>1</v>
      </c>
      <c r="Z476" s="17" t="s">
        <v>25</v>
      </c>
      <c r="AA476" s="17">
        <v>2</v>
      </c>
      <c r="AB476" s="1">
        <f t="shared" si="49"/>
        <v>1</v>
      </c>
      <c r="AC476" s="1">
        <f t="shared" si="50"/>
        <v>0</v>
      </c>
      <c r="AD476" s="1">
        <f t="shared" si="51"/>
        <v>0</v>
      </c>
    </row>
    <row r="477" spans="19:30">
      <c r="S477" s="17">
        <v>12</v>
      </c>
      <c r="T477" s="18" t="s">
        <v>345</v>
      </c>
      <c r="U477" s="17">
        <v>2</v>
      </c>
      <c r="V477" s="17" t="s">
        <v>61</v>
      </c>
      <c r="W477" s="18">
        <v>2</v>
      </c>
      <c r="X477" s="18" t="s">
        <v>342</v>
      </c>
      <c r="Y477" s="18">
        <f t="shared" si="53"/>
        <v>2</v>
      </c>
      <c r="Z477" s="17" t="s">
        <v>31</v>
      </c>
      <c r="AA477" s="17">
        <v>1</v>
      </c>
      <c r="AB477" s="1">
        <f t="shared" si="49"/>
        <v>0</v>
      </c>
      <c r="AC477" s="1">
        <f t="shared" si="50"/>
        <v>1</v>
      </c>
      <c r="AD477" s="1">
        <f t="shared" si="51"/>
        <v>0</v>
      </c>
    </row>
    <row r="478" spans="19:30">
      <c r="S478" s="17">
        <v>13</v>
      </c>
      <c r="T478" s="18" t="s">
        <v>345</v>
      </c>
      <c r="U478" s="17">
        <v>2</v>
      </c>
      <c r="V478" s="17" t="s">
        <v>61</v>
      </c>
      <c r="W478" s="18">
        <v>2</v>
      </c>
      <c r="X478" s="18" t="s">
        <v>342</v>
      </c>
      <c r="Y478" s="18">
        <f t="shared" si="53"/>
        <v>2</v>
      </c>
      <c r="Z478" s="17" t="s">
        <v>33</v>
      </c>
      <c r="AA478" s="17">
        <v>1</v>
      </c>
      <c r="AB478" s="1">
        <f t="shared" si="49"/>
        <v>0</v>
      </c>
      <c r="AC478" s="1">
        <f t="shared" si="50"/>
        <v>1</v>
      </c>
      <c r="AD478" s="1">
        <f t="shared" si="51"/>
        <v>0</v>
      </c>
    </row>
    <row r="479" spans="19:30">
      <c r="S479" s="17">
        <v>14</v>
      </c>
      <c r="T479" s="18" t="s">
        <v>345</v>
      </c>
      <c r="U479" s="17">
        <v>2</v>
      </c>
      <c r="V479" s="17" t="s">
        <v>61</v>
      </c>
      <c r="W479" s="18">
        <v>4</v>
      </c>
      <c r="X479" s="18" t="s">
        <v>342</v>
      </c>
      <c r="Y479" s="18">
        <f t="shared" si="53"/>
        <v>0</v>
      </c>
      <c r="Z479" s="17" t="s">
        <v>343</v>
      </c>
      <c r="AA479" s="17">
        <v>1</v>
      </c>
      <c r="AB479" s="1">
        <f t="shared" si="49"/>
        <v>1</v>
      </c>
      <c r="AC479" s="1">
        <f t="shared" si="50"/>
        <v>0</v>
      </c>
      <c r="AD479" s="1">
        <f t="shared" si="51"/>
        <v>0</v>
      </c>
    </row>
    <row r="480" spans="19:30">
      <c r="S480" s="17">
        <v>15</v>
      </c>
      <c r="T480" s="18" t="s">
        <v>345</v>
      </c>
      <c r="U480" s="17">
        <v>2</v>
      </c>
      <c r="V480" s="17" t="s">
        <v>61</v>
      </c>
      <c r="W480" s="18">
        <v>1</v>
      </c>
      <c r="X480" s="18" t="s">
        <v>342</v>
      </c>
      <c r="Y480" s="18">
        <f t="shared" si="53"/>
        <v>3</v>
      </c>
      <c r="Z480" s="17" t="s">
        <v>75</v>
      </c>
      <c r="AA480" s="17">
        <v>1</v>
      </c>
      <c r="AB480" s="1">
        <f t="shared" si="49"/>
        <v>0</v>
      </c>
      <c r="AC480" s="1">
        <f t="shared" si="50"/>
        <v>0</v>
      </c>
      <c r="AD480" s="1">
        <f t="shared" si="51"/>
        <v>1</v>
      </c>
    </row>
    <row r="481" spans="19:30" ht="12.75" customHeight="1">
      <c r="S481" s="58" t="s">
        <v>339</v>
      </c>
      <c r="T481" s="58" t="s">
        <v>340</v>
      </c>
      <c r="U481" s="58" t="s">
        <v>341</v>
      </c>
      <c r="V481" s="58" t="s">
        <v>1</v>
      </c>
      <c r="W481" s="69" t="s">
        <v>220</v>
      </c>
      <c r="X481" s="70"/>
      <c r="Y481" s="71"/>
      <c r="Z481" s="58" t="s">
        <v>1</v>
      </c>
      <c r="AA481" s="58" t="s">
        <v>341</v>
      </c>
      <c r="AB481" s="1">
        <f t="shared" si="49"/>
        <v>1</v>
      </c>
      <c r="AC481" s="1">
        <f t="shared" si="50"/>
        <v>0</v>
      </c>
      <c r="AD481" s="1">
        <f t="shared" si="51"/>
        <v>0</v>
      </c>
    </row>
    <row r="482" spans="19:30">
      <c r="S482" s="17">
        <v>1</v>
      </c>
      <c r="T482" s="18" t="s">
        <v>345</v>
      </c>
      <c r="U482" s="17">
        <v>2</v>
      </c>
      <c r="V482" s="17" t="s">
        <v>33</v>
      </c>
      <c r="W482" s="18">
        <v>1</v>
      </c>
      <c r="X482" s="18" t="s">
        <v>342</v>
      </c>
      <c r="Y482" s="18">
        <f>IF(W482="","",4-W482)</f>
        <v>3</v>
      </c>
      <c r="Z482" s="17" t="s">
        <v>63</v>
      </c>
      <c r="AA482" s="17">
        <v>1</v>
      </c>
      <c r="AB482" s="1">
        <f t="shared" si="49"/>
        <v>0</v>
      </c>
      <c r="AC482" s="1">
        <f t="shared" si="50"/>
        <v>0</v>
      </c>
      <c r="AD482" s="1">
        <f t="shared" si="51"/>
        <v>1</v>
      </c>
    </row>
    <row r="483" spans="19:30">
      <c r="S483" s="17">
        <v>2</v>
      </c>
      <c r="T483" s="18" t="s">
        <v>345</v>
      </c>
      <c r="U483" s="17">
        <v>2</v>
      </c>
      <c r="V483" s="17" t="s">
        <v>33</v>
      </c>
      <c r="W483" s="18">
        <v>0</v>
      </c>
      <c r="X483" s="18" t="s">
        <v>342</v>
      </c>
      <c r="Y483" s="18">
        <f t="shared" ref="Y483:Y496" si="54">IF(W483="","",4-W483)</f>
        <v>4</v>
      </c>
      <c r="Z483" s="17" t="s">
        <v>55</v>
      </c>
      <c r="AA483" s="17">
        <v>1</v>
      </c>
      <c r="AB483" s="1">
        <f t="shared" si="49"/>
        <v>0</v>
      </c>
      <c r="AC483" s="1">
        <f t="shared" si="50"/>
        <v>0</v>
      </c>
      <c r="AD483" s="1">
        <f t="shared" si="51"/>
        <v>1</v>
      </c>
    </row>
    <row r="484" spans="19:30">
      <c r="S484" s="17">
        <v>3</v>
      </c>
      <c r="T484" s="18" t="s">
        <v>345</v>
      </c>
      <c r="U484" s="17">
        <v>1</v>
      </c>
      <c r="V484" s="17" t="s">
        <v>33</v>
      </c>
      <c r="W484" s="18">
        <v>0</v>
      </c>
      <c r="X484" s="18" t="s">
        <v>342</v>
      </c>
      <c r="Y484" s="18">
        <f t="shared" si="54"/>
        <v>4</v>
      </c>
      <c r="Z484" s="17" t="s">
        <v>35</v>
      </c>
      <c r="AA484" s="17">
        <v>2</v>
      </c>
      <c r="AB484" s="1">
        <f t="shared" si="49"/>
        <v>0</v>
      </c>
      <c r="AC484" s="1">
        <f t="shared" si="50"/>
        <v>0</v>
      </c>
      <c r="AD484" s="1">
        <f t="shared" si="51"/>
        <v>1</v>
      </c>
    </row>
    <row r="485" spans="19:30">
      <c r="S485" s="17">
        <v>4</v>
      </c>
      <c r="T485" s="18" t="s">
        <v>345</v>
      </c>
      <c r="U485" s="17">
        <v>2</v>
      </c>
      <c r="V485" s="17" t="s">
        <v>33</v>
      </c>
      <c r="W485" s="18">
        <v>0</v>
      </c>
      <c r="X485" s="18" t="s">
        <v>342</v>
      </c>
      <c r="Y485" s="18">
        <f t="shared" si="54"/>
        <v>4</v>
      </c>
      <c r="Z485" s="17" t="s">
        <v>73</v>
      </c>
      <c r="AA485" s="17">
        <v>1</v>
      </c>
      <c r="AB485" s="1">
        <f t="shared" si="49"/>
        <v>0</v>
      </c>
      <c r="AC485" s="1">
        <f t="shared" si="50"/>
        <v>0</v>
      </c>
      <c r="AD485" s="1">
        <f t="shared" si="51"/>
        <v>1</v>
      </c>
    </row>
    <row r="486" spans="19:30">
      <c r="S486" s="17">
        <v>5</v>
      </c>
      <c r="T486" s="18" t="s">
        <v>345</v>
      </c>
      <c r="U486" s="17">
        <v>1</v>
      </c>
      <c r="V486" s="17" t="s">
        <v>33</v>
      </c>
      <c r="W486" s="18">
        <v>0</v>
      </c>
      <c r="X486" s="18" t="s">
        <v>342</v>
      </c>
      <c r="Y486" s="18">
        <f t="shared" si="54"/>
        <v>4</v>
      </c>
      <c r="Z486" s="17" t="s">
        <v>59</v>
      </c>
      <c r="AA486" s="17">
        <v>2</v>
      </c>
      <c r="AB486" s="1">
        <f t="shared" si="49"/>
        <v>0</v>
      </c>
      <c r="AC486" s="1">
        <f t="shared" si="50"/>
        <v>0</v>
      </c>
      <c r="AD486" s="1">
        <f t="shared" si="51"/>
        <v>1</v>
      </c>
    </row>
    <row r="487" spans="19:30">
      <c r="S487" s="17">
        <v>6</v>
      </c>
      <c r="T487" s="18" t="s">
        <v>345</v>
      </c>
      <c r="U487" s="17">
        <v>2</v>
      </c>
      <c r="V487" s="17" t="s">
        <v>33</v>
      </c>
      <c r="W487" s="18">
        <v>0</v>
      </c>
      <c r="X487" s="18" t="s">
        <v>342</v>
      </c>
      <c r="Y487" s="18">
        <f t="shared" si="54"/>
        <v>4</v>
      </c>
      <c r="Z487" s="17" t="s">
        <v>121</v>
      </c>
      <c r="AA487" s="17">
        <v>1</v>
      </c>
      <c r="AB487" s="1">
        <f t="shared" si="49"/>
        <v>0</v>
      </c>
      <c r="AC487" s="1">
        <f t="shared" si="50"/>
        <v>0</v>
      </c>
      <c r="AD487" s="1">
        <f t="shared" si="51"/>
        <v>1</v>
      </c>
    </row>
    <row r="488" spans="19:30">
      <c r="S488" s="17">
        <v>7</v>
      </c>
      <c r="T488" s="18" t="s">
        <v>345</v>
      </c>
      <c r="U488" s="17">
        <v>1</v>
      </c>
      <c r="V488" s="17" t="s">
        <v>33</v>
      </c>
      <c r="W488" s="18">
        <v>1</v>
      </c>
      <c r="X488" s="18" t="s">
        <v>342</v>
      </c>
      <c r="Y488" s="18">
        <f t="shared" si="54"/>
        <v>3</v>
      </c>
      <c r="Z488" s="17" t="s">
        <v>71</v>
      </c>
      <c r="AA488" s="17">
        <v>2</v>
      </c>
      <c r="AB488" s="1">
        <f t="shared" si="49"/>
        <v>0</v>
      </c>
      <c r="AC488" s="1">
        <f t="shared" si="50"/>
        <v>0</v>
      </c>
      <c r="AD488" s="1">
        <f t="shared" si="51"/>
        <v>1</v>
      </c>
    </row>
    <row r="489" spans="19:30">
      <c r="S489" s="17">
        <v>8</v>
      </c>
      <c r="T489" s="18" t="s">
        <v>345</v>
      </c>
      <c r="U489" s="17">
        <v>1</v>
      </c>
      <c r="V489" s="17" t="s">
        <v>33</v>
      </c>
      <c r="W489" s="18">
        <v>0</v>
      </c>
      <c r="X489" s="18" t="s">
        <v>342</v>
      </c>
      <c r="Y489" s="18">
        <f t="shared" si="54"/>
        <v>4</v>
      </c>
      <c r="Z489" s="17" t="s">
        <v>47</v>
      </c>
      <c r="AA489" s="17">
        <v>2</v>
      </c>
      <c r="AB489" s="1">
        <f t="shared" si="49"/>
        <v>0</v>
      </c>
      <c r="AC489" s="1">
        <f t="shared" si="50"/>
        <v>0</v>
      </c>
      <c r="AD489" s="1">
        <f t="shared" si="51"/>
        <v>1</v>
      </c>
    </row>
    <row r="490" spans="19:30">
      <c r="S490" s="17">
        <v>9</v>
      </c>
      <c r="T490" s="18" t="s">
        <v>345</v>
      </c>
      <c r="U490" s="17">
        <v>2</v>
      </c>
      <c r="V490" s="17" t="s">
        <v>33</v>
      </c>
      <c r="W490" s="18">
        <v>0</v>
      </c>
      <c r="X490" s="18" t="s">
        <v>342</v>
      </c>
      <c r="Y490" s="18">
        <f t="shared" si="54"/>
        <v>4</v>
      </c>
      <c r="Z490" s="17" t="s">
        <v>31</v>
      </c>
      <c r="AA490" s="17">
        <v>1</v>
      </c>
      <c r="AB490" s="1">
        <f t="shared" si="49"/>
        <v>0</v>
      </c>
      <c r="AC490" s="1">
        <f t="shared" si="50"/>
        <v>0</v>
      </c>
      <c r="AD490" s="1">
        <f t="shared" si="51"/>
        <v>1</v>
      </c>
    </row>
    <row r="491" spans="19:30">
      <c r="S491" s="17">
        <v>10</v>
      </c>
      <c r="T491" s="18" t="s">
        <v>345</v>
      </c>
      <c r="U491" s="17">
        <v>1</v>
      </c>
      <c r="V491" s="17" t="s">
        <v>33</v>
      </c>
      <c r="W491" s="18">
        <v>0</v>
      </c>
      <c r="X491" s="18" t="s">
        <v>342</v>
      </c>
      <c r="Y491" s="18">
        <f t="shared" si="54"/>
        <v>4</v>
      </c>
      <c r="Z491" s="17" t="s">
        <v>25</v>
      </c>
      <c r="AA491" s="17">
        <v>2</v>
      </c>
      <c r="AB491" s="1">
        <f t="shared" si="49"/>
        <v>0</v>
      </c>
      <c r="AC491" s="1">
        <f t="shared" si="50"/>
        <v>0</v>
      </c>
      <c r="AD491" s="1">
        <f t="shared" si="51"/>
        <v>1</v>
      </c>
    </row>
    <row r="492" spans="19:30">
      <c r="S492" s="17">
        <v>11</v>
      </c>
      <c r="T492" s="18" t="s">
        <v>345</v>
      </c>
      <c r="U492" s="17">
        <v>2</v>
      </c>
      <c r="V492" s="17" t="s">
        <v>33</v>
      </c>
      <c r="W492" s="18">
        <v>2</v>
      </c>
      <c r="X492" s="18" t="s">
        <v>342</v>
      </c>
      <c r="Y492" s="18">
        <f t="shared" si="54"/>
        <v>2</v>
      </c>
      <c r="Z492" s="17" t="s">
        <v>57</v>
      </c>
      <c r="AA492" s="17">
        <v>1</v>
      </c>
      <c r="AB492" s="1">
        <f t="shared" si="49"/>
        <v>0</v>
      </c>
      <c r="AC492" s="1">
        <f t="shared" si="50"/>
        <v>1</v>
      </c>
      <c r="AD492" s="1">
        <f t="shared" si="51"/>
        <v>0</v>
      </c>
    </row>
    <row r="493" spans="19:30">
      <c r="S493" s="17">
        <v>12</v>
      </c>
      <c r="T493" s="18" t="s">
        <v>345</v>
      </c>
      <c r="U493" s="17">
        <v>2</v>
      </c>
      <c r="V493" s="17" t="s">
        <v>33</v>
      </c>
      <c r="W493" s="18">
        <v>2</v>
      </c>
      <c r="X493" s="18" t="s">
        <v>342</v>
      </c>
      <c r="Y493" s="18">
        <f t="shared" si="54"/>
        <v>2</v>
      </c>
      <c r="Z493" s="17" t="s">
        <v>45</v>
      </c>
      <c r="AA493" s="17">
        <v>1</v>
      </c>
      <c r="AB493" s="1">
        <f t="shared" si="49"/>
        <v>0</v>
      </c>
      <c r="AC493" s="1">
        <f t="shared" si="50"/>
        <v>1</v>
      </c>
      <c r="AD493" s="1">
        <f t="shared" si="51"/>
        <v>0</v>
      </c>
    </row>
    <row r="494" spans="19:30">
      <c r="S494" s="17">
        <v>13</v>
      </c>
      <c r="T494" s="18" t="s">
        <v>345</v>
      </c>
      <c r="U494" s="17">
        <v>1</v>
      </c>
      <c r="V494" s="17" t="s">
        <v>33</v>
      </c>
      <c r="W494" s="18">
        <v>2</v>
      </c>
      <c r="X494" s="18" t="s">
        <v>342</v>
      </c>
      <c r="Y494" s="18">
        <f t="shared" si="54"/>
        <v>2</v>
      </c>
      <c r="Z494" s="17" t="s">
        <v>61</v>
      </c>
      <c r="AA494" s="17">
        <v>2</v>
      </c>
      <c r="AB494" s="1">
        <f t="shared" si="49"/>
        <v>0</v>
      </c>
      <c r="AC494" s="1">
        <f t="shared" si="50"/>
        <v>1</v>
      </c>
      <c r="AD494" s="1">
        <f t="shared" si="51"/>
        <v>0</v>
      </c>
    </row>
    <row r="495" spans="19:30">
      <c r="S495" s="17">
        <v>14</v>
      </c>
      <c r="T495" s="18" t="s">
        <v>345</v>
      </c>
      <c r="U495" s="17">
        <v>2</v>
      </c>
      <c r="V495" s="17" t="s">
        <v>33</v>
      </c>
      <c r="W495" s="18">
        <v>1</v>
      </c>
      <c r="X495" s="18" t="s">
        <v>342</v>
      </c>
      <c r="Y495" s="18">
        <f t="shared" si="54"/>
        <v>3</v>
      </c>
      <c r="Z495" s="17" t="s">
        <v>75</v>
      </c>
      <c r="AA495" s="17">
        <v>1</v>
      </c>
      <c r="AB495" s="1">
        <f t="shared" si="49"/>
        <v>0</v>
      </c>
      <c r="AC495" s="1">
        <f t="shared" si="50"/>
        <v>0</v>
      </c>
      <c r="AD495" s="1">
        <f t="shared" si="51"/>
        <v>1</v>
      </c>
    </row>
    <row r="496" spans="19:30">
      <c r="S496" s="17">
        <v>15</v>
      </c>
      <c r="T496" s="18" t="s">
        <v>345</v>
      </c>
      <c r="U496" s="17">
        <v>2</v>
      </c>
      <c r="V496" s="17" t="s">
        <v>33</v>
      </c>
      <c r="W496" s="18">
        <v>4</v>
      </c>
      <c r="X496" s="18" t="s">
        <v>342</v>
      </c>
      <c r="Y496" s="18">
        <f t="shared" si="54"/>
        <v>0</v>
      </c>
      <c r="Z496" s="17" t="s">
        <v>343</v>
      </c>
      <c r="AA496" s="17">
        <v>1</v>
      </c>
      <c r="AB496" s="1">
        <f t="shared" si="49"/>
        <v>1</v>
      </c>
      <c r="AC496" s="1">
        <f t="shared" si="50"/>
        <v>0</v>
      </c>
      <c r="AD496" s="1">
        <f t="shared" si="51"/>
        <v>0</v>
      </c>
    </row>
    <row r="497" spans="19:30" ht="12.75" customHeight="1">
      <c r="S497" s="58" t="s">
        <v>339</v>
      </c>
      <c r="T497" s="58" t="s">
        <v>340</v>
      </c>
      <c r="U497" s="58" t="s">
        <v>341</v>
      </c>
      <c r="V497" s="58" t="s">
        <v>1</v>
      </c>
      <c r="W497" s="69" t="s">
        <v>220</v>
      </c>
      <c r="X497" s="70"/>
      <c r="Y497" s="71"/>
      <c r="Z497" s="58" t="s">
        <v>1</v>
      </c>
      <c r="AA497" s="58" t="s">
        <v>341</v>
      </c>
      <c r="AB497" s="1">
        <f t="shared" si="49"/>
        <v>1</v>
      </c>
      <c r="AC497" s="1">
        <f t="shared" si="50"/>
        <v>0</v>
      </c>
      <c r="AD497" s="1">
        <f t="shared" si="51"/>
        <v>0</v>
      </c>
    </row>
    <row r="498" spans="19:30">
      <c r="S498" s="17">
        <v>1</v>
      </c>
      <c r="T498" s="18" t="s">
        <v>345</v>
      </c>
      <c r="U498" s="17">
        <v>1</v>
      </c>
      <c r="V498" s="17" t="s">
        <v>343</v>
      </c>
      <c r="W498" s="18">
        <v>0</v>
      </c>
      <c r="X498" s="18" t="s">
        <v>342</v>
      </c>
      <c r="Y498" s="18">
        <f>IF(W498="","",4-W498)</f>
        <v>4</v>
      </c>
      <c r="Z498" s="17" t="s">
        <v>55</v>
      </c>
      <c r="AA498" s="17">
        <v>2</v>
      </c>
      <c r="AB498" s="1">
        <f t="shared" si="49"/>
        <v>0</v>
      </c>
      <c r="AC498" s="1">
        <f t="shared" si="50"/>
        <v>0</v>
      </c>
      <c r="AD498" s="1">
        <f t="shared" si="51"/>
        <v>1</v>
      </c>
    </row>
    <row r="499" spans="19:30">
      <c r="S499" s="17">
        <v>2</v>
      </c>
      <c r="T499" s="18" t="s">
        <v>345</v>
      </c>
      <c r="U499" s="17">
        <v>1</v>
      </c>
      <c r="V499" s="17" t="s">
        <v>343</v>
      </c>
      <c r="W499" s="18">
        <v>0</v>
      </c>
      <c r="X499" s="18" t="s">
        <v>342</v>
      </c>
      <c r="Y499" s="18">
        <f t="shared" ref="Y499:Y512" si="55">IF(W499="","",4-W499)</f>
        <v>4</v>
      </c>
      <c r="Z499" s="17" t="s">
        <v>63</v>
      </c>
      <c r="AA499" s="17">
        <v>2</v>
      </c>
      <c r="AB499" s="1">
        <f t="shared" si="49"/>
        <v>0</v>
      </c>
      <c r="AC499" s="1">
        <f t="shared" si="50"/>
        <v>0</v>
      </c>
      <c r="AD499" s="1">
        <f t="shared" si="51"/>
        <v>1</v>
      </c>
    </row>
    <row r="500" spans="19:30">
      <c r="S500" s="17">
        <v>3</v>
      </c>
      <c r="T500" s="18" t="s">
        <v>345</v>
      </c>
      <c r="U500" s="17">
        <v>2</v>
      </c>
      <c r="V500" s="17" t="s">
        <v>343</v>
      </c>
      <c r="W500" s="18">
        <v>0</v>
      </c>
      <c r="X500" s="18" t="s">
        <v>342</v>
      </c>
      <c r="Y500" s="18">
        <f t="shared" si="55"/>
        <v>4</v>
      </c>
      <c r="Z500" s="17" t="s">
        <v>73</v>
      </c>
      <c r="AA500" s="17">
        <v>1</v>
      </c>
      <c r="AB500" s="1">
        <f t="shared" si="49"/>
        <v>0</v>
      </c>
      <c r="AC500" s="1">
        <f t="shared" si="50"/>
        <v>0</v>
      </c>
      <c r="AD500" s="1">
        <f t="shared" si="51"/>
        <v>1</v>
      </c>
    </row>
    <row r="501" spans="19:30">
      <c r="S501" s="17">
        <v>4</v>
      </c>
      <c r="T501" s="18" t="s">
        <v>345</v>
      </c>
      <c r="U501" s="17">
        <v>2</v>
      </c>
      <c r="V501" s="17" t="s">
        <v>343</v>
      </c>
      <c r="W501" s="18">
        <v>0</v>
      </c>
      <c r="X501" s="18" t="s">
        <v>342</v>
      </c>
      <c r="Y501" s="18">
        <f t="shared" si="55"/>
        <v>4</v>
      </c>
      <c r="Z501" s="17" t="s">
        <v>35</v>
      </c>
      <c r="AA501" s="17">
        <v>1</v>
      </c>
      <c r="AB501" s="1">
        <f t="shared" si="49"/>
        <v>0</v>
      </c>
      <c r="AC501" s="1">
        <f t="shared" si="50"/>
        <v>0</v>
      </c>
      <c r="AD501" s="1">
        <f t="shared" si="51"/>
        <v>1</v>
      </c>
    </row>
    <row r="502" spans="19:30">
      <c r="S502" s="17">
        <v>5</v>
      </c>
      <c r="T502" s="18" t="s">
        <v>345</v>
      </c>
      <c r="U502" s="17">
        <v>1</v>
      </c>
      <c r="V502" s="17" t="s">
        <v>343</v>
      </c>
      <c r="W502" s="18">
        <v>0</v>
      </c>
      <c r="X502" s="18" t="s">
        <v>342</v>
      </c>
      <c r="Y502" s="18">
        <f t="shared" si="55"/>
        <v>4</v>
      </c>
      <c r="Z502" s="17" t="s">
        <v>121</v>
      </c>
      <c r="AA502" s="17">
        <v>2</v>
      </c>
      <c r="AB502" s="1">
        <f t="shared" si="49"/>
        <v>0</v>
      </c>
      <c r="AC502" s="1">
        <f t="shared" si="50"/>
        <v>0</v>
      </c>
      <c r="AD502" s="1">
        <f t="shared" si="51"/>
        <v>1</v>
      </c>
    </row>
    <row r="503" spans="19:30">
      <c r="S503" s="17">
        <v>6</v>
      </c>
      <c r="T503" s="18" t="s">
        <v>345</v>
      </c>
      <c r="U503" s="17">
        <v>1</v>
      </c>
      <c r="V503" s="17" t="s">
        <v>343</v>
      </c>
      <c r="W503" s="18">
        <v>0</v>
      </c>
      <c r="X503" s="18" t="s">
        <v>342</v>
      </c>
      <c r="Y503" s="18">
        <f t="shared" si="55"/>
        <v>4</v>
      </c>
      <c r="Z503" s="17" t="s">
        <v>59</v>
      </c>
      <c r="AA503" s="17">
        <v>2</v>
      </c>
      <c r="AB503" s="1">
        <f t="shared" si="49"/>
        <v>0</v>
      </c>
      <c r="AC503" s="1">
        <f t="shared" si="50"/>
        <v>0</v>
      </c>
      <c r="AD503" s="1">
        <f t="shared" si="51"/>
        <v>1</v>
      </c>
    </row>
    <row r="504" spans="19:30">
      <c r="S504" s="17">
        <v>7</v>
      </c>
      <c r="T504" s="18" t="s">
        <v>345</v>
      </c>
      <c r="U504" s="17">
        <v>2</v>
      </c>
      <c r="V504" s="17" t="s">
        <v>343</v>
      </c>
      <c r="W504" s="18">
        <v>0</v>
      </c>
      <c r="X504" s="18" t="s">
        <v>342</v>
      </c>
      <c r="Y504" s="18">
        <f t="shared" si="55"/>
        <v>4</v>
      </c>
      <c r="Z504" s="17" t="s">
        <v>47</v>
      </c>
      <c r="AA504" s="17">
        <v>1</v>
      </c>
      <c r="AB504" s="1">
        <f t="shared" si="49"/>
        <v>0</v>
      </c>
      <c r="AC504" s="1">
        <f t="shared" si="50"/>
        <v>0</v>
      </c>
      <c r="AD504" s="1">
        <f t="shared" si="51"/>
        <v>1</v>
      </c>
    </row>
    <row r="505" spans="19:30">
      <c r="S505" s="17">
        <v>8</v>
      </c>
      <c r="T505" s="18" t="s">
        <v>345</v>
      </c>
      <c r="U505" s="17">
        <v>2</v>
      </c>
      <c r="V505" s="17" t="s">
        <v>343</v>
      </c>
      <c r="W505" s="18">
        <v>0</v>
      </c>
      <c r="X505" s="18" t="s">
        <v>342</v>
      </c>
      <c r="Y505" s="18">
        <f t="shared" si="55"/>
        <v>4</v>
      </c>
      <c r="Z505" s="17" t="s">
        <v>71</v>
      </c>
      <c r="AA505" s="17">
        <v>1</v>
      </c>
      <c r="AB505" s="1">
        <f t="shared" si="49"/>
        <v>0</v>
      </c>
      <c r="AC505" s="1">
        <f t="shared" si="50"/>
        <v>0</v>
      </c>
      <c r="AD505" s="1">
        <f t="shared" si="51"/>
        <v>1</v>
      </c>
    </row>
    <row r="506" spans="19:30">
      <c r="S506" s="17">
        <v>9</v>
      </c>
      <c r="T506" s="18" t="s">
        <v>345</v>
      </c>
      <c r="U506" s="17">
        <v>2</v>
      </c>
      <c r="V506" s="17" t="s">
        <v>343</v>
      </c>
      <c r="W506" s="18">
        <v>0</v>
      </c>
      <c r="X506" s="18" t="s">
        <v>342</v>
      </c>
      <c r="Y506" s="18">
        <f t="shared" si="55"/>
        <v>4</v>
      </c>
      <c r="Z506" s="17" t="s">
        <v>25</v>
      </c>
      <c r="AA506" s="17">
        <v>1</v>
      </c>
      <c r="AB506" s="1">
        <f t="shared" si="49"/>
        <v>0</v>
      </c>
      <c r="AC506" s="1">
        <f t="shared" si="50"/>
        <v>0</v>
      </c>
      <c r="AD506" s="1">
        <f t="shared" si="51"/>
        <v>1</v>
      </c>
    </row>
    <row r="507" spans="19:30">
      <c r="S507" s="17">
        <v>10</v>
      </c>
      <c r="T507" s="18" t="s">
        <v>345</v>
      </c>
      <c r="U507" s="17">
        <v>1</v>
      </c>
      <c r="V507" s="17" t="s">
        <v>343</v>
      </c>
      <c r="W507" s="18">
        <v>0</v>
      </c>
      <c r="X507" s="18" t="s">
        <v>342</v>
      </c>
      <c r="Y507" s="18">
        <f t="shared" si="55"/>
        <v>4</v>
      </c>
      <c r="Z507" s="17" t="s">
        <v>31</v>
      </c>
      <c r="AA507" s="17">
        <v>2</v>
      </c>
      <c r="AB507" s="1">
        <f t="shared" si="49"/>
        <v>0</v>
      </c>
      <c r="AC507" s="1">
        <f t="shared" si="50"/>
        <v>0</v>
      </c>
      <c r="AD507" s="1">
        <f t="shared" si="51"/>
        <v>1</v>
      </c>
    </row>
    <row r="508" spans="19:30">
      <c r="S508" s="17">
        <v>11</v>
      </c>
      <c r="T508" s="18" t="s">
        <v>345</v>
      </c>
      <c r="U508" s="17">
        <v>2</v>
      </c>
      <c r="V508" s="17" t="s">
        <v>343</v>
      </c>
      <c r="W508" s="18">
        <v>0</v>
      </c>
      <c r="X508" s="18" t="s">
        <v>342</v>
      </c>
      <c r="Y508" s="18">
        <f t="shared" si="55"/>
        <v>4</v>
      </c>
      <c r="Z508" s="17" t="s">
        <v>45</v>
      </c>
      <c r="AA508" s="17">
        <v>1</v>
      </c>
      <c r="AB508" s="1">
        <f t="shared" si="49"/>
        <v>0</v>
      </c>
      <c r="AC508" s="1">
        <f t="shared" si="50"/>
        <v>0</v>
      </c>
      <c r="AD508" s="1">
        <f t="shared" si="51"/>
        <v>1</v>
      </c>
    </row>
    <row r="509" spans="19:30">
      <c r="S509" s="17">
        <v>12</v>
      </c>
      <c r="T509" s="18" t="s">
        <v>345</v>
      </c>
      <c r="U509" s="17">
        <v>2</v>
      </c>
      <c r="V509" s="17" t="s">
        <v>343</v>
      </c>
      <c r="W509" s="18">
        <v>0</v>
      </c>
      <c r="X509" s="18" t="s">
        <v>342</v>
      </c>
      <c r="Y509" s="18">
        <f t="shared" si="55"/>
        <v>4</v>
      </c>
      <c r="Z509" s="17" t="s">
        <v>57</v>
      </c>
      <c r="AA509" s="17">
        <v>1</v>
      </c>
      <c r="AB509" s="1">
        <f t="shared" si="49"/>
        <v>0</v>
      </c>
      <c r="AC509" s="1">
        <f t="shared" si="50"/>
        <v>0</v>
      </c>
      <c r="AD509" s="1">
        <f t="shared" si="51"/>
        <v>1</v>
      </c>
    </row>
    <row r="510" spans="19:30">
      <c r="S510" s="17">
        <v>13</v>
      </c>
      <c r="T510" s="18" t="s">
        <v>345</v>
      </c>
      <c r="U510" s="17">
        <v>1</v>
      </c>
      <c r="V510" s="17" t="s">
        <v>343</v>
      </c>
      <c r="W510" s="18">
        <v>0</v>
      </c>
      <c r="X510" s="18" t="s">
        <v>342</v>
      </c>
      <c r="Y510" s="18">
        <f t="shared" si="55"/>
        <v>4</v>
      </c>
      <c r="Z510" s="17" t="s">
        <v>75</v>
      </c>
      <c r="AA510" s="17">
        <v>2</v>
      </c>
      <c r="AB510" s="1">
        <f t="shared" si="49"/>
        <v>0</v>
      </c>
      <c r="AC510" s="1">
        <f t="shared" si="50"/>
        <v>0</v>
      </c>
      <c r="AD510" s="1">
        <f t="shared" si="51"/>
        <v>1</v>
      </c>
    </row>
    <row r="511" spans="19:30">
      <c r="S511" s="17">
        <v>14</v>
      </c>
      <c r="T511" s="18" t="s">
        <v>345</v>
      </c>
      <c r="U511" s="17">
        <v>1</v>
      </c>
      <c r="V511" s="17" t="s">
        <v>343</v>
      </c>
      <c r="W511" s="18">
        <v>0</v>
      </c>
      <c r="X511" s="18" t="s">
        <v>342</v>
      </c>
      <c r="Y511" s="18">
        <f t="shared" si="55"/>
        <v>4</v>
      </c>
      <c r="Z511" s="17" t="s">
        <v>61</v>
      </c>
      <c r="AA511" s="17">
        <v>2</v>
      </c>
      <c r="AB511" s="1">
        <f t="shared" si="49"/>
        <v>0</v>
      </c>
      <c r="AC511" s="1">
        <f t="shared" si="50"/>
        <v>0</v>
      </c>
      <c r="AD511" s="1">
        <f t="shared" si="51"/>
        <v>1</v>
      </c>
    </row>
    <row r="512" spans="19:30">
      <c r="S512" s="17">
        <v>15</v>
      </c>
      <c r="T512" s="18" t="s">
        <v>345</v>
      </c>
      <c r="U512" s="17">
        <v>1</v>
      </c>
      <c r="V512" s="17" t="s">
        <v>343</v>
      </c>
      <c r="W512" s="18">
        <v>0</v>
      </c>
      <c r="X512" s="18" t="s">
        <v>342</v>
      </c>
      <c r="Y512" s="18">
        <f t="shared" si="55"/>
        <v>4</v>
      </c>
      <c r="Z512" s="17" t="s">
        <v>33</v>
      </c>
      <c r="AA512" s="17">
        <v>2</v>
      </c>
      <c r="AB512" s="1">
        <f t="shared" si="49"/>
        <v>0</v>
      </c>
      <c r="AC512" s="1">
        <f t="shared" si="50"/>
        <v>0</v>
      </c>
      <c r="AD512" s="1">
        <f t="shared" si="51"/>
        <v>1</v>
      </c>
    </row>
    <row r="513" spans="19:30">
      <c r="S513" s="58" t="s">
        <v>339</v>
      </c>
      <c r="T513" s="58" t="s">
        <v>340</v>
      </c>
      <c r="U513" s="58" t="s">
        <v>341</v>
      </c>
      <c r="V513" s="58" t="s">
        <v>1</v>
      </c>
      <c r="W513" s="66" t="s">
        <v>220</v>
      </c>
      <c r="X513" s="66"/>
      <c r="Y513" s="66"/>
      <c r="Z513" s="58" t="s">
        <v>1</v>
      </c>
      <c r="AA513" s="58" t="s">
        <v>341</v>
      </c>
      <c r="AB513" s="1">
        <f t="shared" ref="AB513:AB576" si="56">IF(W513="",0,IF(W513&gt;Y513,1,0))</f>
        <v>1</v>
      </c>
      <c r="AC513" s="1">
        <f t="shared" ref="AC513:AC576" si="57">IF(W513="",0,IF(W513=Y513,1,0))</f>
        <v>0</v>
      </c>
      <c r="AD513" s="1">
        <f t="shared" ref="AD513:AD576" si="58">IF(W513="",0,IF(W513&lt;Y513,1,0))</f>
        <v>0</v>
      </c>
    </row>
    <row r="514" spans="19:30">
      <c r="S514" s="17">
        <v>1</v>
      </c>
      <c r="T514" s="18"/>
      <c r="U514" s="17">
        <v>1</v>
      </c>
      <c r="V514" s="17" t="s">
        <v>115</v>
      </c>
      <c r="W514" s="18">
        <v>4</v>
      </c>
      <c r="X514" s="18" t="s">
        <v>342</v>
      </c>
      <c r="Y514" s="18">
        <f>IF(W514="","",4-W514)</f>
        <v>0</v>
      </c>
      <c r="Z514" s="17" t="s">
        <v>343</v>
      </c>
      <c r="AA514" s="17">
        <v>2</v>
      </c>
      <c r="AB514" s="1">
        <f t="shared" si="56"/>
        <v>1</v>
      </c>
      <c r="AC514" s="1">
        <f t="shared" si="57"/>
        <v>0</v>
      </c>
      <c r="AD514" s="1">
        <f t="shared" si="58"/>
        <v>0</v>
      </c>
    </row>
    <row r="515" spans="19:30">
      <c r="S515" s="17">
        <v>2</v>
      </c>
      <c r="T515" s="18"/>
      <c r="U515" s="17">
        <v>1</v>
      </c>
      <c r="V515" s="17" t="s">
        <v>115</v>
      </c>
      <c r="W515" s="18">
        <v>4</v>
      </c>
      <c r="X515" s="18" t="s">
        <v>342</v>
      </c>
      <c r="Y515" s="18">
        <f t="shared" ref="Y515:Y528" si="59">IF(W515="","",4-W515)</f>
        <v>0</v>
      </c>
      <c r="Z515" s="17" t="s">
        <v>131</v>
      </c>
      <c r="AA515" s="17">
        <v>2</v>
      </c>
      <c r="AB515" s="1">
        <f t="shared" si="56"/>
        <v>1</v>
      </c>
      <c r="AC515" s="1">
        <f t="shared" si="57"/>
        <v>0</v>
      </c>
      <c r="AD515" s="1">
        <f t="shared" si="58"/>
        <v>0</v>
      </c>
    </row>
    <row r="516" spans="19:30">
      <c r="S516" s="17">
        <v>3</v>
      </c>
      <c r="T516" s="18"/>
      <c r="U516" s="17">
        <v>2</v>
      </c>
      <c r="V516" s="17" t="s">
        <v>115</v>
      </c>
      <c r="W516" s="18">
        <v>4</v>
      </c>
      <c r="X516" s="18" t="s">
        <v>342</v>
      </c>
      <c r="Y516" s="18">
        <f t="shared" si="59"/>
        <v>0</v>
      </c>
      <c r="Z516" s="17" t="s">
        <v>18</v>
      </c>
      <c r="AA516" s="17">
        <v>1</v>
      </c>
      <c r="AB516" s="1">
        <f t="shared" si="56"/>
        <v>1</v>
      </c>
      <c r="AC516" s="1">
        <f t="shared" si="57"/>
        <v>0</v>
      </c>
      <c r="AD516" s="1">
        <f t="shared" si="58"/>
        <v>0</v>
      </c>
    </row>
    <row r="517" spans="19:30">
      <c r="S517" s="17">
        <v>4</v>
      </c>
      <c r="T517" s="18"/>
      <c r="U517" s="17">
        <v>1</v>
      </c>
      <c r="V517" s="17" t="s">
        <v>115</v>
      </c>
      <c r="W517" s="18">
        <v>4</v>
      </c>
      <c r="X517" s="18" t="s">
        <v>342</v>
      </c>
      <c r="Y517" s="18">
        <f t="shared" si="59"/>
        <v>0</v>
      </c>
      <c r="Z517" s="17" t="s">
        <v>43</v>
      </c>
      <c r="AA517" s="17">
        <v>2</v>
      </c>
      <c r="AB517" s="1">
        <f t="shared" si="56"/>
        <v>1</v>
      </c>
      <c r="AC517" s="1">
        <f t="shared" si="57"/>
        <v>0</v>
      </c>
      <c r="AD517" s="1">
        <f t="shared" si="58"/>
        <v>0</v>
      </c>
    </row>
    <row r="518" spans="19:30">
      <c r="S518" s="17">
        <v>5</v>
      </c>
      <c r="T518" s="18"/>
      <c r="U518" s="17">
        <v>1</v>
      </c>
      <c r="V518" s="17" t="s">
        <v>115</v>
      </c>
      <c r="W518" s="18">
        <v>4</v>
      </c>
      <c r="X518" s="18" t="s">
        <v>342</v>
      </c>
      <c r="Y518" s="18">
        <f t="shared" si="59"/>
        <v>0</v>
      </c>
      <c r="Z518" s="17" t="s">
        <v>95</v>
      </c>
      <c r="AA518" s="17">
        <v>2</v>
      </c>
      <c r="AB518" s="1">
        <f t="shared" si="56"/>
        <v>1</v>
      </c>
      <c r="AC518" s="1">
        <f t="shared" si="57"/>
        <v>0</v>
      </c>
      <c r="AD518" s="1">
        <f t="shared" si="58"/>
        <v>0</v>
      </c>
    </row>
    <row r="519" spans="19:30">
      <c r="S519" s="17">
        <v>6</v>
      </c>
      <c r="T519" s="18"/>
      <c r="U519" s="17">
        <v>1</v>
      </c>
      <c r="V519" s="17" t="s">
        <v>115</v>
      </c>
      <c r="W519" s="18">
        <v>4</v>
      </c>
      <c r="X519" s="18" t="s">
        <v>342</v>
      </c>
      <c r="Y519" s="18">
        <f t="shared" si="59"/>
        <v>0</v>
      </c>
      <c r="Z519" s="17" t="s">
        <v>65</v>
      </c>
      <c r="AA519" s="17">
        <v>2</v>
      </c>
      <c r="AB519" s="1">
        <f t="shared" si="56"/>
        <v>1</v>
      </c>
      <c r="AC519" s="1">
        <f t="shared" si="57"/>
        <v>0</v>
      </c>
      <c r="AD519" s="1">
        <f t="shared" si="58"/>
        <v>0</v>
      </c>
    </row>
    <row r="520" spans="19:30">
      <c r="S520" s="17">
        <v>7</v>
      </c>
      <c r="T520" s="18"/>
      <c r="U520" s="17">
        <v>1</v>
      </c>
      <c r="V520" s="17" t="s">
        <v>115</v>
      </c>
      <c r="W520" s="18">
        <v>4</v>
      </c>
      <c r="X520" s="18" t="s">
        <v>342</v>
      </c>
      <c r="Y520" s="18">
        <f t="shared" si="59"/>
        <v>0</v>
      </c>
      <c r="Z520" s="17" t="s">
        <v>41</v>
      </c>
      <c r="AA520" s="17">
        <v>2</v>
      </c>
      <c r="AB520" s="1">
        <f t="shared" si="56"/>
        <v>1</v>
      </c>
      <c r="AC520" s="1">
        <f t="shared" si="57"/>
        <v>0</v>
      </c>
      <c r="AD520" s="1">
        <f t="shared" si="58"/>
        <v>0</v>
      </c>
    </row>
    <row r="521" spans="19:30">
      <c r="S521" s="17">
        <v>8</v>
      </c>
      <c r="T521" s="18"/>
      <c r="U521" s="17">
        <v>1</v>
      </c>
      <c r="V521" s="17" t="s">
        <v>115</v>
      </c>
      <c r="W521" s="18">
        <v>4</v>
      </c>
      <c r="X521" s="18" t="s">
        <v>342</v>
      </c>
      <c r="Y521" s="18">
        <f t="shared" si="59"/>
        <v>0</v>
      </c>
      <c r="Z521" s="17" t="s">
        <v>127</v>
      </c>
      <c r="AA521" s="17">
        <v>2</v>
      </c>
      <c r="AB521" s="1">
        <f t="shared" si="56"/>
        <v>1</v>
      </c>
      <c r="AC521" s="1">
        <f t="shared" si="57"/>
        <v>0</v>
      </c>
      <c r="AD521" s="1">
        <f t="shared" si="58"/>
        <v>0</v>
      </c>
    </row>
    <row r="522" spans="19:30">
      <c r="S522" s="17">
        <v>9</v>
      </c>
      <c r="T522" s="18"/>
      <c r="U522" s="17">
        <v>1</v>
      </c>
      <c r="V522" s="17" t="s">
        <v>115</v>
      </c>
      <c r="W522" s="18">
        <v>4</v>
      </c>
      <c r="X522" s="18" t="s">
        <v>342</v>
      </c>
      <c r="Y522" s="18">
        <f t="shared" si="59"/>
        <v>0</v>
      </c>
      <c r="Z522" s="17" t="s">
        <v>99</v>
      </c>
      <c r="AA522" s="17">
        <v>2</v>
      </c>
      <c r="AB522" s="1">
        <f t="shared" si="56"/>
        <v>1</v>
      </c>
      <c r="AC522" s="1">
        <f t="shared" si="57"/>
        <v>0</v>
      </c>
      <c r="AD522" s="1">
        <f t="shared" si="58"/>
        <v>0</v>
      </c>
    </row>
    <row r="523" spans="19:30">
      <c r="S523" s="17">
        <v>10</v>
      </c>
      <c r="T523" s="18"/>
      <c r="U523" s="17">
        <v>2</v>
      </c>
      <c r="V523" s="17" t="s">
        <v>115</v>
      </c>
      <c r="W523" s="18">
        <v>4</v>
      </c>
      <c r="X523" s="18" t="s">
        <v>342</v>
      </c>
      <c r="Y523" s="18">
        <f t="shared" si="59"/>
        <v>0</v>
      </c>
      <c r="Z523" s="17" t="s">
        <v>101</v>
      </c>
      <c r="AA523" s="17">
        <v>1</v>
      </c>
      <c r="AB523" s="1">
        <f t="shared" si="56"/>
        <v>1</v>
      </c>
      <c r="AC523" s="1">
        <f t="shared" si="57"/>
        <v>0</v>
      </c>
      <c r="AD523" s="1">
        <f t="shared" si="58"/>
        <v>0</v>
      </c>
    </row>
    <row r="524" spans="19:30">
      <c r="S524" s="17">
        <v>11</v>
      </c>
      <c r="T524" s="18"/>
      <c r="U524" s="17">
        <v>2</v>
      </c>
      <c r="V524" s="17" t="s">
        <v>115</v>
      </c>
      <c r="W524" s="18">
        <v>4</v>
      </c>
      <c r="X524" s="18" t="s">
        <v>342</v>
      </c>
      <c r="Y524" s="18">
        <f t="shared" si="59"/>
        <v>0</v>
      </c>
      <c r="Z524" s="17" t="s">
        <v>83</v>
      </c>
      <c r="AA524" s="17">
        <v>1</v>
      </c>
      <c r="AB524" s="1">
        <f t="shared" si="56"/>
        <v>1</v>
      </c>
      <c r="AC524" s="1">
        <f t="shared" si="57"/>
        <v>0</v>
      </c>
      <c r="AD524" s="1">
        <f t="shared" si="58"/>
        <v>0</v>
      </c>
    </row>
    <row r="525" spans="19:30">
      <c r="S525" s="17">
        <v>12</v>
      </c>
      <c r="T525" s="18"/>
      <c r="U525" s="17">
        <v>2</v>
      </c>
      <c r="V525" s="17" t="s">
        <v>115</v>
      </c>
      <c r="W525" s="18">
        <v>4</v>
      </c>
      <c r="X525" s="18" t="s">
        <v>342</v>
      </c>
      <c r="Y525" s="18">
        <f t="shared" si="59"/>
        <v>0</v>
      </c>
      <c r="Z525" s="17" t="s">
        <v>67</v>
      </c>
      <c r="AA525" s="17">
        <v>1</v>
      </c>
      <c r="AB525" s="1">
        <f t="shared" si="56"/>
        <v>1</v>
      </c>
      <c r="AC525" s="1">
        <f t="shared" si="57"/>
        <v>0</v>
      </c>
      <c r="AD525" s="1">
        <f t="shared" si="58"/>
        <v>0</v>
      </c>
    </row>
    <row r="526" spans="19:30">
      <c r="S526" s="17">
        <v>13</v>
      </c>
      <c r="T526" s="18"/>
      <c r="U526" s="17">
        <v>1</v>
      </c>
      <c r="V526" s="17" t="s">
        <v>115</v>
      </c>
      <c r="W526" s="18">
        <v>4</v>
      </c>
      <c r="X526" s="18" t="s">
        <v>342</v>
      </c>
      <c r="Y526" s="18">
        <f t="shared" si="59"/>
        <v>0</v>
      </c>
      <c r="Z526" s="17" t="s">
        <v>37</v>
      </c>
      <c r="AA526" s="17">
        <v>2</v>
      </c>
      <c r="AB526" s="1">
        <f t="shared" si="56"/>
        <v>1</v>
      </c>
      <c r="AC526" s="1">
        <f t="shared" si="57"/>
        <v>0</v>
      </c>
      <c r="AD526" s="1">
        <f t="shared" si="58"/>
        <v>0</v>
      </c>
    </row>
    <row r="527" spans="19:30">
      <c r="S527" s="17">
        <v>14</v>
      </c>
      <c r="T527" s="18"/>
      <c r="U527" s="17">
        <v>2</v>
      </c>
      <c r="V527" s="17" t="s">
        <v>115</v>
      </c>
      <c r="W527" s="18">
        <v>4</v>
      </c>
      <c r="X527" s="18" t="s">
        <v>342</v>
      </c>
      <c r="Y527" s="18">
        <f t="shared" si="59"/>
        <v>0</v>
      </c>
      <c r="Z527" s="17" t="s">
        <v>49</v>
      </c>
      <c r="AA527" s="17">
        <v>1</v>
      </c>
      <c r="AB527" s="1">
        <f t="shared" si="56"/>
        <v>1</v>
      </c>
      <c r="AC527" s="1">
        <f t="shared" si="57"/>
        <v>0</v>
      </c>
      <c r="AD527" s="1">
        <f t="shared" si="58"/>
        <v>0</v>
      </c>
    </row>
    <row r="528" spans="19:30">
      <c r="S528" s="17">
        <v>15</v>
      </c>
      <c r="T528" s="18"/>
      <c r="U528" s="17">
        <v>1</v>
      </c>
      <c r="V528" s="17" t="s">
        <v>115</v>
      </c>
      <c r="W528" s="18">
        <v>3</v>
      </c>
      <c r="X528" s="18" t="s">
        <v>342</v>
      </c>
      <c r="Y528" s="18">
        <f t="shared" si="59"/>
        <v>1</v>
      </c>
      <c r="Z528" s="17" t="s">
        <v>123</v>
      </c>
      <c r="AA528" s="17">
        <v>2</v>
      </c>
      <c r="AB528" s="1">
        <f t="shared" si="56"/>
        <v>1</v>
      </c>
      <c r="AC528" s="1">
        <f t="shared" si="57"/>
        <v>0</v>
      </c>
      <c r="AD528" s="1">
        <f t="shared" si="58"/>
        <v>0</v>
      </c>
    </row>
    <row r="529" spans="19:30">
      <c r="S529" s="58" t="s">
        <v>339</v>
      </c>
      <c r="T529" s="58" t="s">
        <v>340</v>
      </c>
      <c r="U529" s="58" t="s">
        <v>341</v>
      </c>
      <c r="V529" s="58" t="s">
        <v>1</v>
      </c>
      <c r="W529" s="66" t="s">
        <v>220</v>
      </c>
      <c r="X529" s="66"/>
      <c r="Y529" s="66"/>
      <c r="Z529" s="58" t="s">
        <v>1</v>
      </c>
      <c r="AA529" s="58" t="s">
        <v>341</v>
      </c>
      <c r="AB529" s="1">
        <f t="shared" si="56"/>
        <v>1</v>
      </c>
      <c r="AC529" s="1">
        <f t="shared" si="57"/>
        <v>0</v>
      </c>
      <c r="AD529" s="1">
        <f t="shared" si="58"/>
        <v>0</v>
      </c>
    </row>
    <row r="530" spans="19:30">
      <c r="S530" s="17">
        <v>1</v>
      </c>
      <c r="T530" s="18"/>
      <c r="U530" s="17">
        <v>1</v>
      </c>
      <c r="V530" s="17" t="s">
        <v>123</v>
      </c>
      <c r="W530" s="18">
        <v>4</v>
      </c>
      <c r="X530" s="18" t="s">
        <v>342</v>
      </c>
      <c r="Y530" s="18">
        <f>IF(W530="","",4-W530)</f>
        <v>0</v>
      </c>
      <c r="Z530" s="17" t="s">
        <v>131</v>
      </c>
      <c r="AA530" s="17">
        <v>2</v>
      </c>
      <c r="AB530" s="1">
        <f t="shared" si="56"/>
        <v>1</v>
      </c>
      <c r="AC530" s="1">
        <f t="shared" si="57"/>
        <v>0</v>
      </c>
      <c r="AD530" s="1">
        <f t="shared" si="58"/>
        <v>0</v>
      </c>
    </row>
    <row r="531" spans="19:30">
      <c r="S531" s="17">
        <v>2</v>
      </c>
      <c r="T531" s="18"/>
      <c r="U531" s="17">
        <v>2</v>
      </c>
      <c r="V531" s="17" t="s">
        <v>123</v>
      </c>
      <c r="W531" s="18">
        <v>4</v>
      </c>
      <c r="X531" s="18" t="s">
        <v>342</v>
      </c>
      <c r="Y531" s="18">
        <f t="shared" ref="Y531:Y544" si="60">IF(W531="","",4-W531)</f>
        <v>0</v>
      </c>
      <c r="Z531" s="17" t="s">
        <v>343</v>
      </c>
      <c r="AA531" s="17">
        <v>1</v>
      </c>
      <c r="AB531" s="1">
        <f t="shared" si="56"/>
        <v>1</v>
      </c>
      <c r="AC531" s="1">
        <f t="shared" si="57"/>
        <v>0</v>
      </c>
      <c r="AD531" s="1">
        <f t="shared" si="58"/>
        <v>0</v>
      </c>
    </row>
    <row r="532" spans="19:30">
      <c r="S532" s="17">
        <v>3</v>
      </c>
      <c r="T532" s="18"/>
      <c r="U532" s="17">
        <v>2</v>
      </c>
      <c r="V532" s="17" t="s">
        <v>123</v>
      </c>
      <c r="W532" s="18">
        <v>4</v>
      </c>
      <c r="X532" s="18" t="s">
        <v>342</v>
      </c>
      <c r="Y532" s="18">
        <f t="shared" si="60"/>
        <v>0</v>
      </c>
      <c r="Z532" s="17" t="s">
        <v>43</v>
      </c>
      <c r="AA532" s="17">
        <v>1</v>
      </c>
      <c r="AB532" s="1">
        <f t="shared" si="56"/>
        <v>1</v>
      </c>
      <c r="AC532" s="1">
        <f t="shared" si="57"/>
        <v>0</v>
      </c>
      <c r="AD532" s="1">
        <f t="shared" si="58"/>
        <v>0</v>
      </c>
    </row>
    <row r="533" spans="19:30">
      <c r="S533" s="17">
        <v>4</v>
      </c>
      <c r="T533" s="18"/>
      <c r="U533" s="17">
        <v>2</v>
      </c>
      <c r="V533" s="17" t="s">
        <v>123</v>
      </c>
      <c r="W533" s="18">
        <v>4</v>
      </c>
      <c r="X533" s="18" t="s">
        <v>342</v>
      </c>
      <c r="Y533" s="18">
        <f t="shared" si="60"/>
        <v>0</v>
      </c>
      <c r="Z533" s="17" t="s">
        <v>18</v>
      </c>
      <c r="AA533" s="17">
        <v>1</v>
      </c>
      <c r="AB533" s="1">
        <f t="shared" si="56"/>
        <v>1</v>
      </c>
      <c r="AC533" s="1">
        <f t="shared" si="57"/>
        <v>0</v>
      </c>
      <c r="AD533" s="1">
        <f t="shared" si="58"/>
        <v>0</v>
      </c>
    </row>
    <row r="534" spans="19:30">
      <c r="S534" s="17">
        <v>5</v>
      </c>
      <c r="T534" s="18"/>
      <c r="U534" s="17">
        <v>1</v>
      </c>
      <c r="V534" s="17" t="s">
        <v>123</v>
      </c>
      <c r="W534" s="18">
        <v>4</v>
      </c>
      <c r="X534" s="18" t="s">
        <v>342</v>
      </c>
      <c r="Y534" s="18">
        <f t="shared" si="60"/>
        <v>0</v>
      </c>
      <c r="Z534" s="17" t="s">
        <v>65</v>
      </c>
      <c r="AA534" s="17">
        <v>2</v>
      </c>
      <c r="AB534" s="1">
        <f t="shared" si="56"/>
        <v>1</v>
      </c>
      <c r="AC534" s="1">
        <f t="shared" si="57"/>
        <v>0</v>
      </c>
      <c r="AD534" s="1">
        <f t="shared" si="58"/>
        <v>0</v>
      </c>
    </row>
    <row r="535" spans="19:30">
      <c r="S535" s="17">
        <v>6</v>
      </c>
      <c r="T535" s="18"/>
      <c r="U535" s="17">
        <v>2</v>
      </c>
      <c r="V535" s="17" t="s">
        <v>123</v>
      </c>
      <c r="W535" s="18">
        <v>4</v>
      </c>
      <c r="X535" s="18" t="s">
        <v>342</v>
      </c>
      <c r="Y535" s="18">
        <f t="shared" si="60"/>
        <v>0</v>
      </c>
      <c r="Z535" s="17" t="s">
        <v>95</v>
      </c>
      <c r="AA535" s="17">
        <v>1</v>
      </c>
      <c r="AB535" s="1">
        <f t="shared" si="56"/>
        <v>1</v>
      </c>
      <c r="AC535" s="1">
        <f t="shared" si="57"/>
        <v>0</v>
      </c>
      <c r="AD535" s="1">
        <f t="shared" si="58"/>
        <v>0</v>
      </c>
    </row>
    <row r="536" spans="19:30">
      <c r="S536" s="17">
        <v>7</v>
      </c>
      <c r="T536" s="18"/>
      <c r="U536" s="17">
        <v>1</v>
      </c>
      <c r="V536" s="17" t="s">
        <v>123</v>
      </c>
      <c r="W536" s="18">
        <v>4</v>
      </c>
      <c r="X536" s="18" t="s">
        <v>342</v>
      </c>
      <c r="Y536" s="18">
        <f t="shared" si="60"/>
        <v>0</v>
      </c>
      <c r="Z536" s="17" t="s">
        <v>127</v>
      </c>
      <c r="AA536" s="17">
        <v>2</v>
      </c>
      <c r="AB536" s="1">
        <f t="shared" si="56"/>
        <v>1</v>
      </c>
      <c r="AC536" s="1">
        <f t="shared" si="57"/>
        <v>0</v>
      </c>
      <c r="AD536" s="1">
        <f t="shared" si="58"/>
        <v>0</v>
      </c>
    </row>
    <row r="537" spans="19:30">
      <c r="S537" s="17">
        <v>8</v>
      </c>
      <c r="T537" s="18"/>
      <c r="U537" s="17">
        <v>1</v>
      </c>
      <c r="V537" s="17" t="s">
        <v>123</v>
      </c>
      <c r="W537" s="18">
        <v>4</v>
      </c>
      <c r="X537" s="18" t="s">
        <v>342</v>
      </c>
      <c r="Y537" s="18">
        <f t="shared" si="60"/>
        <v>0</v>
      </c>
      <c r="Z537" s="17" t="s">
        <v>41</v>
      </c>
      <c r="AA537" s="17">
        <v>2</v>
      </c>
      <c r="AB537" s="1">
        <f t="shared" si="56"/>
        <v>1</v>
      </c>
      <c r="AC537" s="1">
        <f t="shared" si="57"/>
        <v>0</v>
      </c>
      <c r="AD537" s="1">
        <f t="shared" si="58"/>
        <v>0</v>
      </c>
    </row>
    <row r="538" spans="19:30">
      <c r="S538" s="17">
        <v>9</v>
      </c>
      <c r="T538" s="18"/>
      <c r="U538" s="17">
        <v>2</v>
      </c>
      <c r="V538" s="17" t="s">
        <v>123</v>
      </c>
      <c r="W538" s="18">
        <v>4</v>
      </c>
      <c r="X538" s="18" t="s">
        <v>342</v>
      </c>
      <c r="Y538" s="18">
        <f t="shared" si="60"/>
        <v>0</v>
      </c>
      <c r="Z538" s="17" t="s">
        <v>101</v>
      </c>
      <c r="AA538" s="17">
        <v>1</v>
      </c>
      <c r="AB538" s="1">
        <f t="shared" si="56"/>
        <v>1</v>
      </c>
      <c r="AC538" s="1">
        <f t="shared" si="57"/>
        <v>0</v>
      </c>
      <c r="AD538" s="1">
        <f t="shared" si="58"/>
        <v>0</v>
      </c>
    </row>
    <row r="539" spans="19:30">
      <c r="S539" s="17">
        <v>10</v>
      </c>
      <c r="T539" s="18"/>
      <c r="U539" s="17">
        <v>2</v>
      </c>
      <c r="V539" s="17" t="s">
        <v>123</v>
      </c>
      <c r="W539" s="18">
        <v>3</v>
      </c>
      <c r="X539" s="18" t="s">
        <v>342</v>
      </c>
      <c r="Y539" s="18">
        <f t="shared" si="60"/>
        <v>1</v>
      </c>
      <c r="Z539" s="17" t="s">
        <v>99</v>
      </c>
      <c r="AA539" s="17">
        <v>1</v>
      </c>
      <c r="AB539" s="1">
        <f t="shared" si="56"/>
        <v>1</v>
      </c>
      <c r="AC539" s="1">
        <f t="shared" si="57"/>
        <v>0</v>
      </c>
      <c r="AD539" s="1">
        <f t="shared" si="58"/>
        <v>0</v>
      </c>
    </row>
    <row r="540" spans="19:30">
      <c r="S540" s="17">
        <v>11</v>
      </c>
      <c r="T540" s="18"/>
      <c r="U540" s="17">
        <v>1</v>
      </c>
      <c r="V540" s="17" t="s">
        <v>123</v>
      </c>
      <c r="W540" s="18">
        <v>2</v>
      </c>
      <c r="X540" s="18" t="s">
        <v>342</v>
      </c>
      <c r="Y540" s="18">
        <f t="shared" si="60"/>
        <v>2</v>
      </c>
      <c r="Z540" s="17" t="s">
        <v>67</v>
      </c>
      <c r="AA540" s="17">
        <v>2</v>
      </c>
      <c r="AB540" s="1">
        <f t="shared" si="56"/>
        <v>0</v>
      </c>
      <c r="AC540" s="1">
        <f t="shared" si="57"/>
        <v>1</v>
      </c>
      <c r="AD540" s="1">
        <f t="shared" si="58"/>
        <v>0</v>
      </c>
    </row>
    <row r="541" spans="19:30">
      <c r="S541" s="17">
        <v>12</v>
      </c>
      <c r="T541" s="18"/>
      <c r="U541" s="17">
        <v>2</v>
      </c>
      <c r="V541" s="17" t="s">
        <v>123</v>
      </c>
      <c r="W541" s="18">
        <v>3</v>
      </c>
      <c r="X541" s="18" t="s">
        <v>342</v>
      </c>
      <c r="Y541" s="18">
        <f t="shared" si="60"/>
        <v>1</v>
      </c>
      <c r="Z541" s="17" t="s">
        <v>83</v>
      </c>
      <c r="AA541" s="17">
        <v>1</v>
      </c>
      <c r="AB541" s="1">
        <f t="shared" si="56"/>
        <v>1</v>
      </c>
      <c r="AC541" s="1">
        <f t="shared" si="57"/>
        <v>0</v>
      </c>
      <c r="AD541" s="1">
        <f t="shared" si="58"/>
        <v>0</v>
      </c>
    </row>
    <row r="542" spans="19:30">
      <c r="S542" s="17">
        <v>13</v>
      </c>
      <c r="T542" s="18"/>
      <c r="U542" s="17">
        <v>1</v>
      </c>
      <c r="V542" s="17" t="s">
        <v>123</v>
      </c>
      <c r="W542" s="18">
        <v>1</v>
      </c>
      <c r="X542" s="18" t="s">
        <v>342</v>
      </c>
      <c r="Y542" s="18">
        <f t="shared" si="60"/>
        <v>3</v>
      </c>
      <c r="Z542" s="17" t="s">
        <v>49</v>
      </c>
      <c r="AA542" s="17">
        <v>2</v>
      </c>
      <c r="AB542" s="1">
        <f t="shared" si="56"/>
        <v>0</v>
      </c>
      <c r="AC542" s="1">
        <f t="shared" si="57"/>
        <v>0</v>
      </c>
      <c r="AD542" s="1">
        <f t="shared" si="58"/>
        <v>1</v>
      </c>
    </row>
    <row r="543" spans="19:30">
      <c r="S543" s="17">
        <v>14</v>
      </c>
      <c r="T543" s="18"/>
      <c r="U543" s="17">
        <v>1</v>
      </c>
      <c r="V543" s="17" t="s">
        <v>123</v>
      </c>
      <c r="W543" s="18">
        <v>3</v>
      </c>
      <c r="X543" s="18" t="s">
        <v>342</v>
      </c>
      <c r="Y543" s="18">
        <f t="shared" si="60"/>
        <v>1</v>
      </c>
      <c r="Z543" s="17" t="s">
        <v>37</v>
      </c>
      <c r="AA543" s="17">
        <v>2</v>
      </c>
      <c r="AB543" s="1">
        <f t="shared" si="56"/>
        <v>1</v>
      </c>
      <c r="AC543" s="1">
        <f t="shared" si="57"/>
        <v>0</v>
      </c>
      <c r="AD543" s="1">
        <f t="shared" si="58"/>
        <v>0</v>
      </c>
    </row>
    <row r="544" spans="19:30">
      <c r="S544" s="17">
        <v>15</v>
      </c>
      <c r="T544" s="18"/>
      <c r="U544" s="17">
        <v>2</v>
      </c>
      <c r="V544" s="17" t="s">
        <v>123</v>
      </c>
      <c r="W544" s="18">
        <v>1</v>
      </c>
      <c r="X544" s="18" t="s">
        <v>342</v>
      </c>
      <c r="Y544" s="18">
        <f t="shared" si="60"/>
        <v>3</v>
      </c>
      <c r="Z544" s="17" t="s">
        <v>115</v>
      </c>
      <c r="AA544" s="17">
        <v>1</v>
      </c>
      <c r="AB544" s="1">
        <f t="shared" si="56"/>
        <v>0</v>
      </c>
      <c r="AC544" s="1">
        <f t="shared" si="57"/>
        <v>0</v>
      </c>
      <c r="AD544" s="1">
        <f t="shared" si="58"/>
        <v>1</v>
      </c>
    </row>
    <row r="545" spans="19:30">
      <c r="S545" s="58" t="s">
        <v>339</v>
      </c>
      <c r="T545" s="58" t="s">
        <v>340</v>
      </c>
      <c r="U545" s="58" t="s">
        <v>341</v>
      </c>
      <c r="V545" s="58" t="s">
        <v>1</v>
      </c>
      <c r="W545" s="66" t="s">
        <v>220</v>
      </c>
      <c r="X545" s="66"/>
      <c r="Y545" s="66"/>
      <c r="Z545" s="58" t="s">
        <v>1</v>
      </c>
      <c r="AA545" s="58" t="s">
        <v>341</v>
      </c>
      <c r="AB545" s="1">
        <f t="shared" si="56"/>
        <v>1</v>
      </c>
      <c r="AC545" s="1">
        <f t="shared" si="57"/>
        <v>0</v>
      </c>
      <c r="AD545" s="1">
        <f t="shared" si="58"/>
        <v>0</v>
      </c>
    </row>
    <row r="546" spans="19:30">
      <c r="S546" s="17">
        <v>1</v>
      </c>
      <c r="T546" s="18"/>
      <c r="U546" s="17">
        <v>2</v>
      </c>
      <c r="V546" s="17" t="s">
        <v>49</v>
      </c>
      <c r="W546" s="18">
        <v>4</v>
      </c>
      <c r="X546" s="18" t="s">
        <v>342</v>
      </c>
      <c r="Y546" s="18">
        <f>IF(W546="","",4-W546)</f>
        <v>0</v>
      </c>
      <c r="Z546" s="17" t="s">
        <v>18</v>
      </c>
      <c r="AA546" s="17">
        <v>1</v>
      </c>
      <c r="AB546" s="1">
        <f t="shared" si="56"/>
        <v>1</v>
      </c>
      <c r="AC546" s="1">
        <f t="shared" si="57"/>
        <v>0</v>
      </c>
      <c r="AD546" s="1">
        <f t="shared" si="58"/>
        <v>0</v>
      </c>
    </row>
    <row r="547" spans="19:30">
      <c r="S547" s="17">
        <v>2</v>
      </c>
      <c r="T547" s="18"/>
      <c r="U547" s="17">
        <v>1</v>
      </c>
      <c r="V547" s="17" t="s">
        <v>49</v>
      </c>
      <c r="W547" s="18">
        <v>4</v>
      </c>
      <c r="X547" s="18" t="s">
        <v>342</v>
      </c>
      <c r="Y547" s="18">
        <f t="shared" ref="Y547:Y560" si="61">IF(W547="","",4-W547)</f>
        <v>0</v>
      </c>
      <c r="Z547" s="17" t="s">
        <v>43</v>
      </c>
      <c r="AA547" s="17">
        <v>2</v>
      </c>
      <c r="AB547" s="1">
        <f t="shared" si="56"/>
        <v>1</v>
      </c>
      <c r="AC547" s="1">
        <f t="shared" si="57"/>
        <v>0</v>
      </c>
      <c r="AD547" s="1">
        <f t="shared" si="58"/>
        <v>0</v>
      </c>
    </row>
    <row r="548" spans="19:30">
      <c r="S548" s="17">
        <v>3</v>
      </c>
      <c r="T548" s="18"/>
      <c r="U548" s="17">
        <v>1</v>
      </c>
      <c r="V548" s="17" t="s">
        <v>49</v>
      </c>
      <c r="W548" s="18">
        <v>4</v>
      </c>
      <c r="X548" s="18" t="s">
        <v>342</v>
      </c>
      <c r="Y548" s="18">
        <f t="shared" si="61"/>
        <v>0</v>
      </c>
      <c r="Z548" s="17" t="s">
        <v>343</v>
      </c>
      <c r="AA548" s="17">
        <v>2</v>
      </c>
      <c r="AB548" s="1">
        <f t="shared" si="56"/>
        <v>1</v>
      </c>
      <c r="AC548" s="1">
        <f t="shared" si="57"/>
        <v>0</v>
      </c>
      <c r="AD548" s="1">
        <f t="shared" si="58"/>
        <v>0</v>
      </c>
    </row>
    <row r="549" spans="19:30">
      <c r="S549" s="17">
        <v>4</v>
      </c>
      <c r="T549" s="18"/>
      <c r="U549" s="17">
        <v>1</v>
      </c>
      <c r="V549" s="17" t="s">
        <v>49</v>
      </c>
      <c r="W549" s="18">
        <v>4</v>
      </c>
      <c r="X549" s="18" t="s">
        <v>342</v>
      </c>
      <c r="Y549" s="18">
        <f t="shared" si="61"/>
        <v>0</v>
      </c>
      <c r="Z549" s="17" t="s">
        <v>131</v>
      </c>
      <c r="AA549" s="17">
        <v>2</v>
      </c>
      <c r="AB549" s="1">
        <f t="shared" si="56"/>
        <v>1</v>
      </c>
      <c r="AC549" s="1">
        <f t="shared" si="57"/>
        <v>0</v>
      </c>
      <c r="AD549" s="1">
        <f t="shared" si="58"/>
        <v>0</v>
      </c>
    </row>
    <row r="550" spans="19:30">
      <c r="S550" s="17">
        <v>5</v>
      </c>
      <c r="T550" s="18"/>
      <c r="U550" s="17">
        <v>1</v>
      </c>
      <c r="V550" s="17" t="s">
        <v>49</v>
      </c>
      <c r="W550" s="18">
        <v>3</v>
      </c>
      <c r="X550" s="18" t="s">
        <v>342</v>
      </c>
      <c r="Y550" s="18">
        <f t="shared" si="61"/>
        <v>1</v>
      </c>
      <c r="Z550" s="17" t="s">
        <v>41</v>
      </c>
      <c r="AA550" s="17">
        <v>2</v>
      </c>
      <c r="AB550" s="1">
        <f t="shared" si="56"/>
        <v>1</v>
      </c>
      <c r="AC550" s="1">
        <f t="shared" si="57"/>
        <v>0</v>
      </c>
      <c r="AD550" s="1">
        <f t="shared" si="58"/>
        <v>0</v>
      </c>
    </row>
    <row r="551" spans="19:30">
      <c r="S551" s="17">
        <v>6</v>
      </c>
      <c r="T551" s="18"/>
      <c r="U551" s="17">
        <v>2</v>
      </c>
      <c r="V551" s="17" t="s">
        <v>49</v>
      </c>
      <c r="W551" s="18">
        <v>4</v>
      </c>
      <c r="X551" s="18" t="s">
        <v>342</v>
      </c>
      <c r="Y551" s="18">
        <f t="shared" si="61"/>
        <v>0</v>
      </c>
      <c r="Z551" s="17" t="s">
        <v>127</v>
      </c>
      <c r="AA551" s="17">
        <v>1</v>
      </c>
      <c r="AB551" s="1">
        <f t="shared" si="56"/>
        <v>1</v>
      </c>
      <c r="AC551" s="1">
        <f t="shared" si="57"/>
        <v>0</v>
      </c>
      <c r="AD551" s="1">
        <f t="shared" si="58"/>
        <v>0</v>
      </c>
    </row>
    <row r="552" spans="19:30">
      <c r="S552" s="17">
        <v>7</v>
      </c>
      <c r="T552" s="18"/>
      <c r="U552" s="17">
        <v>2</v>
      </c>
      <c r="V552" s="17" t="s">
        <v>49</v>
      </c>
      <c r="W552" s="18">
        <v>4</v>
      </c>
      <c r="X552" s="18" t="s">
        <v>342</v>
      </c>
      <c r="Y552" s="18">
        <f t="shared" si="61"/>
        <v>0</v>
      </c>
      <c r="Z552" s="17" t="s">
        <v>95</v>
      </c>
      <c r="AA552" s="17">
        <v>1</v>
      </c>
      <c r="AB552" s="1">
        <f t="shared" si="56"/>
        <v>1</v>
      </c>
      <c r="AC552" s="1">
        <f t="shared" si="57"/>
        <v>0</v>
      </c>
      <c r="AD552" s="1">
        <f t="shared" si="58"/>
        <v>0</v>
      </c>
    </row>
    <row r="553" spans="19:30">
      <c r="S553" s="17">
        <v>8</v>
      </c>
      <c r="T553" s="18"/>
      <c r="U553" s="17">
        <v>2</v>
      </c>
      <c r="V553" s="17" t="s">
        <v>49</v>
      </c>
      <c r="W553" s="18">
        <v>4</v>
      </c>
      <c r="X553" s="18" t="s">
        <v>342</v>
      </c>
      <c r="Y553" s="18">
        <f t="shared" si="61"/>
        <v>0</v>
      </c>
      <c r="Z553" s="17" t="s">
        <v>65</v>
      </c>
      <c r="AA553" s="17">
        <v>1</v>
      </c>
      <c r="AB553" s="1">
        <f t="shared" si="56"/>
        <v>1</v>
      </c>
      <c r="AC553" s="1">
        <f t="shared" si="57"/>
        <v>0</v>
      </c>
      <c r="AD553" s="1">
        <f t="shared" si="58"/>
        <v>0</v>
      </c>
    </row>
    <row r="554" spans="19:30">
      <c r="S554" s="17">
        <v>9</v>
      </c>
      <c r="T554" s="18"/>
      <c r="U554" s="17">
        <v>2</v>
      </c>
      <c r="V554" s="17" t="s">
        <v>49</v>
      </c>
      <c r="W554" s="18">
        <v>3</v>
      </c>
      <c r="X554" s="18" t="s">
        <v>342</v>
      </c>
      <c r="Y554" s="18">
        <f t="shared" si="61"/>
        <v>1</v>
      </c>
      <c r="Z554" s="17" t="s">
        <v>83</v>
      </c>
      <c r="AA554" s="17">
        <v>1</v>
      </c>
      <c r="AB554" s="1">
        <f t="shared" si="56"/>
        <v>1</v>
      </c>
      <c r="AC554" s="1">
        <f t="shared" si="57"/>
        <v>0</v>
      </c>
      <c r="AD554" s="1">
        <f t="shared" si="58"/>
        <v>0</v>
      </c>
    </row>
    <row r="555" spans="19:30">
      <c r="S555" s="17">
        <v>10</v>
      </c>
      <c r="T555" s="18"/>
      <c r="U555" s="17">
        <v>1</v>
      </c>
      <c r="V555" s="17" t="s">
        <v>49</v>
      </c>
      <c r="W555" s="18">
        <v>3</v>
      </c>
      <c r="X555" s="18" t="s">
        <v>342</v>
      </c>
      <c r="Y555" s="18">
        <f t="shared" si="61"/>
        <v>1</v>
      </c>
      <c r="Z555" s="17" t="s">
        <v>67</v>
      </c>
      <c r="AA555" s="17">
        <v>2</v>
      </c>
      <c r="AB555" s="1">
        <f t="shared" si="56"/>
        <v>1</v>
      </c>
      <c r="AC555" s="1">
        <f t="shared" si="57"/>
        <v>0</v>
      </c>
      <c r="AD555" s="1">
        <f t="shared" si="58"/>
        <v>0</v>
      </c>
    </row>
    <row r="556" spans="19:30">
      <c r="S556" s="17">
        <v>11</v>
      </c>
      <c r="T556" s="18"/>
      <c r="U556" s="17">
        <v>2</v>
      </c>
      <c r="V556" s="17" t="s">
        <v>49</v>
      </c>
      <c r="W556" s="18">
        <v>3</v>
      </c>
      <c r="X556" s="18" t="s">
        <v>342</v>
      </c>
      <c r="Y556" s="18">
        <f t="shared" si="61"/>
        <v>1</v>
      </c>
      <c r="Z556" s="17" t="s">
        <v>99</v>
      </c>
      <c r="AA556" s="17">
        <v>1</v>
      </c>
      <c r="AB556" s="1">
        <f t="shared" si="56"/>
        <v>1</v>
      </c>
      <c r="AC556" s="1">
        <f t="shared" si="57"/>
        <v>0</v>
      </c>
      <c r="AD556" s="1">
        <f t="shared" si="58"/>
        <v>0</v>
      </c>
    </row>
    <row r="557" spans="19:30">
      <c r="S557" s="17">
        <v>12</v>
      </c>
      <c r="T557" s="18"/>
      <c r="U557" s="17">
        <v>2</v>
      </c>
      <c r="V557" s="17" t="s">
        <v>49</v>
      </c>
      <c r="W557" s="18">
        <v>3</v>
      </c>
      <c r="X557" s="18" t="s">
        <v>342</v>
      </c>
      <c r="Y557" s="18">
        <f t="shared" si="61"/>
        <v>1</v>
      </c>
      <c r="Z557" s="17" t="s">
        <v>101</v>
      </c>
      <c r="AA557" s="17">
        <v>1</v>
      </c>
      <c r="AB557" s="1">
        <f t="shared" si="56"/>
        <v>1</v>
      </c>
      <c r="AC557" s="1">
        <f t="shared" si="57"/>
        <v>0</v>
      </c>
      <c r="AD557" s="1">
        <f t="shared" si="58"/>
        <v>0</v>
      </c>
    </row>
    <row r="558" spans="19:30">
      <c r="S558" s="17">
        <v>13</v>
      </c>
      <c r="T558" s="18"/>
      <c r="U558" s="17">
        <v>2</v>
      </c>
      <c r="V558" s="17" t="s">
        <v>49</v>
      </c>
      <c r="W558" s="18">
        <v>3</v>
      </c>
      <c r="X558" s="18" t="s">
        <v>342</v>
      </c>
      <c r="Y558" s="18">
        <f t="shared" si="61"/>
        <v>1</v>
      </c>
      <c r="Z558" s="17" t="s">
        <v>123</v>
      </c>
      <c r="AA558" s="17">
        <v>1</v>
      </c>
      <c r="AB558" s="1">
        <f t="shared" si="56"/>
        <v>1</v>
      </c>
      <c r="AC558" s="1">
        <f t="shared" si="57"/>
        <v>0</v>
      </c>
      <c r="AD558" s="1">
        <f t="shared" si="58"/>
        <v>0</v>
      </c>
    </row>
    <row r="559" spans="19:30">
      <c r="S559" s="17">
        <v>14</v>
      </c>
      <c r="T559" s="18"/>
      <c r="U559" s="17">
        <v>1</v>
      </c>
      <c r="V559" s="17" t="s">
        <v>49</v>
      </c>
      <c r="W559" s="18">
        <v>0</v>
      </c>
      <c r="X559" s="18" t="s">
        <v>342</v>
      </c>
      <c r="Y559" s="18">
        <f t="shared" si="61"/>
        <v>4</v>
      </c>
      <c r="Z559" s="17" t="s">
        <v>115</v>
      </c>
      <c r="AA559" s="17">
        <v>2</v>
      </c>
      <c r="AB559" s="1">
        <f t="shared" si="56"/>
        <v>0</v>
      </c>
      <c r="AC559" s="1">
        <f t="shared" si="57"/>
        <v>0</v>
      </c>
      <c r="AD559" s="1">
        <f t="shared" si="58"/>
        <v>1</v>
      </c>
    </row>
    <row r="560" spans="19:30">
      <c r="S560" s="17">
        <v>15</v>
      </c>
      <c r="T560" s="18"/>
      <c r="U560" s="17">
        <v>1</v>
      </c>
      <c r="V560" s="17" t="s">
        <v>49</v>
      </c>
      <c r="W560" s="18">
        <v>3</v>
      </c>
      <c r="X560" s="18" t="s">
        <v>342</v>
      </c>
      <c r="Y560" s="18">
        <f t="shared" si="61"/>
        <v>1</v>
      </c>
      <c r="Z560" s="17" t="s">
        <v>37</v>
      </c>
      <c r="AA560" s="17">
        <v>2</v>
      </c>
      <c r="AB560" s="1">
        <f t="shared" si="56"/>
        <v>1</v>
      </c>
      <c r="AC560" s="1">
        <f t="shared" si="57"/>
        <v>0</v>
      </c>
      <c r="AD560" s="1">
        <f t="shared" si="58"/>
        <v>0</v>
      </c>
    </row>
    <row r="561" spans="19:30">
      <c r="S561" s="58" t="s">
        <v>339</v>
      </c>
      <c r="T561" s="58" t="s">
        <v>340</v>
      </c>
      <c r="U561" s="58" t="s">
        <v>341</v>
      </c>
      <c r="V561" s="58" t="s">
        <v>1</v>
      </c>
      <c r="W561" s="66" t="s">
        <v>220</v>
      </c>
      <c r="X561" s="66"/>
      <c r="Y561" s="66"/>
      <c r="Z561" s="58" t="s">
        <v>1</v>
      </c>
      <c r="AA561" s="58" t="s">
        <v>341</v>
      </c>
      <c r="AB561" s="1">
        <f t="shared" si="56"/>
        <v>1</v>
      </c>
      <c r="AC561" s="1">
        <f t="shared" si="57"/>
        <v>0</v>
      </c>
      <c r="AD561" s="1">
        <f t="shared" si="58"/>
        <v>0</v>
      </c>
    </row>
    <row r="562" spans="19:30">
      <c r="S562" s="17">
        <v>1</v>
      </c>
      <c r="T562" s="18"/>
      <c r="U562" s="17">
        <v>1</v>
      </c>
      <c r="V562" s="17" t="s">
        <v>37</v>
      </c>
      <c r="W562" s="18">
        <v>3</v>
      </c>
      <c r="X562" s="18" t="s">
        <v>342</v>
      </c>
      <c r="Y562" s="18">
        <f>IF(W562="","",4-W562)</f>
        <v>1</v>
      </c>
      <c r="Z562" s="17" t="s">
        <v>43</v>
      </c>
      <c r="AA562" s="17">
        <v>2</v>
      </c>
      <c r="AB562" s="1">
        <f t="shared" si="56"/>
        <v>1</v>
      </c>
      <c r="AC562" s="1">
        <f t="shared" si="57"/>
        <v>0</v>
      </c>
      <c r="AD562" s="1">
        <f t="shared" si="58"/>
        <v>0</v>
      </c>
    </row>
    <row r="563" spans="19:30">
      <c r="S563" s="17">
        <v>2</v>
      </c>
      <c r="T563" s="18"/>
      <c r="U563" s="17">
        <v>2</v>
      </c>
      <c r="V563" s="17" t="s">
        <v>37</v>
      </c>
      <c r="W563" s="18">
        <v>4</v>
      </c>
      <c r="X563" s="18" t="s">
        <v>342</v>
      </c>
      <c r="Y563" s="18">
        <f t="shared" ref="Y563:Y576" si="62">IF(W563="","",4-W563)</f>
        <v>0</v>
      </c>
      <c r="Z563" s="17" t="s">
        <v>18</v>
      </c>
      <c r="AA563" s="17">
        <v>1</v>
      </c>
      <c r="AB563" s="1">
        <f t="shared" si="56"/>
        <v>1</v>
      </c>
      <c r="AC563" s="1">
        <f t="shared" si="57"/>
        <v>0</v>
      </c>
      <c r="AD563" s="1">
        <f t="shared" si="58"/>
        <v>0</v>
      </c>
    </row>
    <row r="564" spans="19:30">
      <c r="S564" s="17">
        <v>3</v>
      </c>
      <c r="T564" s="18"/>
      <c r="U564" s="17">
        <v>2</v>
      </c>
      <c r="V564" s="17" t="s">
        <v>37</v>
      </c>
      <c r="W564" s="18">
        <v>4</v>
      </c>
      <c r="X564" s="18" t="s">
        <v>342</v>
      </c>
      <c r="Y564" s="18">
        <f t="shared" si="62"/>
        <v>0</v>
      </c>
      <c r="Z564" s="17" t="s">
        <v>131</v>
      </c>
      <c r="AA564" s="17">
        <v>1</v>
      </c>
      <c r="AB564" s="1">
        <f t="shared" si="56"/>
        <v>1</v>
      </c>
      <c r="AC564" s="1">
        <f t="shared" si="57"/>
        <v>0</v>
      </c>
      <c r="AD564" s="1">
        <f t="shared" si="58"/>
        <v>0</v>
      </c>
    </row>
    <row r="565" spans="19:30">
      <c r="S565" s="17">
        <v>4</v>
      </c>
      <c r="T565" s="18"/>
      <c r="U565" s="17">
        <v>1</v>
      </c>
      <c r="V565" s="17" t="s">
        <v>37</v>
      </c>
      <c r="W565" s="18">
        <v>4</v>
      </c>
      <c r="X565" s="18" t="s">
        <v>342</v>
      </c>
      <c r="Y565" s="18">
        <f t="shared" si="62"/>
        <v>0</v>
      </c>
      <c r="Z565" s="17" t="s">
        <v>343</v>
      </c>
      <c r="AA565" s="17">
        <v>2</v>
      </c>
      <c r="AB565" s="1">
        <f t="shared" si="56"/>
        <v>1</v>
      </c>
      <c r="AC565" s="1">
        <f t="shared" si="57"/>
        <v>0</v>
      </c>
      <c r="AD565" s="1">
        <f t="shared" si="58"/>
        <v>0</v>
      </c>
    </row>
    <row r="566" spans="19:30">
      <c r="S566" s="17">
        <v>5</v>
      </c>
      <c r="T566" s="18"/>
      <c r="U566" s="17">
        <v>2</v>
      </c>
      <c r="V566" s="17" t="s">
        <v>37</v>
      </c>
      <c r="W566" s="18">
        <v>4</v>
      </c>
      <c r="X566" s="18" t="s">
        <v>342</v>
      </c>
      <c r="Y566" s="18">
        <f t="shared" si="62"/>
        <v>0</v>
      </c>
      <c r="Z566" s="17" t="s">
        <v>127</v>
      </c>
      <c r="AA566" s="17">
        <v>1</v>
      </c>
      <c r="AB566" s="1">
        <f t="shared" si="56"/>
        <v>1</v>
      </c>
      <c r="AC566" s="1">
        <f t="shared" si="57"/>
        <v>0</v>
      </c>
      <c r="AD566" s="1">
        <f t="shared" si="58"/>
        <v>0</v>
      </c>
    </row>
    <row r="567" spans="19:30">
      <c r="S567" s="17">
        <v>6</v>
      </c>
      <c r="T567" s="18"/>
      <c r="U567" s="17">
        <v>2</v>
      </c>
      <c r="V567" s="17" t="s">
        <v>37</v>
      </c>
      <c r="W567" s="18">
        <v>4</v>
      </c>
      <c r="X567" s="18" t="s">
        <v>342</v>
      </c>
      <c r="Y567" s="18">
        <f t="shared" si="62"/>
        <v>0</v>
      </c>
      <c r="Z567" s="17" t="s">
        <v>41</v>
      </c>
      <c r="AA567" s="17">
        <v>1</v>
      </c>
      <c r="AB567" s="1">
        <f t="shared" si="56"/>
        <v>1</v>
      </c>
      <c r="AC567" s="1">
        <f t="shared" si="57"/>
        <v>0</v>
      </c>
      <c r="AD567" s="1">
        <f t="shared" si="58"/>
        <v>0</v>
      </c>
    </row>
    <row r="568" spans="19:30">
      <c r="S568" s="17">
        <v>7</v>
      </c>
      <c r="T568" s="18"/>
      <c r="U568" s="17">
        <v>1</v>
      </c>
      <c r="V568" s="17" t="s">
        <v>37</v>
      </c>
      <c r="W568" s="18">
        <v>4</v>
      </c>
      <c r="X568" s="18" t="s">
        <v>342</v>
      </c>
      <c r="Y568" s="18">
        <f t="shared" si="62"/>
        <v>0</v>
      </c>
      <c r="Z568" s="17" t="s">
        <v>65</v>
      </c>
      <c r="AA568" s="17">
        <v>2</v>
      </c>
      <c r="AB568" s="1">
        <f t="shared" si="56"/>
        <v>1</v>
      </c>
      <c r="AC568" s="1">
        <f t="shared" si="57"/>
        <v>0</v>
      </c>
      <c r="AD568" s="1">
        <f t="shared" si="58"/>
        <v>0</v>
      </c>
    </row>
    <row r="569" spans="19:30">
      <c r="S569" s="17">
        <v>8</v>
      </c>
      <c r="T569" s="18"/>
      <c r="U569" s="17">
        <v>2</v>
      </c>
      <c r="V569" s="17" t="s">
        <v>37</v>
      </c>
      <c r="W569" s="18">
        <v>4</v>
      </c>
      <c r="X569" s="18" t="s">
        <v>342</v>
      </c>
      <c r="Y569" s="18">
        <f t="shared" si="62"/>
        <v>0</v>
      </c>
      <c r="Z569" s="17" t="s">
        <v>95</v>
      </c>
      <c r="AA569" s="17">
        <v>1</v>
      </c>
      <c r="AB569" s="1">
        <f t="shared" si="56"/>
        <v>1</v>
      </c>
      <c r="AC569" s="1">
        <f t="shared" si="57"/>
        <v>0</v>
      </c>
      <c r="AD569" s="1">
        <f t="shared" si="58"/>
        <v>0</v>
      </c>
    </row>
    <row r="570" spans="19:30">
      <c r="S570" s="17">
        <v>9</v>
      </c>
      <c r="T570" s="18"/>
      <c r="U570" s="17">
        <v>1</v>
      </c>
      <c r="V570" s="17" t="s">
        <v>37</v>
      </c>
      <c r="W570" s="18">
        <v>0</v>
      </c>
      <c r="X570" s="18" t="s">
        <v>342</v>
      </c>
      <c r="Y570" s="18">
        <f t="shared" si="62"/>
        <v>4</v>
      </c>
      <c r="Z570" s="17" t="s">
        <v>67</v>
      </c>
      <c r="AA570" s="17">
        <v>2</v>
      </c>
      <c r="AB570" s="1">
        <f t="shared" si="56"/>
        <v>0</v>
      </c>
      <c r="AC570" s="1">
        <f t="shared" si="57"/>
        <v>0</v>
      </c>
      <c r="AD570" s="1">
        <f t="shared" si="58"/>
        <v>1</v>
      </c>
    </row>
    <row r="571" spans="19:30">
      <c r="S571" s="17">
        <v>10</v>
      </c>
      <c r="T571" s="18"/>
      <c r="U571" s="17">
        <v>2</v>
      </c>
      <c r="V571" s="17" t="s">
        <v>37</v>
      </c>
      <c r="W571" s="18">
        <v>2</v>
      </c>
      <c r="X571" s="18" t="s">
        <v>342</v>
      </c>
      <c r="Y571" s="18">
        <f t="shared" si="62"/>
        <v>2</v>
      </c>
      <c r="Z571" s="17" t="s">
        <v>83</v>
      </c>
      <c r="AA571" s="17">
        <v>1</v>
      </c>
      <c r="AB571" s="1">
        <f t="shared" si="56"/>
        <v>0</v>
      </c>
      <c r="AC571" s="1">
        <f t="shared" si="57"/>
        <v>1</v>
      </c>
      <c r="AD571" s="1">
        <f t="shared" si="58"/>
        <v>0</v>
      </c>
    </row>
    <row r="572" spans="19:30">
      <c r="S572" s="17">
        <v>11</v>
      </c>
      <c r="T572" s="18"/>
      <c r="U572" s="17">
        <v>1</v>
      </c>
      <c r="V572" s="17" t="s">
        <v>37</v>
      </c>
      <c r="W572" s="18">
        <v>3</v>
      </c>
      <c r="X572" s="18" t="s">
        <v>342</v>
      </c>
      <c r="Y572" s="18">
        <f t="shared" si="62"/>
        <v>1</v>
      </c>
      <c r="Z572" s="17" t="s">
        <v>101</v>
      </c>
      <c r="AA572" s="17">
        <v>2</v>
      </c>
      <c r="AB572" s="1">
        <f t="shared" si="56"/>
        <v>1</v>
      </c>
      <c r="AC572" s="1">
        <f t="shared" si="57"/>
        <v>0</v>
      </c>
      <c r="AD572" s="1">
        <f t="shared" si="58"/>
        <v>0</v>
      </c>
    </row>
    <row r="573" spans="19:30">
      <c r="S573" s="17">
        <v>12</v>
      </c>
      <c r="T573" s="18"/>
      <c r="U573" s="17">
        <v>2</v>
      </c>
      <c r="V573" s="17" t="s">
        <v>37</v>
      </c>
      <c r="W573" s="18">
        <v>3</v>
      </c>
      <c r="X573" s="18" t="s">
        <v>342</v>
      </c>
      <c r="Y573" s="18">
        <f t="shared" si="62"/>
        <v>1</v>
      </c>
      <c r="Z573" s="17" t="s">
        <v>99</v>
      </c>
      <c r="AA573" s="17">
        <v>1</v>
      </c>
      <c r="AB573" s="1">
        <f t="shared" si="56"/>
        <v>1</v>
      </c>
      <c r="AC573" s="1">
        <f t="shared" si="57"/>
        <v>0</v>
      </c>
      <c r="AD573" s="1">
        <f t="shared" si="58"/>
        <v>0</v>
      </c>
    </row>
    <row r="574" spans="19:30">
      <c r="S574" s="17">
        <v>13</v>
      </c>
      <c r="T574" s="18"/>
      <c r="U574" s="17">
        <v>2</v>
      </c>
      <c r="V574" s="17" t="s">
        <v>37</v>
      </c>
      <c r="W574" s="18">
        <v>0</v>
      </c>
      <c r="X574" s="18" t="s">
        <v>342</v>
      </c>
      <c r="Y574" s="18">
        <f t="shared" si="62"/>
        <v>4</v>
      </c>
      <c r="Z574" s="17" t="s">
        <v>115</v>
      </c>
      <c r="AA574" s="17">
        <v>1</v>
      </c>
      <c r="AB574" s="1">
        <f t="shared" si="56"/>
        <v>0</v>
      </c>
      <c r="AC574" s="1">
        <f t="shared" si="57"/>
        <v>0</v>
      </c>
      <c r="AD574" s="1">
        <f t="shared" si="58"/>
        <v>1</v>
      </c>
    </row>
    <row r="575" spans="19:30">
      <c r="S575" s="17">
        <v>14</v>
      </c>
      <c r="T575" s="18"/>
      <c r="U575" s="17">
        <v>2</v>
      </c>
      <c r="V575" s="17" t="s">
        <v>37</v>
      </c>
      <c r="W575" s="18">
        <v>1</v>
      </c>
      <c r="X575" s="18" t="s">
        <v>342</v>
      </c>
      <c r="Y575" s="18">
        <f t="shared" si="62"/>
        <v>3</v>
      </c>
      <c r="Z575" s="17" t="s">
        <v>123</v>
      </c>
      <c r="AA575" s="17">
        <v>1</v>
      </c>
      <c r="AB575" s="1">
        <f t="shared" si="56"/>
        <v>0</v>
      </c>
      <c r="AC575" s="1">
        <f t="shared" si="57"/>
        <v>0</v>
      </c>
      <c r="AD575" s="1">
        <f t="shared" si="58"/>
        <v>1</v>
      </c>
    </row>
    <row r="576" spans="19:30">
      <c r="S576" s="17">
        <v>15</v>
      </c>
      <c r="T576" s="18"/>
      <c r="U576" s="17">
        <v>2</v>
      </c>
      <c r="V576" s="17" t="s">
        <v>37</v>
      </c>
      <c r="W576" s="18">
        <v>1</v>
      </c>
      <c r="X576" s="18" t="s">
        <v>342</v>
      </c>
      <c r="Y576" s="18">
        <f t="shared" si="62"/>
        <v>3</v>
      </c>
      <c r="Z576" s="17" t="s">
        <v>49</v>
      </c>
      <c r="AA576" s="17">
        <v>1</v>
      </c>
      <c r="AB576" s="1">
        <f t="shared" si="56"/>
        <v>0</v>
      </c>
      <c r="AC576" s="1">
        <f t="shared" si="57"/>
        <v>0</v>
      </c>
      <c r="AD576" s="1">
        <f t="shared" si="58"/>
        <v>1</v>
      </c>
    </row>
    <row r="577" spans="19:30">
      <c r="S577" s="58" t="s">
        <v>339</v>
      </c>
      <c r="T577" s="58" t="s">
        <v>340</v>
      </c>
      <c r="U577" s="58" t="s">
        <v>341</v>
      </c>
      <c r="V577" s="58" t="s">
        <v>1</v>
      </c>
      <c r="W577" s="66" t="s">
        <v>220</v>
      </c>
      <c r="X577" s="66"/>
      <c r="Y577" s="66"/>
      <c r="Z577" s="58" t="s">
        <v>1</v>
      </c>
      <c r="AA577" s="58" t="s">
        <v>341</v>
      </c>
      <c r="AB577" s="1">
        <f t="shared" ref="AB577:AB640" si="63">IF(W577="",0,IF(W577&gt;Y577,1,0))</f>
        <v>1</v>
      </c>
      <c r="AC577" s="1">
        <f t="shared" ref="AC577:AC640" si="64">IF(W577="",0,IF(W577=Y577,1,0))</f>
        <v>0</v>
      </c>
      <c r="AD577" s="1">
        <f t="shared" ref="AD577:AD640" si="65">IF(W577="",0,IF(W577&lt;Y577,1,0))</f>
        <v>0</v>
      </c>
    </row>
    <row r="578" spans="19:30">
      <c r="S578" s="17">
        <v>1</v>
      </c>
      <c r="T578" s="18"/>
      <c r="U578" s="17">
        <v>2</v>
      </c>
      <c r="V578" s="17" t="s">
        <v>67</v>
      </c>
      <c r="W578" s="18">
        <v>4</v>
      </c>
      <c r="X578" s="18" t="s">
        <v>342</v>
      </c>
      <c r="Y578" s="18">
        <f>IF(W578="","",4-W578)</f>
        <v>0</v>
      </c>
      <c r="Z578" s="17" t="s">
        <v>95</v>
      </c>
      <c r="AA578" s="17">
        <v>1</v>
      </c>
      <c r="AB578" s="1">
        <f t="shared" si="63"/>
        <v>1</v>
      </c>
      <c r="AC578" s="1">
        <f t="shared" si="64"/>
        <v>0</v>
      </c>
      <c r="AD578" s="1">
        <f t="shared" si="65"/>
        <v>0</v>
      </c>
    </row>
    <row r="579" spans="19:30">
      <c r="S579" s="17">
        <v>2</v>
      </c>
      <c r="T579" s="18"/>
      <c r="U579" s="17">
        <v>2</v>
      </c>
      <c r="V579" s="17" t="s">
        <v>67</v>
      </c>
      <c r="W579" s="18">
        <v>4</v>
      </c>
      <c r="X579" s="18" t="s">
        <v>342</v>
      </c>
      <c r="Y579" s="18">
        <f t="shared" ref="Y579:Y592" si="66">IF(W579="","",4-W579)</f>
        <v>0</v>
      </c>
      <c r="Z579" s="17" t="s">
        <v>65</v>
      </c>
      <c r="AA579" s="17">
        <v>1</v>
      </c>
      <c r="AB579" s="1">
        <f t="shared" si="63"/>
        <v>1</v>
      </c>
      <c r="AC579" s="1">
        <f t="shared" si="64"/>
        <v>0</v>
      </c>
      <c r="AD579" s="1">
        <f t="shared" si="65"/>
        <v>0</v>
      </c>
    </row>
    <row r="580" spans="19:30">
      <c r="S580" s="17">
        <v>3</v>
      </c>
      <c r="T580" s="18"/>
      <c r="U580" s="17">
        <v>2</v>
      </c>
      <c r="V580" s="17" t="s">
        <v>67</v>
      </c>
      <c r="W580" s="18">
        <v>4</v>
      </c>
      <c r="X580" s="18" t="s">
        <v>342</v>
      </c>
      <c r="Y580" s="18">
        <f t="shared" si="66"/>
        <v>0</v>
      </c>
      <c r="Z580" s="17" t="s">
        <v>41</v>
      </c>
      <c r="AA580" s="17">
        <v>1</v>
      </c>
      <c r="AB580" s="1">
        <f t="shared" si="63"/>
        <v>1</v>
      </c>
      <c r="AC580" s="1">
        <f t="shared" si="64"/>
        <v>0</v>
      </c>
      <c r="AD580" s="1">
        <f t="shared" si="65"/>
        <v>0</v>
      </c>
    </row>
    <row r="581" spans="19:30">
      <c r="S581" s="17">
        <v>4</v>
      </c>
      <c r="T581" s="18"/>
      <c r="U581" s="17">
        <v>1</v>
      </c>
      <c r="V581" s="17" t="s">
        <v>67</v>
      </c>
      <c r="W581" s="18">
        <v>3</v>
      </c>
      <c r="X581" s="18" t="s">
        <v>342</v>
      </c>
      <c r="Y581" s="18">
        <f t="shared" si="66"/>
        <v>1</v>
      </c>
      <c r="Z581" s="17" t="s">
        <v>127</v>
      </c>
      <c r="AA581" s="17">
        <v>2</v>
      </c>
      <c r="AB581" s="1">
        <f t="shared" si="63"/>
        <v>1</v>
      </c>
      <c r="AC581" s="1">
        <f t="shared" si="64"/>
        <v>0</v>
      </c>
      <c r="AD581" s="1">
        <f t="shared" si="65"/>
        <v>0</v>
      </c>
    </row>
    <row r="582" spans="19:30">
      <c r="S582" s="17">
        <v>5</v>
      </c>
      <c r="T582" s="18"/>
      <c r="U582" s="17">
        <v>2</v>
      </c>
      <c r="V582" s="17" t="s">
        <v>67</v>
      </c>
      <c r="W582" s="18">
        <v>4</v>
      </c>
      <c r="X582" s="18" t="s">
        <v>342</v>
      </c>
      <c r="Y582" s="18">
        <f t="shared" si="66"/>
        <v>0</v>
      </c>
      <c r="Z582" s="17" t="s">
        <v>343</v>
      </c>
      <c r="AA582" s="17">
        <v>1</v>
      </c>
      <c r="AB582" s="1">
        <f t="shared" si="63"/>
        <v>1</v>
      </c>
      <c r="AC582" s="1">
        <f t="shared" si="64"/>
        <v>0</v>
      </c>
      <c r="AD582" s="1">
        <f t="shared" si="65"/>
        <v>0</v>
      </c>
    </row>
    <row r="583" spans="19:30">
      <c r="S583" s="17">
        <v>6</v>
      </c>
      <c r="T583" s="18"/>
      <c r="U583" s="17">
        <v>1</v>
      </c>
      <c r="V583" s="17" t="s">
        <v>67</v>
      </c>
      <c r="W583" s="18">
        <v>4</v>
      </c>
      <c r="X583" s="18" t="s">
        <v>342</v>
      </c>
      <c r="Y583" s="18">
        <f t="shared" si="66"/>
        <v>0</v>
      </c>
      <c r="Z583" s="17" t="s">
        <v>131</v>
      </c>
      <c r="AA583" s="17">
        <v>2</v>
      </c>
      <c r="AB583" s="1">
        <f t="shared" si="63"/>
        <v>1</v>
      </c>
      <c r="AC583" s="1">
        <f t="shared" si="64"/>
        <v>0</v>
      </c>
      <c r="AD583" s="1">
        <f t="shared" si="65"/>
        <v>0</v>
      </c>
    </row>
    <row r="584" spans="19:30">
      <c r="S584" s="17">
        <v>7</v>
      </c>
      <c r="T584" s="18"/>
      <c r="U584" s="17">
        <v>2</v>
      </c>
      <c r="V584" s="17" t="s">
        <v>67</v>
      </c>
      <c r="W584" s="18">
        <v>4</v>
      </c>
      <c r="X584" s="18" t="s">
        <v>342</v>
      </c>
      <c r="Y584" s="18">
        <f t="shared" si="66"/>
        <v>0</v>
      </c>
      <c r="Z584" s="17" t="s">
        <v>18</v>
      </c>
      <c r="AA584" s="17">
        <v>1</v>
      </c>
      <c r="AB584" s="1">
        <f t="shared" si="63"/>
        <v>1</v>
      </c>
      <c r="AC584" s="1">
        <f t="shared" si="64"/>
        <v>0</v>
      </c>
      <c r="AD584" s="1">
        <f t="shared" si="65"/>
        <v>0</v>
      </c>
    </row>
    <row r="585" spans="19:30">
      <c r="S585" s="17">
        <v>8</v>
      </c>
      <c r="T585" s="18"/>
      <c r="U585" s="17">
        <v>2</v>
      </c>
      <c r="V585" s="17" t="s">
        <v>67</v>
      </c>
      <c r="W585" s="18">
        <v>4</v>
      </c>
      <c r="X585" s="18" t="s">
        <v>342</v>
      </c>
      <c r="Y585" s="18">
        <f t="shared" si="66"/>
        <v>0</v>
      </c>
      <c r="Z585" s="17" t="s">
        <v>43</v>
      </c>
      <c r="AA585" s="17">
        <v>1</v>
      </c>
      <c r="AB585" s="1">
        <f t="shared" si="63"/>
        <v>1</v>
      </c>
      <c r="AC585" s="1">
        <f t="shared" si="64"/>
        <v>0</v>
      </c>
      <c r="AD585" s="1">
        <f t="shared" si="65"/>
        <v>0</v>
      </c>
    </row>
    <row r="586" spans="19:30">
      <c r="S586" s="17">
        <v>9</v>
      </c>
      <c r="T586" s="18"/>
      <c r="U586" s="17">
        <v>2</v>
      </c>
      <c r="V586" s="17" t="s">
        <v>67</v>
      </c>
      <c r="W586" s="18">
        <v>4</v>
      </c>
      <c r="X586" s="18" t="s">
        <v>342</v>
      </c>
      <c r="Y586" s="18">
        <f t="shared" si="66"/>
        <v>0</v>
      </c>
      <c r="Z586" s="17" t="s">
        <v>37</v>
      </c>
      <c r="AA586" s="17">
        <v>1</v>
      </c>
      <c r="AB586" s="1">
        <f t="shared" si="63"/>
        <v>1</v>
      </c>
      <c r="AC586" s="1">
        <f t="shared" si="64"/>
        <v>0</v>
      </c>
      <c r="AD586" s="1">
        <f t="shared" si="65"/>
        <v>0</v>
      </c>
    </row>
    <row r="587" spans="19:30">
      <c r="S587" s="17">
        <v>10</v>
      </c>
      <c r="T587" s="18"/>
      <c r="U587" s="17">
        <v>2</v>
      </c>
      <c r="V587" s="17" t="s">
        <v>67</v>
      </c>
      <c r="W587" s="18">
        <v>1</v>
      </c>
      <c r="X587" s="18" t="s">
        <v>342</v>
      </c>
      <c r="Y587" s="18">
        <f t="shared" si="66"/>
        <v>3</v>
      </c>
      <c r="Z587" s="17" t="s">
        <v>49</v>
      </c>
      <c r="AA587" s="17">
        <v>1</v>
      </c>
      <c r="AB587" s="1">
        <f t="shared" si="63"/>
        <v>0</v>
      </c>
      <c r="AC587" s="1">
        <f t="shared" si="64"/>
        <v>0</v>
      </c>
      <c r="AD587" s="1">
        <f t="shared" si="65"/>
        <v>1</v>
      </c>
    </row>
    <row r="588" spans="19:30">
      <c r="S588" s="17">
        <v>11</v>
      </c>
      <c r="T588" s="18"/>
      <c r="U588" s="17">
        <v>2</v>
      </c>
      <c r="V588" s="17" t="s">
        <v>67</v>
      </c>
      <c r="W588" s="18">
        <v>2</v>
      </c>
      <c r="X588" s="18" t="s">
        <v>342</v>
      </c>
      <c r="Y588" s="18">
        <f t="shared" si="66"/>
        <v>2</v>
      </c>
      <c r="Z588" s="17" t="s">
        <v>123</v>
      </c>
      <c r="AA588" s="17">
        <v>1</v>
      </c>
      <c r="AB588" s="1">
        <f t="shared" si="63"/>
        <v>0</v>
      </c>
      <c r="AC588" s="1">
        <f t="shared" si="64"/>
        <v>1</v>
      </c>
      <c r="AD588" s="1">
        <f t="shared" si="65"/>
        <v>0</v>
      </c>
    </row>
    <row r="589" spans="19:30">
      <c r="S589" s="17">
        <v>12</v>
      </c>
      <c r="T589" s="18"/>
      <c r="U589" s="17">
        <v>1</v>
      </c>
      <c r="V589" s="17" t="s">
        <v>67</v>
      </c>
      <c r="W589" s="18">
        <v>0</v>
      </c>
      <c r="X589" s="18" t="s">
        <v>342</v>
      </c>
      <c r="Y589" s="18">
        <f t="shared" si="66"/>
        <v>4</v>
      </c>
      <c r="Z589" s="17" t="s">
        <v>115</v>
      </c>
      <c r="AA589" s="17">
        <v>2</v>
      </c>
      <c r="AB589" s="1">
        <f t="shared" si="63"/>
        <v>0</v>
      </c>
      <c r="AC589" s="1">
        <f t="shared" si="64"/>
        <v>0</v>
      </c>
      <c r="AD589" s="1">
        <f t="shared" si="65"/>
        <v>1</v>
      </c>
    </row>
    <row r="590" spans="19:30">
      <c r="S590" s="17">
        <v>13</v>
      </c>
      <c r="T590" s="18"/>
      <c r="U590" s="17">
        <v>1</v>
      </c>
      <c r="V590" s="17" t="s">
        <v>67</v>
      </c>
      <c r="W590" s="18">
        <v>4</v>
      </c>
      <c r="X590" s="18" t="s">
        <v>342</v>
      </c>
      <c r="Y590" s="18">
        <f t="shared" si="66"/>
        <v>0</v>
      </c>
      <c r="Z590" s="17" t="s">
        <v>99</v>
      </c>
      <c r="AA590" s="17">
        <v>2</v>
      </c>
      <c r="AB590" s="1">
        <f t="shared" si="63"/>
        <v>1</v>
      </c>
      <c r="AC590" s="1">
        <f t="shared" si="64"/>
        <v>0</v>
      </c>
      <c r="AD590" s="1">
        <f t="shared" si="65"/>
        <v>0</v>
      </c>
    </row>
    <row r="591" spans="19:30">
      <c r="S591" s="17">
        <v>14</v>
      </c>
      <c r="T591" s="18"/>
      <c r="U591" s="17">
        <v>2</v>
      </c>
      <c r="V591" s="17" t="s">
        <v>67</v>
      </c>
      <c r="W591" s="18">
        <v>2</v>
      </c>
      <c r="X591" s="18" t="s">
        <v>342</v>
      </c>
      <c r="Y591" s="18">
        <f t="shared" si="66"/>
        <v>2</v>
      </c>
      <c r="Z591" s="17" t="s">
        <v>101</v>
      </c>
      <c r="AA591" s="17">
        <v>1</v>
      </c>
      <c r="AB591" s="1">
        <f t="shared" si="63"/>
        <v>0</v>
      </c>
      <c r="AC591" s="1">
        <f t="shared" si="64"/>
        <v>1</v>
      </c>
      <c r="AD591" s="1">
        <f t="shared" si="65"/>
        <v>0</v>
      </c>
    </row>
    <row r="592" spans="19:30">
      <c r="S592" s="17">
        <v>15</v>
      </c>
      <c r="T592" s="18"/>
      <c r="U592" s="17">
        <v>2</v>
      </c>
      <c r="V592" s="17" t="s">
        <v>67</v>
      </c>
      <c r="W592" s="18">
        <v>2</v>
      </c>
      <c r="X592" s="18" t="s">
        <v>342</v>
      </c>
      <c r="Y592" s="18">
        <f t="shared" si="66"/>
        <v>2</v>
      </c>
      <c r="Z592" s="17" t="s">
        <v>83</v>
      </c>
      <c r="AA592" s="17">
        <v>1</v>
      </c>
      <c r="AB592" s="1">
        <f t="shared" si="63"/>
        <v>0</v>
      </c>
      <c r="AC592" s="1">
        <f t="shared" si="64"/>
        <v>1</v>
      </c>
      <c r="AD592" s="1">
        <f t="shared" si="65"/>
        <v>0</v>
      </c>
    </row>
    <row r="593" spans="19:30">
      <c r="S593" s="58" t="s">
        <v>339</v>
      </c>
      <c r="T593" s="58" t="s">
        <v>340</v>
      </c>
      <c r="U593" s="58" t="s">
        <v>341</v>
      </c>
      <c r="V593" s="58" t="s">
        <v>1</v>
      </c>
      <c r="W593" s="66" t="s">
        <v>220</v>
      </c>
      <c r="X593" s="66"/>
      <c r="Y593" s="66"/>
      <c r="Z593" s="58" t="s">
        <v>1</v>
      </c>
      <c r="AA593" s="58" t="s">
        <v>341</v>
      </c>
      <c r="AB593" s="1">
        <f t="shared" si="63"/>
        <v>1</v>
      </c>
      <c r="AC593" s="1">
        <f t="shared" si="64"/>
        <v>0</v>
      </c>
      <c r="AD593" s="1">
        <f t="shared" si="65"/>
        <v>0</v>
      </c>
    </row>
    <row r="594" spans="19:30">
      <c r="S594" s="17">
        <v>1</v>
      </c>
      <c r="T594" s="18"/>
      <c r="U594" s="17">
        <v>1</v>
      </c>
      <c r="V594" s="17" t="s">
        <v>83</v>
      </c>
      <c r="W594" s="18">
        <v>4</v>
      </c>
      <c r="X594" s="18" t="s">
        <v>342</v>
      </c>
      <c r="Y594" s="18">
        <f>IF(W594="","",4-W594)</f>
        <v>0</v>
      </c>
      <c r="Z594" s="17" t="s">
        <v>65</v>
      </c>
      <c r="AA594" s="17">
        <v>2</v>
      </c>
      <c r="AB594" s="1">
        <f t="shared" si="63"/>
        <v>1</v>
      </c>
      <c r="AC594" s="1">
        <f t="shared" si="64"/>
        <v>0</v>
      </c>
      <c r="AD594" s="1">
        <f t="shared" si="65"/>
        <v>0</v>
      </c>
    </row>
    <row r="595" spans="19:30">
      <c r="S595" s="17">
        <v>2</v>
      </c>
      <c r="T595" s="18"/>
      <c r="U595" s="17">
        <v>1</v>
      </c>
      <c r="V595" s="17" t="s">
        <v>83</v>
      </c>
      <c r="W595" s="18">
        <v>4</v>
      </c>
      <c r="X595" s="18" t="s">
        <v>342</v>
      </c>
      <c r="Y595" s="18">
        <f t="shared" ref="Y595:Y608" si="67">IF(W595="","",4-W595)</f>
        <v>0</v>
      </c>
      <c r="Z595" s="17" t="s">
        <v>95</v>
      </c>
      <c r="AA595" s="17">
        <v>2</v>
      </c>
      <c r="AB595" s="1">
        <f t="shared" si="63"/>
        <v>1</v>
      </c>
      <c r="AC595" s="1">
        <f t="shared" si="64"/>
        <v>0</v>
      </c>
      <c r="AD595" s="1">
        <f t="shared" si="65"/>
        <v>0</v>
      </c>
    </row>
    <row r="596" spans="19:30">
      <c r="S596" s="17">
        <v>3</v>
      </c>
      <c r="T596" s="18"/>
      <c r="U596" s="17">
        <v>2</v>
      </c>
      <c r="V596" s="17" t="s">
        <v>83</v>
      </c>
      <c r="W596" s="18">
        <v>3</v>
      </c>
      <c r="X596" s="18" t="s">
        <v>342</v>
      </c>
      <c r="Y596" s="18">
        <f t="shared" si="67"/>
        <v>1</v>
      </c>
      <c r="Z596" s="17" t="s">
        <v>127</v>
      </c>
      <c r="AA596" s="17">
        <v>1</v>
      </c>
      <c r="AB596" s="1">
        <f t="shared" si="63"/>
        <v>1</v>
      </c>
      <c r="AC596" s="1">
        <f t="shared" si="64"/>
        <v>0</v>
      </c>
      <c r="AD596" s="1">
        <f t="shared" si="65"/>
        <v>0</v>
      </c>
    </row>
    <row r="597" spans="19:30">
      <c r="S597" s="17">
        <v>4</v>
      </c>
      <c r="T597" s="18"/>
      <c r="U597" s="17">
        <v>1</v>
      </c>
      <c r="V597" s="17" t="s">
        <v>83</v>
      </c>
      <c r="W597" s="18">
        <v>3</v>
      </c>
      <c r="X597" s="18" t="s">
        <v>342</v>
      </c>
      <c r="Y597" s="18">
        <f t="shared" si="67"/>
        <v>1</v>
      </c>
      <c r="Z597" s="17" t="s">
        <v>41</v>
      </c>
      <c r="AA597" s="17">
        <v>2</v>
      </c>
      <c r="AB597" s="1">
        <f t="shared" si="63"/>
        <v>1</v>
      </c>
      <c r="AC597" s="1">
        <f t="shared" si="64"/>
        <v>0</v>
      </c>
      <c r="AD597" s="1">
        <f t="shared" si="65"/>
        <v>0</v>
      </c>
    </row>
    <row r="598" spans="19:30">
      <c r="S598" s="17">
        <v>5</v>
      </c>
      <c r="T598" s="18"/>
      <c r="U598" s="17">
        <v>2</v>
      </c>
      <c r="V598" s="17" t="s">
        <v>83</v>
      </c>
      <c r="W598" s="18">
        <v>4</v>
      </c>
      <c r="X598" s="18" t="s">
        <v>342</v>
      </c>
      <c r="Y598" s="18">
        <f t="shared" si="67"/>
        <v>0</v>
      </c>
      <c r="Z598" s="17" t="s">
        <v>131</v>
      </c>
      <c r="AA598" s="17">
        <v>1</v>
      </c>
      <c r="AB598" s="1">
        <f t="shared" si="63"/>
        <v>1</v>
      </c>
      <c r="AC598" s="1">
        <f t="shared" si="64"/>
        <v>0</v>
      </c>
      <c r="AD598" s="1">
        <f t="shared" si="65"/>
        <v>0</v>
      </c>
    </row>
    <row r="599" spans="19:30">
      <c r="S599" s="17">
        <v>6</v>
      </c>
      <c r="T599" s="18"/>
      <c r="U599" s="17">
        <v>2</v>
      </c>
      <c r="V599" s="17" t="s">
        <v>83</v>
      </c>
      <c r="W599" s="18">
        <v>4</v>
      </c>
      <c r="X599" s="18" t="s">
        <v>342</v>
      </c>
      <c r="Y599" s="18">
        <f t="shared" si="67"/>
        <v>0</v>
      </c>
      <c r="Z599" s="17" t="s">
        <v>343</v>
      </c>
      <c r="AA599" s="17">
        <v>1</v>
      </c>
      <c r="AB599" s="1">
        <f t="shared" si="63"/>
        <v>1</v>
      </c>
      <c r="AC599" s="1">
        <f t="shared" si="64"/>
        <v>0</v>
      </c>
      <c r="AD599" s="1">
        <f t="shared" si="65"/>
        <v>0</v>
      </c>
    </row>
    <row r="600" spans="19:30">
      <c r="S600" s="17">
        <v>7</v>
      </c>
      <c r="T600" s="18"/>
      <c r="U600" s="17">
        <v>2</v>
      </c>
      <c r="V600" s="17" t="s">
        <v>83</v>
      </c>
      <c r="W600" s="18">
        <v>3</v>
      </c>
      <c r="X600" s="18" t="s">
        <v>342</v>
      </c>
      <c r="Y600" s="18">
        <f t="shared" si="67"/>
        <v>1</v>
      </c>
      <c r="Z600" s="17" t="s">
        <v>43</v>
      </c>
      <c r="AA600" s="17">
        <v>1</v>
      </c>
      <c r="AB600" s="1">
        <f t="shared" si="63"/>
        <v>1</v>
      </c>
      <c r="AC600" s="1">
        <f t="shared" si="64"/>
        <v>0</v>
      </c>
      <c r="AD600" s="1">
        <f t="shared" si="65"/>
        <v>0</v>
      </c>
    </row>
    <row r="601" spans="19:30">
      <c r="S601" s="17">
        <v>8</v>
      </c>
      <c r="T601" s="18"/>
      <c r="U601" s="17">
        <v>1</v>
      </c>
      <c r="V601" s="17" t="s">
        <v>83</v>
      </c>
      <c r="W601" s="18">
        <v>3</v>
      </c>
      <c r="X601" s="18" t="s">
        <v>342</v>
      </c>
      <c r="Y601" s="18">
        <f t="shared" si="67"/>
        <v>1</v>
      </c>
      <c r="Z601" s="17" t="s">
        <v>18</v>
      </c>
      <c r="AA601" s="17">
        <v>2</v>
      </c>
      <c r="AB601" s="1">
        <f t="shared" si="63"/>
        <v>1</v>
      </c>
      <c r="AC601" s="1">
        <f t="shared" si="64"/>
        <v>0</v>
      </c>
      <c r="AD601" s="1">
        <f t="shared" si="65"/>
        <v>0</v>
      </c>
    </row>
    <row r="602" spans="19:30">
      <c r="S602" s="17">
        <v>9</v>
      </c>
      <c r="T602" s="18"/>
      <c r="U602" s="17">
        <v>1</v>
      </c>
      <c r="V602" s="17" t="s">
        <v>83</v>
      </c>
      <c r="W602" s="18">
        <v>1</v>
      </c>
      <c r="X602" s="18" t="s">
        <v>342</v>
      </c>
      <c r="Y602" s="18">
        <f t="shared" si="67"/>
        <v>3</v>
      </c>
      <c r="Z602" s="17" t="s">
        <v>49</v>
      </c>
      <c r="AA602" s="17">
        <v>2</v>
      </c>
      <c r="AB602" s="1">
        <f t="shared" si="63"/>
        <v>0</v>
      </c>
      <c r="AC602" s="1">
        <f t="shared" si="64"/>
        <v>0</v>
      </c>
      <c r="AD602" s="1">
        <f t="shared" si="65"/>
        <v>1</v>
      </c>
    </row>
    <row r="603" spans="19:30">
      <c r="S603" s="17">
        <v>10</v>
      </c>
      <c r="T603" s="18"/>
      <c r="U603" s="17">
        <v>1</v>
      </c>
      <c r="V603" s="17" t="s">
        <v>83</v>
      </c>
      <c r="W603" s="18">
        <v>2</v>
      </c>
      <c r="X603" s="18" t="s">
        <v>342</v>
      </c>
      <c r="Y603" s="18">
        <f t="shared" si="67"/>
        <v>2</v>
      </c>
      <c r="Z603" s="17" t="s">
        <v>37</v>
      </c>
      <c r="AA603" s="17">
        <v>2</v>
      </c>
      <c r="AB603" s="1">
        <f t="shared" si="63"/>
        <v>0</v>
      </c>
      <c r="AC603" s="1">
        <f t="shared" si="64"/>
        <v>1</v>
      </c>
      <c r="AD603" s="1">
        <f t="shared" si="65"/>
        <v>0</v>
      </c>
    </row>
    <row r="604" spans="19:30">
      <c r="S604" s="17">
        <v>11</v>
      </c>
      <c r="T604" s="18"/>
      <c r="U604" s="17">
        <v>1</v>
      </c>
      <c r="V604" s="17" t="s">
        <v>83</v>
      </c>
      <c r="W604" s="18">
        <v>0</v>
      </c>
      <c r="X604" s="18" t="s">
        <v>342</v>
      </c>
      <c r="Y604" s="18">
        <f t="shared" si="67"/>
        <v>4</v>
      </c>
      <c r="Z604" s="17" t="s">
        <v>115</v>
      </c>
      <c r="AA604" s="17">
        <v>2</v>
      </c>
      <c r="AB604" s="1">
        <f t="shared" si="63"/>
        <v>0</v>
      </c>
      <c r="AC604" s="1">
        <f t="shared" si="64"/>
        <v>0</v>
      </c>
      <c r="AD604" s="1">
        <f t="shared" si="65"/>
        <v>1</v>
      </c>
    </row>
    <row r="605" spans="19:30">
      <c r="S605" s="17">
        <v>12</v>
      </c>
      <c r="T605" s="18"/>
      <c r="U605" s="17">
        <v>1</v>
      </c>
      <c r="V605" s="17" t="s">
        <v>83</v>
      </c>
      <c r="W605" s="18">
        <v>1</v>
      </c>
      <c r="X605" s="18" t="s">
        <v>342</v>
      </c>
      <c r="Y605" s="18">
        <f t="shared" si="67"/>
        <v>3</v>
      </c>
      <c r="Z605" s="17" t="s">
        <v>123</v>
      </c>
      <c r="AA605" s="17">
        <v>2</v>
      </c>
      <c r="AB605" s="1">
        <f t="shared" si="63"/>
        <v>0</v>
      </c>
      <c r="AC605" s="1">
        <f t="shared" si="64"/>
        <v>0</v>
      </c>
      <c r="AD605" s="1">
        <f t="shared" si="65"/>
        <v>1</v>
      </c>
    </row>
    <row r="606" spans="19:30">
      <c r="S606" s="17">
        <v>13</v>
      </c>
      <c r="T606" s="18"/>
      <c r="U606" s="17">
        <v>1</v>
      </c>
      <c r="V606" s="17" t="s">
        <v>83</v>
      </c>
      <c r="W606" s="18">
        <v>4</v>
      </c>
      <c r="X606" s="18" t="s">
        <v>342</v>
      </c>
      <c r="Y606" s="18">
        <f t="shared" si="67"/>
        <v>0</v>
      </c>
      <c r="Z606" s="17" t="s">
        <v>101</v>
      </c>
      <c r="AA606" s="17">
        <v>2</v>
      </c>
      <c r="AB606" s="1">
        <f t="shared" si="63"/>
        <v>1</v>
      </c>
      <c r="AC606" s="1">
        <f t="shared" si="64"/>
        <v>0</v>
      </c>
      <c r="AD606" s="1">
        <f t="shared" si="65"/>
        <v>0</v>
      </c>
    </row>
    <row r="607" spans="19:30">
      <c r="S607" s="17">
        <v>14</v>
      </c>
      <c r="T607" s="18"/>
      <c r="U607" s="17">
        <v>1</v>
      </c>
      <c r="V607" s="17" t="s">
        <v>83</v>
      </c>
      <c r="W607" s="18">
        <v>4</v>
      </c>
      <c r="X607" s="18" t="s">
        <v>342</v>
      </c>
      <c r="Y607" s="18">
        <f t="shared" si="67"/>
        <v>0</v>
      </c>
      <c r="Z607" s="17" t="s">
        <v>99</v>
      </c>
      <c r="AA607" s="17">
        <v>2</v>
      </c>
      <c r="AB607" s="1">
        <f t="shared" si="63"/>
        <v>1</v>
      </c>
      <c r="AC607" s="1">
        <f t="shared" si="64"/>
        <v>0</v>
      </c>
      <c r="AD607" s="1">
        <f t="shared" si="65"/>
        <v>0</v>
      </c>
    </row>
    <row r="608" spans="19:30">
      <c r="S608" s="17">
        <v>15</v>
      </c>
      <c r="T608" s="18"/>
      <c r="U608" s="17">
        <v>1</v>
      </c>
      <c r="V608" s="17" t="s">
        <v>83</v>
      </c>
      <c r="W608" s="18">
        <v>2</v>
      </c>
      <c r="X608" s="18" t="s">
        <v>342</v>
      </c>
      <c r="Y608" s="18">
        <f t="shared" si="67"/>
        <v>2</v>
      </c>
      <c r="Z608" s="17" t="s">
        <v>67</v>
      </c>
      <c r="AA608" s="17">
        <v>2</v>
      </c>
      <c r="AB608" s="1">
        <f t="shared" si="63"/>
        <v>0</v>
      </c>
      <c r="AC608" s="1">
        <f t="shared" si="64"/>
        <v>1</v>
      </c>
      <c r="AD608" s="1">
        <f t="shared" si="65"/>
        <v>0</v>
      </c>
    </row>
    <row r="609" spans="19:30">
      <c r="S609" s="58" t="s">
        <v>339</v>
      </c>
      <c r="T609" s="58" t="s">
        <v>340</v>
      </c>
      <c r="U609" s="58" t="s">
        <v>341</v>
      </c>
      <c r="V609" s="58" t="s">
        <v>1</v>
      </c>
      <c r="W609" s="66" t="s">
        <v>220</v>
      </c>
      <c r="X609" s="66"/>
      <c r="Y609" s="66"/>
      <c r="Z609" s="58" t="s">
        <v>1</v>
      </c>
      <c r="AA609" s="58" t="s">
        <v>341</v>
      </c>
      <c r="AB609" s="1">
        <f t="shared" si="63"/>
        <v>1</v>
      </c>
      <c r="AC609" s="1">
        <f t="shared" si="64"/>
        <v>0</v>
      </c>
      <c r="AD609" s="1">
        <f t="shared" si="65"/>
        <v>0</v>
      </c>
    </row>
    <row r="610" spans="19:30">
      <c r="S610" s="17">
        <v>1</v>
      </c>
      <c r="T610" s="18"/>
      <c r="U610" s="17">
        <v>1</v>
      </c>
      <c r="V610" s="17" t="s">
        <v>101</v>
      </c>
      <c r="W610" s="18">
        <v>2</v>
      </c>
      <c r="X610" s="18" t="s">
        <v>342</v>
      </c>
      <c r="Y610" s="18">
        <f>IF(W610="","",4-W610)</f>
        <v>2</v>
      </c>
      <c r="Z610" s="17" t="s">
        <v>41</v>
      </c>
      <c r="AA610" s="17">
        <v>2</v>
      </c>
      <c r="AB610" s="1">
        <f t="shared" si="63"/>
        <v>0</v>
      </c>
      <c r="AC610" s="1">
        <f t="shared" si="64"/>
        <v>1</v>
      </c>
      <c r="AD610" s="1">
        <f t="shared" si="65"/>
        <v>0</v>
      </c>
    </row>
    <row r="611" spans="19:30">
      <c r="S611" s="17">
        <v>2</v>
      </c>
      <c r="T611" s="18"/>
      <c r="U611" s="17">
        <v>1</v>
      </c>
      <c r="V611" s="17" t="s">
        <v>101</v>
      </c>
      <c r="W611" s="18">
        <v>2</v>
      </c>
      <c r="X611" s="18" t="s">
        <v>342</v>
      </c>
      <c r="Y611" s="18">
        <f t="shared" ref="Y611:Y624" si="68">IF(W611="","",4-W611)</f>
        <v>2</v>
      </c>
      <c r="Z611" s="17" t="s">
        <v>127</v>
      </c>
      <c r="AA611" s="17">
        <v>2</v>
      </c>
      <c r="AB611" s="1">
        <f t="shared" si="63"/>
        <v>0</v>
      </c>
      <c r="AC611" s="1">
        <f t="shared" si="64"/>
        <v>1</v>
      </c>
      <c r="AD611" s="1">
        <f t="shared" si="65"/>
        <v>0</v>
      </c>
    </row>
    <row r="612" spans="19:30">
      <c r="S612" s="17">
        <v>3</v>
      </c>
      <c r="T612" s="18"/>
      <c r="U612" s="17">
        <v>1</v>
      </c>
      <c r="V612" s="17" t="s">
        <v>101</v>
      </c>
      <c r="W612" s="18">
        <v>4</v>
      </c>
      <c r="X612" s="18" t="s">
        <v>342</v>
      </c>
      <c r="Y612" s="18">
        <f t="shared" si="68"/>
        <v>0</v>
      </c>
      <c r="Z612" s="17" t="s">
        <v>95</v>
      </c>
      <c r="AA612" s="17">
        <v>2</v>
      </c>
      <c r="AB612" s="1">
        <f t="shared" si="63"/>
        <v>1</v>
      </c>
      <c r="AC612" s="1">
        <f t="shared" si="64"/>
        <v>0</v>
      </c>
      <c r="AD612" s="1">
        <f t="shared" si="65"/>
        <v>0</v>
      </c>
    </row>
    <row r="613" spans="19:30">
      <c r="S613" s="17">
        <v>4</v>
      </c>
      <c r="T613" s="18"/>
      <c r="U613" s="17">
        <v>1</v>
      </c>
      <c r="V613" s="17" t="s">
        <v>101</v>
      </c>
      <c r="W613" s="18">
        <v>3</v>
      </c>
      <c r="X613" s="18" t="s">
        <v>342</v>
      </c>
      <c r="Y613" s="18">
        <f t="shared" si="68"/>
        <v>1</v>
      </c>
      <c r="Z613" s="17" t="s">
        <v>65</v>
      </c>
      <c r="AA613" s="17">
        <v>2</v>
      </c>
      <c r="AB613" s="1">
        <f t="shared" si="63"/>
        <v>1</v>
      </c>
      <c r="AC613" s="1">
        <f t="shared" si="64"/>
        <v>0</v>
      </c>
      <c r="AD613" s="1">
        <f t="shared" si="65"/>
        <v>0</v>
      </c>
    </row>
    <row r="614" spans="19:30">
      <c r="S614" s="17">
        <v>5</v>
      </c>
      <c r="T614" s="18"/>
      <c r="U614" s="17">
        <v>2</v>
      </c>
      <c r="V614" s="17" t="s">
        <v>101</v>
      </c>
      <c r="W614" s="18">
        <v>4</v>
      </c>
      <c r="X614" s="18" t="s">
        <v>342</v>
      </c>
      <c r="Y614" s="18">
        <f t="shared" si="68"/>
        <v>0</v>
      </c>
      <c r="Z614" s="17" t="s">
        <v>18</v>
      </c>
      <c r="AA614" s="17">
        <v>1</v>
      </c>
      <c r="AB614" s="1">
        <f t="shared" si="63"/>
        <v>1</v>
      </c>
      <c r="AC614" s="1">
        <f t="shared" si="64"/>
        <v>0</v>
      </c>
      <c r="AD614" s="1">
        <f t="shared" si="65"/>
        <v>0</v>
      </c>
    </row>
    <row r="615" spans="19:30">
      <c r="S615" s="17">
        <v>6</v>
      </c>
      <c r="T615" s="18"/>
      <c r="U615" s="17">
        <v>2</v>
      </c>
      <c r="V615" s="17" t="s">
        <v>101</v>
      </c>
      <c r="W615" s="18">
        <v>3</v>
      </c>
      <c r="X615" s="18" t="s">
        <v>342</v>
      </c>
      <c r="Y615" s="18">
        <f t="shared" si="68"/>
        <v>1</v>
      </c>
      <c r="Z615" s="17" t="s">
        <v>43</v>
      </c>
      <c r="AA615" s="17">
        <v>1</v>
      </c>
      <c r="AB615" s="1">
        <f t="shared" si="63"/>
        <v>1</v>
      </c>
      <c r="AC615" s="1">
        <f t="shared" si="64"/>
        <v>0</v>
      </c>
      <c r="AD615" s="1">
        <f t="shared" si="65"/>
        <v>0</v>
      </c>
    </row>
    <row r="616" spans="19:30">
      <c r="S616" s="17">
        <v>7</v>
      </c>
      <c r="T616" s="18"/>
      <c r="U616" s="17">
        <v>1</v>
      </c>
      <c r="V616" s="17" t="s">
        <v>101</v>
      </c>
      <c r="W616" s="18">
        <v>4</v>
      </c>
      <c r="X616" s="18" t="s">
        <v>342</v>
      </c>
      <c r="Y616" s="18">
        <f t="shared" si="68"/>
        <v>0</v>
      </c>
      <c r="Z616" s="17" t="s">
        <v>343</v>
      </c>
      <c r="AA616" s="17">
        <v>2</v>
      </c>
      <c r="AB616" s="1">
        <f t="shared" si="63"/>
        <v>1</v>
      </c>
      <c r="AC616" s="1">
        <f t="shared" si="64"/>
        <v>0</v>
      </c>
      <c r="AD616" s="1">
        <f t="shared" si="65"/>
        <v>0</v>
      </c>
    </row>
    <row r="617" spans="19:30">
      <c r="S617" s="17">
        <v>8</v>
      </c>
      <c r="T617" s="18"/>
      <c r="U617" s="17">
        <v>2</v>
      </c>
      <c r="V617" s="17" t="s">
        <v>101</v>
      </c>
      <c r="W617" s="18">
        <v>3</v>
      </c>
      <c r="X617" s="18" t="s">
        <v>342</v>
      </c>
      <c r="Y617" s="18">
        <f t="shared" si="68"/>
        <v>1</v>
      </c>
      <c r="Z617" s="17" t="s">
        <v>131</v>
      </c>
      <c r="AA617" s="17">
        <v>1</v>
      </c>
      <c r="AB617" s="1">
        <f t="shared" si="63"/>
        <v>1</v>
      </c>
      <c r="AC617" s="1">
        <f t="shared" si="64"/>
        <v>0</v>
      </c>
      <c r="AD617" s="1">
        <f t="shared" si="65"/>
        <v>0</v>
      </c>
    </row>
    <row r="618" spans="19:30">
      <c r="S618" s="17">
        <v>9</v>
      </c>
      <c r="T618" s="18"/>
      <c r="U618" s="17">
        <v>1</v>
      </c>
      <c r="V618" s="17" t="s">
        <v>101</v>
      </c>
      <c r="W618" s="18">
        <v>0</v>
      </c>
      <c r="X618" s="18" t="s">
        <v>342</v>
      </c>
      <c r="Y618" s="18">
        <f t="shared" si="68"/>
        <v>4</v>
      </c>
      <c r="Z618" s="17" t="s">
        <v>123</v>
      </c>
      <c r="AA618" s="17">
        <v>2</v>
      </c>
      <c r="AB618" s="1">
        <f t="shared" si="63"/>
        <v>0</v>
      </c>
      <c r="AC618" s="1">
        <f t="shared" si="64"/>
        <v>0</v>
      </c>
      <c r="AD618" s="1">
        <f t="shared" si="65"/>
        <v>1</v>
      </c>
    </row>
    <row r="619" spans="19:30">
      <c r="S619" s="17">
        <v>10</v>
      </c>
      <c r="T619" s="18"/>
      <c r="U619" s="17">
        <v>1</v>
      </c>
      <c r="V619" s="17" t="s">
        <v>101</v>
      </c>
      <c r="W619" s="18">
        <v>0</v>
      </c>
      <c r="X619" s="18" t="s">
        <v>342</v>
      </c>
      <c r="Y619" s="18">
        <f t="shared" si="68"/>
        <v>4</v>
      </c>
      <c r="Z619" s="17" t="s">
        <v>115</v>
      </c>
      <c r="AA619" s="17">
        <v>2</v>
      </c>
      <c r="AB619" s="1">
        <f t="shared" si="63"/>
        <v>0</v>
      </c>
      <c r="AC619" s="1">
        <f t="shared" si="64"/>
        <v>0</v>
      </c>
      <c r="AD619" s="1">
        <f t="shared" si="65"/>
        <v>1</v>
      </c>
    </row>
    <row r="620" spans="19:30">
      <c r="S620" s="17">
        <v>11</v>
      </c>
      <c r="T620" s="18"/>
      <c r="U620" s="17">
        <v>2</v>
      </c>
      <c r="V620" s="17" t="s">
        <v>101</v>
      </c>
      <c r="W620" s="18">
        <v>1</v>
      </c>
      <c r="X620" s="18" t="s">
        <v>342</v>
      </c>
      <c r="Y620" s="18">
        <f t="shared" si="68"/>
        <v>3</v>
      </c>
      <c r="Z620" s="17" t="s">
        <v>37</v>
      </c>
      <c r="AA620" s="17">
        <v>1</v>
      </c>
      <c r="AB620" s="1">
        <f t="shared" si="63"/>
        <v>0</v>
      </c>
      <c r="AC620" s="1">
        <f t="shared" si="64"/>
        <v>0</v>
      </c>
      <c r="AD620" s="1">
        <f t="shared" si="65"/>
        <v>1</v>
      </c>
    </row>
    <row r="621" spans="19:30">
      <c r="S621" s="17">
        <v>12</v>
      </c>
      <c r="T621" s="18"/>
      <c r="U621" s="17">
        <v>1</v>
      </c>
      <c r="V621" s="17" t="s">
        <v>101</v>
      </c>
      <c r="W621" s="18">
        <v>1</v>
      </c>
      <c r="X621" s="18" t="s">
        <v>342</v>
      </c>
      <c r="Y621" s="18">
        <f t="shared" si="68"/>
        <v>3</v>
      </c>
      <c r="Z621" s="17" t="s">
        <v>49</v>
      </c>
      <c r="AA621" s="17">
        <v>2</v>
      </c>
      <c r="AB621" s="1">
        <f t="shared" si="63"/>
        <v>0</v>
      </c>
      <c r="AC621" s="1">
        <f t="shared" si="64"/>
        <v>0</v>
      </c>
      <c r="AD621" s="1">
        <f t="shared" si="65"/>
        <v>1</v>
      </c>
    </row>
    <row r="622" spans="19:30">
      <c r="S622" s="17">
        <v>13</v>
      </c>
      <c r="T622" s="18"/>
      <c r="U622" s="17">
        <v>2</v>
      </c>
      <c r="V622" s="17" t="s">
        <v>101</v>
      </c>
      <c r="W622" s="18">
        <v>0</v>
      </c>
      <c r="X622" s="18" t="s">
        <v>342</v>
      </c>
      <c r="Y622" s="18">
        <f t="shared" si="68"/>
        <v>4</v>
      </c>
      <c r="Z622" s="17" t="s">
        <v>83</v>
      </c>
      <c r="AA622" s="17">
        <v>1</v>
      </c>
      <c r="AB622" s="1">
        <f t="shared" si="63"/>
        <v>0</v>
      </c>
      <c r="AC622" s="1">
        <f t="shared" si="64"/>
        <v>0</v>
      </c>
      <c r="AD622" s="1">
        <f t="shared" si="65"/>
        <v>1</v>
      </c>
    </row>
    <row r="623" spans="19:30">
      <c r="S623" s="17">
        <v>14</v>
      </c>
      <c r="T623" s="18"/>
      <c r="U623" s="17">
        <v>1</v>
      </c>
      <c r="V623" s="17" t="s">
        <v>101</v>
      </c>
      <c r="W623" s="18">
        <v>2</v>
      </c>
      <c r="X623" s="18" t="s">
        <v>342</v>
      </c>
      <c r="Y623" s="18">
        <f t="shared" si="68"/>
        <v>2</v>
      </c>
      <c r="Z623" s="17" t="s">
        <v>67</v>
      </c>
      <c r="AA623" s="17">
        <v>2</v>
      </c>
      <c r="AB623" s="1">
        <f t="shared" si="63"/>
        <v>0</v>
      </c>
      <c r="AC623" s="1">
        <f t="shared" si="64"/>
        <v>1</v>
      </c>
      <c r="AD623" s="1">
        <f t="shared" si="65"/>
        <v>0</v>
      </c>
    </row>
    <row r="624" spans="19:30">
      <c r="S624" s="17">
        <v>15</v>
      </c>
      <c r="T624" s="18"/>
      <c r="U624" s="17">
        <v>2</v>
      </c>
      <c r="V624" s="17" t="s">
        <v>101</v>
      </c>
      <c r="W624" s="18">
        <v>1</v>
      </c>
      <c r="X624" s="18" t="s">
        <v>342</v>
      </c>
      <c r="Y624" s="18">
        <f t="shared" si="68"/>
        <v>3</v>
      </c>
      <c r="Z624" s="17" t="s">
        <v>99</v>
      </c>
      <c r="AA624" s="17">
        <v>1</v>
      </c>
      <c r="AB624" s="1">
        <f t="shared" si="63"/>
        <v>0</v>
      </c>
      <c r="AC624" s="1">
        <f t="shared" si="64"/>
        <v>0</v>
      </c>
      <c r="AD624" s="1">
        <f t="shared" si="65"/>
        <v>1</v>
      </c>
    </row>
    <row r="625" spans="19:30">
      <c r="S625" s="58" t="s">
        <v>339</v>
      </c>
      <c r="T625" s="58" t="s">
        <v>340</v>
      </c>
      <c r="U625" s="58" t="s">
        <v>341</v>
      </c>
      <c r="V625" s="58" t="s">
        <v>1</v>
      </c>
      <c r="W625" s="66" t="s">
        <v>220</v>
      </c>
      <c r="X625" s="66"/>
      <c r="Y625" s="66"/>
      <c r="Z625" s="58" t="s">
        <v>1</v>
      </c>
      <c r="AA625" s="58" t="s">
        <v>341</v>
      </c>
      <c r="AB625" s="1">
        <f t="shared" si="63"/>
        <v>1</v>
      </c>
      <c r="AC625" s="1">
        <f t="shared" si="64"/>
        <v>0</v>
      </c>
      <c r="AD625" s="1">
        <f t="shared" si="65"/>
        <v>0</v>
      </c>
    </row>
    <row r="626" spans="19:30">
      <c r="S626" s="17">
        <v>1</v>
      </c>
      <c r="T626" s="18"/>
      <c r="U626" s="17">
        <v>1</v>
      </c>
      <c r="V626" s="17" t="s">
        <v>99</v>
      </c>
      <c r="W626" s="18">
        <v>4</v>
      </c>
      <c r="X626" s="18" t="s">
        <v>342</v>
      </c>
      <c r="Y626" s="18">
        <f>IF(W626="","",4-W626)</f>
        <v>0</v>
      </c>
      <c r="Z626" s="17" t="s">
        <v>127</v>
      </c>
      <c r="AA626" s="17">
        <v>2</v>
      </c>
      <c r="AB626" s="1">
        <f t="shared" si="63"/>
        <v>1</v>
      </c>
      <c r="AC626" s="1">
        <f t="shared" si="64"/>
        <v>0</v>
      </c>
      <c r="AD626" s="1">
        <f t="shared" si="65"/>
        <v>0</v>
      </c>
    </row>
    <row r="627" spans="19:30">
      <c r="S627" s="17">
        <v>2</v>
      </c>
      <c r="T627" s="18"/>
      <c r="U627" s="17">
        <v>1</v>
      </c>
      <c r="V627" s="17" t="s">
        <v>99</v>
      </c>
      <c r="W627" s="18">
        <v>4</v>
      </c>
      <c r="X627" s="18" t="s">
        <v>342</v>
      </c>
      <c r="Y627" s="18">
        <f t="shared" ref="Y627:Y640" si="69">IF(W627="","",4-W627)</f>
        <v>0</v>
      </c>
      <c r="Z627" s="17" t="s">
        <v>41</v>
      </c>
      <c r="AA627" s="17">
        <v>2</v>
      </c>
      <c r="AB627" s="1">
        <f t="shared" si="63"/>
        <v>1</v>
      </c>
      <c r="AC627" s="1">
        <f t="shared" si="64"/>
        <v>0</v>
      </c>
      <c r="AD627" s="1">
        <f t="shared" si="65"/>
        <v>0</v>
      </c>
    </row>
    <row r="628" spans="19:30">
      <c r="S628" s="17">
        <v>3</v>
      </c>
      <c r="T628" s="18"/>
      <c r="U628" s="17">
        <v>1</v>
      </c>
      <c r="V628" s="17" t="s">
        <v>99</v>
      </c>
      <c r="W628" s="18">
        <v>4</v>
      </c>
      <c r="X628" s="18" t="s">
        <v>342</v>
      </c>
      <c r="Y628" s="18">
        <f t="shared" si="69"/>
        <v>0</v>
      </c>
      <c r="Z628" s="17" t="s">
        <v>65</v>
      </c>
      <c r="AA628" s="17">
        <v>2</v>
      </c>
      <c r="AB628" s="1">
        <f t="shared" si="63"/>
        <v>1</v>
      </c>
      <c r="AC628" s="1">
        <f t="shared" si="64"/>
        <v>0</v>
      </c>
      <c r="AD628" s="1">
        <f t="shared" si="65"/>
        <v>0</v>
      </c>
    </row>
    <row r="629" spans="19:30">
      <c r="S629" s="17">
        <v>4</v>
      </c>
      <c r="T629" s="18"/>
      <c r="U629" s="17">
        <v>1</v>
      </c>
      <c r="V629" s="17" t="s">
        <v>99</v>
      </c>
      <c r="W629" s="18">
        <v>4</v>
      </c>
      <c r="X629" s="18" t="s">
        <v>342</v>
      </c>
      <c r="Y629" s="18">
        <f t="shared" si="69"/>
        <v>0</v>
      </c>
      <c r="Z629" s="17" t="s">
        <v>95</v>
      </c>
      <c r="AA629" s="17">
        <v>2</v>
      </c>
      <c r="AB629" s="1">
        <f t="shared" si="63"/>
        <v>1</v>
      </c>
      <c r="AC629" s="1">
        <f t="shared" si="64"/>
        <v>0</v>
      </c>
      <c r="AD629" s="1">
        <f t="shared" si="65"/>
        <v>0</v>
      </c>
    </row>
    <row r="630" spans="19:30">
      <c r="S630" s="17">
        <v>5</v>
      </c>
      <c r="T630" s="18"/>
      <c r="U630" s="17">
        <v>2</v>
      </c>
      <c r="V630" s="17" t="s">
        <v>99</v>
      </c>
      <c r="W630" s="18">
        <v>4</v>
      </c>
      <c r="X630" s="18" t="s">
        <v>342</v>
      </c>
      <c r="Y630" s="18">
        <f t="shared" si="69"/>
        <v>0</v>
      </c>
      <c r="Z630" s="17" t="s">
        <v>43</v>
      </c>
      <c r="AA630" s="17">
        <v>1</v>
      </c>
      <c r="AB630" s="1">
        <f t="shared" si="63"/>
        <v>1</v>
      </c>
      <c r="AC630" s="1">
        <f t="shared" si="64"/>
        <v>0</v>
      </c>
      <c r="AD630" s="1">
        <f t="shared" si="65"/>
        <v>0</v>
      </c>
    </row>
    <row r="631" spans="19:30">
      <c r="S631" s="17">
        <v>6</v>
      </c>
      <c r="T631" s="18"/>
      <c r="U631" s="17">
        <v>1</v>
      </c>
      <c r="V631" s="17" t="s">
        <v>99</v>
      </c>
      <c r="W631" s="18">
        <v>4</v>
      </c>
      <c r="X631" s="18" t="s">
        <v>342</v>
      </c>
      <c r="Y631" s="18">
        <f t="shared" si="69"/>
        <v>0</v>
      </c>
      <c r="Z631" s="17" t="s">
        <v>18</v>
      </c>
      <c r="AA631" s="17">
        <v>2</v>
      </c>
      <c r="AB631" s="1">
        <f t="shared" si="63"/>
        <v>1</v>
      </c>
      <c r="AC631" s="1">
        <f t="shared" si="64"/>
        <v>0</v>
      </c>
      <c r="AD631" s="1">
        <f t="shared" si="65"/>
        <v>0</v>
      </c>
    </row>
    <row r="632" spans="19:30">
      <c r="S632" s="17">
        <v>7</v>
      </c>
      <c r="T632" s="18"/>
      <c r="U632" s="17">
        <v>2</v>
      </c>
      <c r="V632" s="17" t="s">
        <v>99</v>
      </c>
      <c r="W632" s="18">
        <v>4</v>
      </c>
      <c r="X632" s="18" t="s">
        <v>342</v>
      </c>
      <c r="Y632" s="18">
        <f t="shared" si="69"/>
        <v>0</v>
      </c>
      <c r="Z632" s="17" t="s">
        <v>131</v>
      </c>
      <c r="AA632" s="17">
        <v>1</v>
      </c>
      <c r="AB632" s="1">
        <f t="shared" si="63"/>
        <v>1</v>
      </c>
      <c r="AC632" s="1">
        <f t="shared" si="64"/>
        <v>0</v>
      </c>
      <c r="AD632" s="1">
        <f t="shared" si="65"/>
        <v>0</v>
      </c>
    </row>
    <row r="633" spans="19:30">
      <c r="S633" s="17">
        <v>8</v>
      </c>
      <c r="T633" s="18"/>
      <c r="U633" s="17">
        <v>1</v>
      </c>
      <c r="V633" s="17" t="s">
        <v>99</v>
      </c>
      <c r="W633" s="18">
        <v>4</v>
      </c>
      <c r="X633" s="18" t="s">
        <v>342</v>
      </c>
      <c r="Y633" s="18">
        <f t="shared" si="69"/>
        <v>0</v>
      </c>
      <c r="Z633" s="17" t="s">
        <v>343</v>
      </c>
      <c r="AA633" s="17">
        <v>2</v>
      </c>
      <c r="AB633" s="1">
        <f t="shared" si="63"/>
        <v>1</v>
      </c>
      <c r="AC633" s="1">
        <f t="shared" si="64"/>
        <v>0</v>
      </c>
      <c r="AD633" s="1">
        <f t="shared" si="65"/>
        <v>0</v>
      </c>
    </row>
    <row r="634" spans="19:30">
      <c r="S634" s="17">
        <v>9</v>
      </c>
      <c r="T634" s="18"/>
      <c r="U634" s="17">
        <v>2</v>
      </c>
      <c r="V634" s="17" t="s">
        <v>99</v>
      </c>
      <c r="W634" s="18">
        <v>0</v>
      </c>
      <c r="X634" s="18" t="s">
        <v>342</v>
      </c>
      <c r="Y634" s="18">
        <f t="shared" si="69"/>
        <v>4</v>
      </c>
      <c r="Z634" s="17" t="s">
        <v>115</v>
      </c>
      <c r="AA634" s="17">
        <v>1</v>
      </c>
      <c r="AB634" s="1">
        <f t="shared" si="63"/>
        <v>0</v>
      </c>
      <c r="AC634" s="1">
        <f t="shared" si="64"/>
        <v>0</v>
      </c>
      <c r="AD634" s="1">
        <f t="shared" si="65"/>
        <v>1</v>
      </c>
    </row>
    <row r="635" spans="19:30">
      <c r="S635" s="17">
        <v>10</v>
      </c>
      <c r="T635" s="18"/>
      <c r="U635" s="17">
        <v>1</v>
      </c>
      <c r="V635" s="17" t="s">
        <v>99</v>
      </c>
      <c r="W635" s="18">
        <v>1</v>
      </c>
      <c r="X635" s="18" t="s">
        <v>342</v>
      </c>
      <c r="Y635" s="18">
        <f t="shared" si="69"/>
        <v>3</v>
      </c>
      <c r="Z635" s="17" t="s">
        <v>123</v>
      </c>
      <c r="AA635" s="17">
        <v>2</v>
      </c>
      <c r="AB635" s="1">
        <f t="shared" si="63"/>
        <v>0</v>
      </c>
      <c r="AC635" s="1">
        <f t="shared" si="64"/>
        <v>0</v>
      </c>
      <c r="AD635" s="1">
        <f t="shared" si="65"/>
        <v>1</v>
      </c>
    </row>
    <row r="636" spans="19:30">
      <c r="S636" s="17">
        <v>11</v>
      </c>
      <c r="T636" s="18"/>
      <c r="U636" s="17">
        <v>1</v>
      </c>
      <c r="V636" s="17" t="s">
        <v>99</v>
      </c>
      <c r="W636" s="18">
        <v>1</v>
      </c>
      <c r="X636" s="18" t="s">
        <v>342</v>
      </c>
      <c r="Y636" s="18">
        <f t="shared" si="69"/>
        <v>3</v>
      </c>
      <c r="Z636" s="17" t="s">
        <v>49</v>
      </c>
      <c r="AA636" s="17">
        <v>2</v>
      </c>
      <c r="AB636" s="1">
        <f t="shared" si="63"/>
        <v>0</v>
      </c>
      <c r="AC636" s="1">
        <f t="shared" si="64"/>
        <v>0</v>
      </c>
      <c r="AD636" s="1">
        <f t="shared" si="65"/>
        <v>1</v>
      </c>
    </row>
    <row r="637" spans="19:30">
      <c r="S637" s="17">
        <v>12</v>
      </c>
      <c r="T637" s="18"/>
      <c r="U637" s="17">
        <v>1</v>
      </c>
      <c r="V637" s="17" t="s">
        <v>99</v>
      </c>
      <c r="W637" s="18">
        <v>1</v>
      </c>
      <c r="X637" s="18" t="s">
        <v>342</v>
      </c>
      <c r="Y637" s="18">
        <f t="shared" si="69"/>
        <v>3</v>
      </c>
      <c r="Z637" s="17" t="s">
        <v>37</v>
      </c>
      <c r="AA637" s="17">
        <v>2</v>
      </c>
      <c r="AB637" s="1">
        <f t="shared" si="63"/>
        <v>0</v>
      </c>
      <c r="AC637" s="1">
        <f t="shared" si="64"/>
        <v>0</v>
      </c>
      <c r="AD637" s="1">
        <f t="shared" si="65"/>
        <v>1</v>
      </c>
    </row>
    <row r="638" spans="19:30">
      <c r="S638" s="17">
        <v>13</v>
      </c>
      <c r="T638" s="18"/>
      <c r="U638" s="17">
        <v>2</v>
      </c>
      <c r="V638" s="17" t="s">
        <v>99</v>
      </c>
      <c r="W638" s="18">
        <v>0</v>
      </c>
      <c r="X638" s="18" t="s">
        <v>342</v>
      </c>
      <c r="Y638" s="18">
        <f t="shared" si="69"/>
        <v>4</v>
      </c>
      <c r="Z638" s="17" t="s">
        <v>67</v>
      </c>
      <c r="AA638" s="17">
        <v>1</v>
      </c>
      <c r="AB638" s="1">
        <f t="shared" si="63"/>
        <v>0</v>
      </c>
      <c r="AC638" s="1">
        <f t="shared" si="64"/>
        <v>0</v>
      </c>
      <c r="AD638" s="1">
        <f t="shared" si="65"/>
        <v>1</v>
      </c>
    </row>
    <row r="639" spans="19:30">
      <c r="S639" s="17">
        <v>14</v>
      </c>
      <c r="T639" s="18"/>
      <c r="U639" s="17">
        <v>2</v>
      </c>
      <c r="V639" s="17" t="s">
        <v>99</v>
      </c>
      <c r="W639" s="18">
        <v>0</v>
      </c>
      <c r="X639" s="18" t="s">
        <v>342</v>
      </c>
      <c r="Y639" s="18">
        <f t="shared" si="69"/>
        <v>4</v>
      </c>
      <c r="Z639" s="17" t="s">
        <v>83</v>
      </c>
      <c r="AA639" s="17">
        <v>1</v>
      </c>
      <c r="AB639" s="1">
        <f t="shared" si="63"/>
        <v>0</v>
      </c>
      <c r="AC639" s="1">
        <f t="shared" si="64"/>
        <v>0</v>
      </c>
      <c r="AD639" s="1">
        <f t="shared" si="65"/>
        <v>1</v>
      </c>
    </row>
    <row r="640" spans="19:30">
      <c r="S640" s="17">
        <v>15</v>
      </c>
      <c r="T640" s="18"/>
      <c r="U640" s="17">
        <v>1</v>
      </c>
      <c r="V640" s="17" t="s">
        <v>99</v>
      </c>
      <c r="W640" s="18">
        <v>3</v>
      </c>
      <c r="X640" s="18" t="s">
        <v>342</v>
      </c>
      <c r="Y640" s="18">
        <f t="shared" si="69"/>
        <v>1</v>
      </c>
      <c r="Z640" s="17" t="s">
        <v>101</v>
      </c>
      <c r="AA640" s="17">
        <v>2</v>
      </c>
      <c r="AB640" s="1">
        <f t="shared" si="63"/>
        <v>1</v>
      </c>
      <c r="AC640" s="1">
        <f t="shared" si="64"/>
        <v>0</v>
      </c>
      <c r="AD640" s="1">
        <f t="shared" si="65"/>
        <v>0</v>
      </c>
    </row>
    <row r="641" spans="19:30">
      <c r="S641" s="58" t="s">
        <v>339</v>
      </c>
      <c r="T641" s="58" t="s">
        <v>340</v>
      </c>
      <c r="U641" s="58" t="s">
        <v>341</v>
      </c>
      <c r="V641" s="58" t="s">
        <v>1</v>
      </c>
      <c r="W641" s="66" t="s">
        <v>220</v>
      </c>
      <c r="X641" s="66"/>
      <c r="Y641" s="66"/>
      <c r="Z641" s="58" t="s">
        <v>1</v>
      </c>
      <c r="AA641" s="58" t="s">
        <v>341</v>
      </c>
      <c r="AB641" s="1">
        <f t="shared" ref="AB641:AB704" si="70">IF(W641="",0,IF(W641&gt;Y641,1,0))</f>
        <v>1</v>
      </c>
      <c r="AC641" s="1">
        <f t="shared" ref="AC641:AC704" si="71">IF(W641="",0,IF(W641=Y641,1,0))</f>
        <v>0</v>
      </c>
      <c r="AD641" s="1">
        <f t="shared" ref="AD641:AD704" si="72">IF(W641="",0,IF(W641&lt;Y641,1,0))</f>
        <v>0</v>
      </c>
    </row>
    <row r="642" spans="19:30">
      <c r="S642" s="17">
        <v>1</v>
      </c>
      <c r="T642" s="18"/>
      <c r="U642" s="17">
        <v>2</v>
      </c>
      <c r="V642" s="17" t="s">
        <v>127</v>
      </c>
      <c r="W642" s="18">
        <v>0</v>
      </c>
      <c r="X642" s="18" t="s">
        <v>342</v>
      </c>
      <c r="Y642" s="18">
        <f>IF(W642="","",4-W642)</f>
        <v>4</v>
      </c>
      <c r="Z642" s="17" t="s">
        <v>99</v>
      </c>
      <c r="AA642" s="17">
        <v>1</v>
      </c>
      <c r="AB642" s="1">
        <f t="shared" si="70"/>
        <v>0</v>
      </c>
      <c r="AC642" s="1">
        <f t="shared" si="71"/>
        <v>0</v>
      </c>
      <c r="AD642" s="1">
        <f t="shared" si="72"/>
        <v>1</v>
      </c>
    </row>
    <row r="643" spans="19:30">
      <c r="S643" s="17">
        <v>2</v>
      </c>
      <c r="T643" s="18"/>
      <c r="U643" s="17">
        <v>2</v>
      </c>
      <c r="V643" s="17" t="s">
        <v>127</v>
      </c>
      <c r="W643" s="18">
        <v>2</v>
      </c>
      <c r="X643" s="18" t="s">
        <v>342</v>
      </c>
      <c r="Y643" s="18">
        <f t="shared" ref="Y643:Y656" si="73">IF(W643="","",4-W643)</f>
        <v>2</v>
      </c>
      <c r="Z643" s="17" t="s">
        <v>101</v>
      </c>
      <c r="AA643" s="17">
        <v>1</v>
      </c>
      <c r="AB643" s="1">
        <f t="shared" si="70"/>
        <v>0</v>
      </c>
      <c r="AC643" s="1">
        <f t="shared" si="71"/>
        <v>1</v>
      </c>
      <c r="AD643" s="1">
        <f t="shared" si="72"/>
        <v>0</v>
      </c>
    </row>
    <row r="644" spans="19:30">
      <c r="S644" s="17">
        <v>3</v>
      </c>
      <c r="T644" s="18"/>
      <c r="U644" s="17">
        <v>1</v>
      </c>
      <c r="V644" s="17" t="s">
        <v>127</v>
      </c>
      <c r="W644" s="18">
        <v>1</v>
      </c>
      <c r="X644" s="18" t="s">
        <v>342</v>
      </c>
      <c r="Y644" s="18">
        <f t="shared" si="73"/>
        <v>3</v>
      </c>
      <c r="Z644" s="17" t="s">
        <v>83</v>
      </c>
      <c r="AA644" s="17">
        <v>2</v>
      </c>
      <c r="AB644" s="1">
        <f t="shared" si="70"/>
        <v>0</v>
      </c>
      <c r="AC644" s="1">
        <f t="shared" si="71"/>
        <v>0</v>
      </c>
      <c r="AD644" s="1">
        <f t="shared" si="72"/>
        <v>1</v>
      </c>
    </row>
    <row r="645" spans="19:30">
      <c r="S645" s="17">
        <v>4</v>
      </c>
      <c r="T645" s="18"/>
      <c r="U645" s="17">
        <v>2</v>
      </c>
      <c r="V645" s="17" t="s">
        <v>127</v>
      </c>
      <c r="W645" s="18">
        <v>1</v>
      </c>
      <c r="X645" s="18" t="s">
        <v>342</v>
      </c>
      <c r="Y645" s="18">
        <f t="shared" si="73"/>
        <v>3</v>
      </c>
      <c r="Z645" s="17" t="s">
        <v>67</v>
      </c>
      <c r="AA645" s="17">
        <v>1</v>
      </c>
      <c r="AB645" s="1">
        <f t="shared" si="70"/>
        <v>0</v>
      </c>
      <c r="AC645" s="1">
        <f t="shared" si="71"/>
        <v>0</v>
      </c>
      <c r="AD645" s="1">
        <f t="shared" si="72"/>
        <v>1</v>
      </c>
    </row>
    <row r="646" spans="19:30">
      <c r="S646" s="17">
        <v>5</v>
      </c>
      <c r="T646" s="18"/>
      <c r="U646" s="17">
        <v>1</v>
      </c>
      <c r="V646" s="17" t="s">
        <v>127</v>
      </c>
      <c r="W646" s="18">
        <v>0</v>
      </c>
      <c r="X646" s="18" t="s">
        <v>342</v>
      </c>
      <c r="Y646" s="18">
        <f t="shared" si="73"/>
        <v>4</v>
      </c>
      <c r="Z646" s="17" t="s">
        <v>37</v>
      </c>
      <c r="AA646" s="17">
        <v>2</v>
      </c>
      <c r="AB646" s="1">
        <f t="shared" si="70"/>
        <v>0</v>
      </c>
      <c r="AC646" s="1">
        <f t="shared" si="71"/>
        <v>0</v>
      </c>
      <c r="AD646" s="1">
        <f t="shared" si="72"/>
        <v>1</v>
      </c>
    </row>
    <row r="647" spans="19:30">
      <c r="S647" s="17">
        <v>6</v>
      </c>
      <c r="T647" s="18"/>
      <c r="U647" s="17">
        <v>1</v>
      </c>
      <c r="V647" s="17" t="s">
        <v>127</v>
      </c>
      <c r="W647" s="18">
        <v>0</v>
      </c>
      <c r="X647" s="18" t="s">
        <v>342</v>
      </c>
      <c r="Y647" s="18">
        <f t="shared" si="73"/>
        <v>4</v>
      </c>
      <c r="Z647" s="17" t="s">
        <v>49</v>
      </c>
      <c r="AA647" s="17">
        <v>2</v>
      </c>
      <c r="AB647" s="1">
        <f t="shared" si="70"/>
        <v>0</v>
      </c>
      <c r="AC647" s="1">
        <f t="shared" si="71"/>
        <v>0</v>
      </c>
      <c r="AD647" s="1">
        <f t="shared" si="72"/>
        <v>1</v>
      </c>
    </row>
    <row r="648" spans="19:30">
      <c r="S648" s="17">
        <v>7</v>
      </c>
      <c r="T648" s="18"/>
      <c r="U648" s="17">
        <v>2</v>
      </c>
      <c r="V648" s="17" t="s">
        <v>127</v>
      </c>
      <c r="W648" s="18">
        <v>0</v>
      </c>
      <c r="X648" s="18" t="s">
        <v>342</v>
      </c>
      <c r="Y648" s="18">
        <f t="shared" si="73"/>
        <v>4</v>
      </c>
      <c r="Z648" s="17" t="s">
        <v>123</v>
      </c>
      <c r="AA648" s="17">
        <v>1</v>
      </c>
      <c r="AB648" s="1">
        <f t="shared" si="70"/>
        <v>0</v>
      </c>
      <c r="AC648" s="1">
        <f t="shared" si="71"/>
        <v>0</v>
      </c>
      <c r="AD648" s="1">
        <f t="shared" si="72"/>
        <v>1</v>
      </c>
    </row>
    <row r="649" spans="19:30">
      <c r="S649" s="17">
        <v>8</v>
      </c>
      <c r="T649" s="18"/>
      <c r="U649" s="17">
        <v>2</v>
      </c>
      <c r="V649" s="17" t="s">
        <v>127</v>
      </c>
      <c r="W649" s="18">
        <v>0</v>
      </c>
      <c r="X649" s="18" t="s">
        <v>342</v>
      </c>
      <c r="Y649" s="18">
        <f t="shared" si="73"/>
        <v>4</v>
      </c>
      <c r="Z649" s="17" t="s">
        <v>115</v>
      </c>
      <c r="AA649" s="17">
        <v>1</v>
      </c>
      <c r="AB649" s="1">
        <f t="shared" si="70"/>
        <v>0</v>
      </c>
      <c r="AC649" s="1">
        <f t="shared" si="71"/>
        <v>0</v>
      </c>
      <c r="AD649" s="1">
        <f t="shared" si="72"/>
        <v>1</v>
      </c>
    </row>
    <row r="650" spans="19:30">
      <c r="S650" s="17">
        <v>9</v>
      </c>
      <c r="T650" s="18"/>
      <c r="U650" s="17">
        <v>1</v>
      </c>
      <c r="V650" s="17" t="s">
        <v>127</v>
      </c>
      <c r="W650" s="18">
        <v>4</v>
      </c>
      <c r="X650" s="18" t="s">
        <v>342</v>
      </c>
      <c r="Y650" s="18">
        <f t="shared" si="73"/>
        <v>0</v>
      </c>
      <c r="Z650" s="17" t="s">
        <v>343</v>
      </c>
      <c r="AA650" s="17">
        <v>2</v>
      </c>
      <c r="AB650" s="1">
        <f t="shared" si="70"/>
        <v>1</v>
      </c>
      <c r="AC650" s="1">
        <f t="shared" si="71"/>
        <v>0</v>
      </c>
      <c r="AD650" s="1">
        <f t="shared" si="72"/>
        <v>0</v>
      </c>
    </row>
    <row r="651" spans="19:30">
      <c r="S651" s="17">
        <v>10</v>
      </c>
      <c r="T651" s="18"/>
      <c r="U651" s="17">
        <v>2</v>
      </c>
      <c r="V651" s="17" t="s">
        <v>127</v>
      </c>
      <c r="W651" s="18">
        <v>3</v>
      </c>
      <c r="X651" s="18" t="s">
        <v>342</v>
      </c>
      <c r="Y651" s="18">
        <f t="shared" si="73"/>
        <v>1</v>
      </c>
      <c r="Z651" s="17" t="s">
        <v>131</v>
      </c>
      <c r="AA651" s="17">
        <v>1</v>
      </c>
      <c r="AB651" s="1">
        <f t="shared" si="70"/>
        <v>1</v>
      </c>
      <c r="AC651" s="1">
        <f t="shared" si="71"/>
        <v>0</v>
      </c>
      <c r="AD651" s="1">
        <f t="shared" si="72"/>
        <v>0</v>
      </c>
    </row>
    <row r="652" spans="19:30">
      <c r="S652" s="17">
        <v>11</v>
      </c>
      <c r="T652" s="18"/>
      <c r="U652" s="17">
        <v>2</v>
      </c>
      <c r="V652" s="17" t="s">
        <v>127</v>
      </c>
      <c r="W652" s="18">
        <v>2</v>
      </c>
      <c r="X652" s="18" t="s">
        <v>342</v>
      </c>
      <c r="Y652" s="18">
        <f t="shared" si="73"/>
        <v>2</v>
      </c>
      <c r="Z652" s="17" t="s">
        <v>18</v>
      </c>
      <c r="AA652" s="17">
        <v>1</v>
      </c>
      <c r="AB652" s="1">
        <f t="shared" si="70"/>
        <v>0</v>
      </c>
      <c r="AC652" s="1">
        <f t="shared" si="71"/>
        <v>1</v>
      </c>
      <c r="AD652" s="1">
        <f t="shared" si="72"/>
        <v>0</v>
      </c>
    </row>
    <row r="653" spans="19:30">
      <c r="S653" s="17">
        <v>12</v>
      </c>
      <c r="T653" s="18"/>
      <c r="U653" s="17">
        <v>2</v>
      </c>
      <c r="V653" s="17" t="s">
        <v>127</v>
      </c>
      <c r="W653" s="18">
        <v>3</v>
      </c>
      <c r="X653" s="18" t="s">
        <v>342</v>
      </c>
      <c r="Y653" s="18">
        <f t="shared" si="73"/>
        <v>1</v>
      </c>
      <c r="Z653" s="17" t="s">
        <v>43</v>
      </c>
      <c r="AA653" s="17">
        <v>1</v>
      </c>
      <c r="AB653" s="1">
        <f t="shared" si="70"/>
        <v>1</v>
      </c>
      <c r="AC653" s="1">
        <f t="shared" si="71"/>
        <v>0</v>
      </c>
      <c r="AD653" s="1">
        <f t="shared" si="72"/>
        <v>0</v>
      </c>
    </row>
    <row r="654" spans="19:30">
      <c r="S654" s="17">
        <v>13</v>
      </c>
      <c r="T654" s="18"/>
      <c r="U654" s="17">
        <v>2</v>
      </c>
      <c r="V654" s="17" t="s">
        <v>127</v>
      </c>
      <c r="W654" s="18">
        <v>4</v>
      </c>
      <c r="X654" s="18" t="s">
        <v>342</v>
      </c>
      <c r="Y654" s="18">
        <f t="shared" si="73"/>
        <v>0</v>
      </c>
      <c r="Z654" s="17" t="s">
        <v>95</v>
      </c>
      <c r="AA654" s="17">
        <v>1</v>
      </c>
      <c r="AB654" s="1">
        <f t="shared" si="70"/>
        <v>1</v>
      </c>
      <c r="AC654" s="1">
        <f t="shared" si="71"/>
        <v>0</v>
      </c>
      <c r="AD654" s="1">
        <f t="shared" si="72"/>
        <v>0</v>
      </c>
    </row>
    <row r="655" spans="19:30">
      <c r="S655" s="17">
        <v>14</v>
      </c>
      <c r="T655" s="18"/>
      <c r="U655" s="17">
        <v>2</v>
      </c>
      <c r="V655" s="17" t="s">
        <v>127</v>
      </c>
      <c r="W655" s="18">
        <v>4</v>
      </c>
      <c r="X655" s="18" t="s">
        <v>342</v>
      </c>
      <c r="Y655" s="18">
        <f t="shared" si="73"/>
        <v>0</v>
      </c>
      <c r="Z655" s="17" t="s">
        <v>65</v>
      </c>
      <c r="AA655" s="17">
        <v>1</v>
      </c>
      <c r="AB655" s="1">
        <f t="shared" si="70"/>
        <v>1</v>
      </c>
      <c r="AC655" s="1">
        <f t="shared" si="71"/>
        <v>0</v>
      </c>
      <c r="AD655" s="1">
        <f t="shared" si="72"/>
        <v>0</v>
      </c>
    </row>
    <row r="656" spans="19:30">
      <c r="S656" s="17">
        <v>15</v>
      </c>
      <c r="T656" s="18"/>
      <c r="U656" s="17">
        <v>2</v>
      </c>
      <c r="V656" s="17" t="s">
        <v>127</v>
      </c>
      <c r="W656" s="18">
        <v>2</v>
      </c>
      <c r="X656" s="18" t="s">
        <v>342</v>
      </c>
      <c r="Y656" s="18">
        <f t="shared" si="73"/>
        <v>2</v>
      </c>
      <c r="Z656" s="17" t="s">
        <v>41</v>
      </c>
      <c r="AA656" s="17">
        <v>1</v>
      </c>
      <c r="AB656" s="1">
        <f t="shared" si="70"/>
        <v>0</v>
      </c>
      <c r="AC656" s="1">
        <f t="shared" si="71"/>
        <v>1</v>
      </c>
      <c r="AD656" s="1">
        <f t="shared" si="72"/>
        <v>0</v>
      </c>
    </row>
    <row r="657" spans="19:30">
      <c r="S657" s="58" t="s">
        <v>339</v>
      </c>
      <c r="T657" s="58" t="s">
        <v>340</v>
      </c>
      <c r="U657" s="58" t="s">
        <v>341</v>
      </c>
      <c r="V657" s="58" t="s">
        <v>1</v>
      </c>
      <c r="W657" s="66" t="s">
        <v>220</v>
      </c>
      <c r="X657" s="66"/>
      <c r="Y657" s="66"/>
      <c r="Z657" s="58" t="s">
        <v>1</v>
      </c>
      <c r="AA657" s="58" t="s">
        <v>341</v>
      </c>
      <c r="AB657" s="1">
        <f t="shared" si="70"/>
        <v>1</v>
      </c>
      <c r="AC657" s="1">
        <f t="shared" si="71"/>
        <v>0</v>
      </c>
      <c r="AD657" s="1">
        <f t="shared" si="72"/>
        <v>0</v>
      </c>
    </row>
    <row r="658" spans="19:30">
      <c r="S658" s="17">
        <v>1</v>
      </c>
      <c r="T658" s="18"/>
      <c r="U658" s="17">
        <v>2</v>
      </c>
      <c r="V658" s="17" t="s">
        <v>41</v>
      </c>
      <c r="W658" s="18">
        <v>2</v>
      </c>
      <c r="X658" s="18" t="s">
        <v>342</v>
      </c>
      <c r="Y658" s="18">
        <f>IF(W658="","",4-W658)</f>
        <v>2</v>
      </c>
      <c r="Z658" s="17" t="s">
        <v>101</v>
      </c>
      <c r="AA658" s="17">
        <v>1</v>
      </c>
      <c r="AB658" s="1">
        <f t="shared" si="70"/>
        <v>0</v>
      </c>
      <c r="AC658" s="1">
        <f t="shared" si="71"/>
        <v>1</v>
      </c>
      <c r="AD658" s="1">
        <f t="shared" si="72"/>
        <v>0</v>
      </c>
    </row>
    <row r="659" spans="19:30">
      <c r="S659" s="17">
        <v>2</v>
      </c>
      <c r="T659" s="18"/>
      <c r="U659" s="17">
        <v>2</v>
      </c>
      <c r="V659" s="17" t="s">
        <v>41</v>
      </c>
      <c r="W659" s="18">
        <v>0</v>
      </c>
      <c r="X659" s="18" t="s">
        <v>342</v>
      </c>
      <c r="Y659" s="18">
        <f t="shared" ref="Y659:Y672" si="74">IF(W659="","",4-W659)</f>
        <v>4</v>
      </c>
      <c r="Z659" s="17" t="s">
        <v>99</v>
      </c>
      <c r="AA659" s="17">
        <v>1</v>
      </c>
      <c r="AB659" s="1">
        <f t="shared" si="70"/>
        <v>0</v>
      </c>
      <c r="AC659" s="1">
        <f t="shared" si="71"/>
        <v>0</v>
      </c>
      <c r="AD659" s="1">
        <f t="shared" si="72"/>
        <v>1</v>
      </c>
    </row>
    <row r="660" spans="19:30">
      <c r="S660" s="17">
        <v>3</v>
      </c>
      <c r="T660" s="18"/>
      <c r="U660" s="17">
        <v>1</v>
      </c>
      <c r="V660" s="17" t="s">
        <v>41</v>
      </c>
      <c r="W660" s="18">
        <v>0</v>
      </c>
      <c r="X660" s="18" t="s">
        <v>342</v>
      </c>
      <c r="Y660" s="18">
        <f t="shared" si="74"/>
        <v>4</v>
      </c>
      <c r="Z660" s="17" t="s">
        <v>67</v>
      </c>
      <c r="AA660" s="17">
        <v>2</v>
      </c>
      <c r="AB660" s="1">
        <f t="shared" si="70"/>
        <v>0</v>
      </c>
      <c r="AC660" s="1">
        <f t="shared" si="71"/>
        <v>0</v>
      </c>
      <c r="AD660" s="1">
        <f t="shared" si="72"/>
        <v>1</v>
      </c>
    </row>
    <row r="661" spans="19:30">
      <c r="S661" s="17">
        <v>4</v>
      </c>
      <c r="T661" s="18"/>
      <c r="U661" s="17">
        <v>2</v>
      </c>
      <c r="V661" s="17" t="s">
        <v>41</v>
      </c>
      <c r="W661" s="18">
        <v>1</v>
      </c>
      <c r="X661" s="18" t="s">
        <v>342</v>
      </c>
      <c r="Y661" s="18">
        <f t="shared" si="74"/>
        <v>3</v>
      </c>
      <c r="Z661" s="17" t="s">
        <v>83</v>
      </c>
      <c r="AA661" s="17">
        <v>1</v>
      </c>
      <c r="AB661" s="1">
        <f t="shared" si="70"/>
        <v>0</v>
      </c>
      <c r="AC661" s="1">
        <f t="shared" si="71"/>
        <v>0</v>
      </c>
      <c r="AD661" s="1">
        <f t="shared" si="72"/>
        <v>1</v>
      </c>
    </row>
    <row r="662" spans="19:30">
      <c r="S662" s="17">
        <v>5</v>
      </c>
      <c r="T662" s="18"/>
      <c r="U662" s="17">
        <v>2</v>
      </c>
      <c r="V662" s="17" t="s">
        <v>41</v>
      </c>
      <c r="W662" s="18">
        <v>1</v>
      </c>
      <c r="X662" s="18" t="s">
        <v>342</v>
      </c>
      <c r="Y662" s="18">
        <f t="shared" si="74"/>
        <v>3</v>
      </c>
      <c r="Z662" s="17" t="s">
        <v>49</v>
      </c>
      <c r="AA662" s="17">
        <v>1</v>
      </c>
      <c r="AB662" s="1">
        <f t="shared" si="70"/>
        <v>0</v>
      </c>
      <c r="AC662" s="1">
        <f t="shared" si="71"/>
        <v>0</v>
      </c>
      <c r="AD662" s="1">
        <f t="shared" si="72"/>
        <v>1</v>
      </c>
    </row>
    <row r="663" spans="19:30">
      <c r="S663" s="17">
        <v>6</v>
      </c>
      <c r="T663" s="18"/>
      <c r="U663" s="17">
        <v>1</v>
      </c>
      <c r="V663" s="17" t="s">
        <v>41</v>
      </c>
      <c r="W663" s="18">
        <v>0</v>
      </c>
      <c r="X663" s="18" t="s">
        <v>342</v>
      </c>
      <c r="Y663" s="18">
        <f t="shared" si="74"/>
        <v>4</v>
      </c>
      <c r="Z663" s="17" t="s">
        <v>37</v>
      </c>
      <c r="AA663" s="17">
        <v>2</v>
      </c>
      <c r="AB663" s="1">
        <f t="shared" si="70"/>
        <v>0</v>
      </c>
      <c r="AC663" s="1">
        <f t="shared" si="71"/>
        <v>0</v>
      </c>
      <c r="AD663" s="1">
        <f t="shared" si="72"/>
        <v>1</v>
      </c>
    </row>
    <row r="664" spans="19:30">
      <c r="S664" s="17">
        <v>7</v>
      </c>
      <c r="T664" s="18"/>
      <c r="U664" s="17">
        <v>2</v>
      </c>
      <c r="V664" s="17" t="s">
        <v>41</v>
      </c>
      <c r="W664" s="18">
        <v>0</v>
      </c>
      <c r="X664" s="18" t="s">
        <v>342</v>
      </c>
      <c r="Y664" s="18">
        <f t="shared" si="74"/>
        <v>4</v>
      </c>
      <c r="Z664" s="17" t="s">
        <v>115</v>
      </c>
      <c r="AA664" s="17">
        <v>1</v>
      </c>
      <c r="AB664" s="1">
        <f t="shared" si="70"/>
        <v>0</v>
      </c>
      <c r="AC664" s="1">
        <f t="shared" si="71"/>
        <v>0</v>
      </c>
      <c r="AD664" s="1">
        <f t="shared" si="72"/>
        <v>1</v>
      </c>
    </row>
    <row r="665" spans="19:30">
      <c r="S665" s="17">
        <v>8</v>
      </c>
      <c r="T665" s="18"/>
      <c r="U665" s="17">
        <v>2</v>
      </c>
      <c r="V665" s="17" t="s">
        <v>41</v>
      </c>
      <c r="W665" s="18">
        <v>0</v>
      </c>
      <c r="X665" s="18" t="s">
        <v>342</v>
      </c>
      <c r="Y665" s="18">
        <f t="shared" si="74"/>
        <v>4</v>
      </c>
      <c r="Z665" s="17" t="s">
        <v>123</v>
      </c>
      <c r="AA665" s="17">
        <v>1</v>
      </c>
      <c r="AB665" s="1">
        <f t="shared" si="70"/>
        <v>0</v>
      </c>
      <c r="AC665" s="1">
        <f t="shared" si="71"/>
        <v>0</v>
      </c>
      <c r="AD665" s="1">
        <f t="shared" si="72"/>
        <v>1</v>
      </c>
    </row>
    <row r="666" spans="19:30">
      <c r="S666" s="17">
        <v>9</v>
      </c>
      <c r="T666" s="18"/>
      <c r="U666" s="17">
        <v>1</v>
      </c>
      <c r="V666" s="17" t="s">
        <v>41</v>
      </c>
      <c r="W666" s="18">
        <v>4</v>
      </c>
      <c r="X666" s="18" t="s">
        <v>342</v>
      </c>
      <c r="Y666" s="18">
        <f t="shared" si="74"/>
        <v>0</v>
      </c>
      <c r="Z666" s="17" t="s">
        <v>131</v>
      </c>
      <c r="AA666" s="17">
        <v>2</v>
      </c>
      <c r="AB666" s="1">
        <f t="shared" si="70"/>
        <v>1</v>
      </c>
      <c r="AC666" s="1">
        <f t="shared" si="71"/>
        <v>0</v>
      </c>
      <c r="AD666" s="1">
        <f t="shared" si="72"/>
        <v>0</v>
      </c>
    </row>
    <row r="667" spans="19:30">
      <c r="S667" s="17">
        <v>10</v>
      </c>
      <c r="T667" s="18"/>
      <c r="U667" s="17">
        <v>2</v>
      </c>
      <c r="V667" s="17" t="s">
        <v>41</v>
      </c>
      <c r="W667" s="18">
        <v>4</v>
      </c>
      <c r="X667" s="18" t="s">
        <v>342</v>
      </c>
      <c r="Y667" s="18">
        <f t="shared" si="74"/>
        <v>0</v>
      </c>
      <c r="Z667" s="17" t="s">
        <v>343</v>
      </c>
      <c r="AA667" s="17">
        <v>1</v>
      </c>
      <c r="AB667" s="1">
        <f t="shared" si="70"/>
        <v>1</v>
      </c>
      <c r="AC667" s="1">
        <f t="shared" si="71"/>
        <v>0</v>
      </c>
      <c r="AD667" s="1">
        <f t="shared" si="72"/>
        <v>0</v>
      </c>
    </row>
    <row r="668" spans="19:30">
      <c r="S668" s="17">
        <v>11</v>
      </c>
      <c r="T668" s="18"/>
      <c r="U668" s="17">
        <v>2</v>
      </c>
      <c r="V668" s="17" t="s">
        <v>41</v>
      </c>
      <c r="W668" s="18">
        <v>3</v>
      </c>
      <c r="X668" s="18" t="s">
        <v>342</v>
      </c>
      <c r="Y668" s="18">
        <f t="shared" si="74"/>
        <v>1</v>
      </c>
      <c r="Z668" s="17" t="s">
        <v>43</v>
      </c>
      <c r="AA668" s="17">
        <v>1</v>
      </c>
      <c r="AB668" s="1">
        <f t="shared" si="70"/>
        <v>1</v>
      </c>
      <c r="AC668" s="1">
        <f t="shared" si="71"/>
        <v>0</v>
      </c>
      <c r="AD668" s="1">
        <f t="shared" si="72"/>
        <v>0</v>
      </c>
    </row>
    <row r="669" spans="19:30">
      <c r="S669" s="17">
        <v>12</v>
      </c>
      <c r="T669" s="18"/>
      <c r="U669" s="17">
        <v>1</v>
      </c>
      <c r="V669" s="17" t="s">
        <v>41</v>
      </c>
      <c r="W669" s="18">
        <v>2</v>
      </c>
      <c r="X669" s="18" t="s">
        <v>342</v>
      </c>
      <c r="Y669" s="18">
        <f t="shared" si="74"/>
        <v>2</v>
      </c>
      <c r="Z669" s="17" t="s">
        <v>18</v>
      </c>
      <c r="AA669" s="17">
        <v>2</v>
      </c>
      <c r="AB669" s="1">
        <f t="shared" si="70"/>
        <v>0</v>
      </c>
      <c r="AC669" s="1">
        <f t="shared" si="71"/>
        <v>1</v>
      </c>
      <c r="AD669" s="1">
        <f t="shared" si="72"/>
        <v>0</v>
      </c>
    </row>
    <row r="670" spans="19:30">
      <c r="S670" s="17">
        <v>13</v>
      </c>
      <c r="T670" s="18"/>
      <c r="U670" s="17">
        <v>1</v>
      </c>
      <c r="V670" s="17" t="s">
        <v>41</v>
      </c>
      <c r="W670" s="18">
        <v>4</v>
      </c>
      <c r="X670" s="18" t="s">
        <v>342</v>
      </c>
      <c r="Y670" s="18">
        <f t="shared" si="74"/>
        <v>0</v>
      </c>
      <c r="Z670" s="17" t="s">
        <v>65</v>
      </c>
      <c r="AA670" s="17">
        <v>2</v>
      </c>
      <c r="AB670" s="1">
        <f t="shared" si="70"/>
        <v>1</v>
      </c>
      <c r="AC670" s="1">
        <f t="shared" si="71"/>
        <v>0</v>
      </c>
      <c r="AD670" s="1">
        <f t="shared" si="72"/>
        <v>0</v>
      </c>
    </row>
    <row r="671" spans="19:30">
      <c r="S671" s="17">
        <v>14</v>
      </c>
      <c r="T671" s="18"/>
      <c r="U671" s="17">
        <v>1</v>
      </c>
      <c r="V671" s="17" t="s">
        <v>41</v>
      </c>
      <c r="W671" s="18">
        <v>3</v>
      </c>
      <c r="X671" s="18" t="s">
        <v>342</v>
      </c>
      <c r="Y671" s="18">
        <f t="shared" si="74"/>
        <v>1</v>
      </c>
      <c r="Z671" s="17" t="s">
        <v>95</v>
      </c>
      <c r="AA671" s="17">
        <v>2</v>
      </c>
      <c r="AB671" s="1">
        <f t="shared" si="70"/>
        <v>1</v>
      </c>
      <c r="AC671" s="1">
        <f t="shared" si="71"/>
        <v>0</v>
      </c>
      <c r="AD671" s="1">
        <f t="shared" si="72"/>
        <v>0</v>
      </c>
    </row>
    <row r="672" spans="19:30">
      <c r="S672" s="17">
        <v>15</v>
      </c>
      <c r="T672" s="18"/>
      <c r="U672" s="17">
        <v>1</v>
      </c>
      <c r="V672" s="17" t="s">
        <v>41</v>
      </c>
      <c r="W672" s="18">
        <v>2</v>
      </c>
      <c r="X672" s="18" t="s">
        <v>342</v>
      </c>
      <c r="Y672" s="18">
        <f t="shared" si="74"/>
        <v>2</v>
      </c>
      <c r="Z672" s="17" t="s">
        <v>127</v>
      </c>
      <c r="AA672" s="17">
        <v>2</v>
      </c>
      <c r="AB672" s="1">
        <f t="shared" si="70"/>
        <v>0</v>
      </c>
      <c r="AC672" s="1">
        <f t="shared" si="71"/>
        <v>1</v>
      </c>
      <c r="AD672" s="1">
        <f t="shared" si="72"/>
        <v>0</v>
      </c>
    </row>
    <row r="673" spans="19:30">
      <c r="S673" s="58" t="s">
        <v>339</v>
      </c>
      <c r="T673" s="58" t="s">
        <v>340</v>
      </c>
      <c r="U673" s="58" t="s">
        <v>341</v>
      </c>
      <c r="V673" s="58" t="s">
        <v>1</v>
      </c>
      <c r="W673" s="66" t="s">
        <v>220</v>
      </c>
      <c r="X673" s="66"/>
      <c r="Y673" s="66"/>
      <c r="Z673" s="58" t="s">
        <v>1</v>
      </c>
      <c r="AA673" s="58" t="s">
        <v>341</v>
      </c>
      <c r="AB673" s="1">
        <f t="shared" si="70"/>
        <v>1</v>
      </c>
      <c r="AC673" s="1">
        <f t="shared" si="71"/>
        <v>0</v>
      </c>
      <c r="AD673" s="1">
        <f t="shared" si="72"/>
        <v>0</v>
      </c>
    </row>
    <row r="674" spans="19:30">
      <c r="S674" s="17">
        <v>1</v>
      </c>
      <c r="T674" s="18"/>
      <c r="U674" s="17">
        <v>2</v>
      </c>
      <c r="V674" s="17" t="s">
        <v>65</v>
      </c>
      <c r="W674" s="18">
        <v>0</v>
      </c>
      <c r="X674" s="18" t="s">
        <v>342</v>
      </c>
      <c r="Y674" s="18">
        <f>IF(W674="","",4-W674)</f>
        <v>4</v>
      </c>
      <c r="Z674" s="17" t="s">
        <v>83</v>
      </c>
      <c r="AA674" s="17">
        <v>1</v>
      </c>
      <c r="AB674" s="1">
        <f t="shared" si="70"/>
        <v>0</v>
      </c>
      <c r="AC674" s="1">
        <f t="shared" si="71"/>
        <v>0</v>
      </c>
      <c r="AD674" s="1">
        <f t="shared" si="72"/>
        <v>1</v>
      </c>
    </row>
    <row r="675" spans="19:30">
      <c r="S675" s="17">
        <v>2</v>
      </c>
      <c r="T675" s="18"/>
      <c r="U675" s="17">
        <v>1</v>
      </c>
      <c r="V675" s="17" t="s">
        <v>65</v>
      </c>
      <c r="W675" s="18">
        <v>0</v>
      </c>
      <c r="X675" s="18" t="s">
        <v>342</v>
      </c>
      <c r="Y675" s="18">
        <f t="shared" ref="Y675:Y688" si="75">IF(W675="","",4-W675)</f>
        <v>4</v>
      </c>
      <c r="Z675" s="17" t="s">
        <v>67</v>
      </c>
      <c r="AA675" s="17">
        <v>2</v>
      </c>
      <c r="AB675" s="1">
        <f t="shared" si="70"/>
        <v>0</v>
      </c>
      <c r="AC675" s="1">
        <f t="shared" si="71"/>
        <v>0</v>
      </c>
      <c r="AD675" s="1">
        <f t="shared" si="72"/>
        <v>1</v>
      </c>
    </row>
    <row r="676" spans="19:30">
      <c r="S676" s="17">
        <v>3</v>
      </c>
      <c r="T676" s="18"/>
      <c r="U676" s="17">
        <v>2</v>
      </c>
      <c r="V676" s="17" t="s">
        <v>65</v>
      </c>
      <c r="W676" s="18">
        <v>0</v>
      </c>
      <c r="X676" s="18" t="s">
        <v>342</v>
      </c>
      <c r="Y676" s="18">
        <f t="shared" si="75"/>
        <v>4</v>
      </c>
      <c r="Z676" s="17" t="s">
        <v>99</v>
      </c>
      <c r="AA676" s="17">
        <v>1</v>
      </c>
      <c r="AB676" s="1">
        <f t="shared" si="70"/>
        <v>0</v>
      </c>
      <c r="AC676" s="1">
        <f t="shared" si="71"/>
        <v>0</v>
      </c>
      <c r="AD676" s="1">
        <f t="shared" si="72"/>
        <v>1</v>
      </c>
    </row>
    <row r="677" spans="19:30">
      <c r="S677" s="17">
        <v>4</v>
      </c>
      <c r="T677" s="18"/>
      <c r="U677" s="17">
        <v>2</v>
      </c>
      <c r="V677" s="17" t="s">
        <v>65</v>
      </c>
      <c r="W677" s="18">
        <v>1</v>
      </c>
      <c r="X677" s="18" t="s">
        <v>342</v>
      </c>
      <c r="Y677" s="18">
        <f t="shared" si="75"/>
        <v>3</v>
      </c>
      <c r="Z677" s="17" t="s">
        <v>101</v>
      </c>
      <c r="AA677" s="17">
        <v>1</v>
      </c>
      <c r="AB677" s="1">
        <f t="shared" si="70"/>
        <v>0</v>
      </c>
      <c r="AC677" s="1">
        <f t="shared" si="71"/>
        <v>0</v>
      </c>
      <c r="AD677" s="1">
        <f t="shared" si="72"/>
        <v>1</v>
      </c>
    </row>
    <row r="678" spans="19:30">
      <c r="S678" s="17">
        <v>5</v>
      </c>
      <c r="T678" s="18"/>
      <c r="U678" s="17">
        <v>2</v>
      </c>
      <c r="V678" s="17" t="s">
        <v>65</v>
      </c>
      <c r="W678" s="18">
        <v>0</v>
      </c>
      <c r="X678" s="18" t="s">
        <v>342</v>
      </c>
      <c r="Y678" s="18">
        <f t="shared" si="75"/>
        <v>4</v>
      </c>
      <c r="Z678" s="17" t="s">
        <v>123</v>
      </c>
      <c r="AA678" s="17">
        <v>1</v>
      </c>
      <c r="AB678" s="1">
        <f t="shared" si="70"/>
        <v>0</v>
      </c>
      <c r="AC678" s="1">
        <f t="shared" si="71"/>
        <v>0</v>
      </c>
      <c r="AD678" s="1">
        <f t="shared" si="72"/>
        <v>1</v>
      </c>
    </row>
    <row r="679" spans="19:30">
      <c r="S679" s="17">
        <v>6</v>
      </c>
      <c r="T679" s="18"/>
      <c r="U679" s="17">
        <v>2</v>
      </c>
      <c r="V679" s="17" t="s">
        <v>65</v>
      </c>
      <c r="W679" s="18">
        <v>0</v>
      </c>
      <c r="X679" s="18" t="s">
        <v>342</v>
      </c>
      <c r="Y679" s="18">
        <f t="shared" si="75"/>
        <v>4</v>
      </c>
      <c r="Z679" s="17" t="s">
        <v>115</v>
      </c>
      <c r="AA679" s="17">
        <v>1</v>
      </c>
      <c r="AB679" s="1">
        <f t="shared" si="70"/>
        <v>0</v>
      </c>
      <c r="AC679" s="1">
        <f t="shared" si="71"/>
        <v>0</v>
      </c>
      <c r="AD679" s="1">
        <f t="shared" si="72"/>
        <v>1</v>
      </c>
    </row>
    <row r="680" spans="19:30">
      <c r="S680" s="17">
        <v>7</v>
      </c>
      <c r="T680" s="18"/>
      <c r="U680" s="17">
        <v>2</v>
      </c>
      <c r="V680" s="17" t="s">
        <v>65</v>
      </c>
      <c r="W680" s="18">
        <v>0</v>
      </c>
      <c r="X680" s="18" t="s">
        <v>342</v>
      </c>
      <c r="Y680" s="18">
        <f t="shared" si="75"/>
        <v>4</v>
      </c>
      <c r="Z680" s="17" t="s">
        <v>37</v>
      </c>
      <c r="AA680" s="17">
        <v>1</v>
      </c>
      <c r="AB680" s="1">
        <f t="shared" si="70"/>
        <v>0</v>
      </c>
      <c r="AC680" s="1">
        <f t="shared" si="71"/>
        <v>0</v>
      </c>
      <c r="AD680" s="1">
        <f t="shared" si="72"/>
        <v>1</v>
      </c>
    </row>
    <row r="681" spans="19:30">
      <c r="S681" s="17">
        <v>8</v>
      </c>
      <c r="T681" s="18"/>
      <c r="U681" s="17">
        <v>1</v>
      </c>
      <c r="V681" s="17" t="s">
        <v>65</v>
      </c>
      <c r="W681" s="18">
        <v>0</v>
      </c>
      <c r="X681" s="18" t="s">
        <v>342</v>
      </c>
      <c r="Y681" s="18">
        <f t="shared" si="75"/>
        <v>4</v>
      </c>
      <c r="Z681" s="17" t="s">
        <v>49</v>
      </c>
      <c r="AA681" s="17">
        <v>2</v>
      </c>
      <c r="AB681" s="1">
        <f t="shared" si="70"/>
        <v>0</v>
      </c>
      <c r="AC681" s="1">
        <f t="shared" si="71"/>
        <v>0</v>
      </c>
      <c r="AD681" s="1">
        <f t="shared" si="72"/>
        <v>1</v>
      </c>
    </row>
    <row r="682" spans="19:30">
      <c r="S682" s="17">
        <v>9</v>
      </c>
      <c r="T682" s="18"/>
      <c r="U682" s="17">
        <v>2</v>
      </c>
      <c r="V682" s="17" t="s">
        <v>65</v>
      </c>
      <c r="W682" s="18">
        <v>1</v>
      </c>
      <c r="X682" s="18" t="s">
        <v>342</v>
      </c>
      <c r="Y682" s="18">
        <f t="shared" si="75"/>
        <v>3</v>
      </c>
      <c r="Z682" s="17" t="s">
        <v>18</v>
      </c>
      <c r="AA682" s="17">
        <v>1</v>
      </c>
      <c r="AB682" s="1">
        <f t="shared" si="70"/>
        <v>0</v>
      </c>
      <c r="AC682" s="1">
        <f t="shared" si="71"/>
        <v>0</v>
      </c>
      <c r="AD682" s="1">
        <f t="shared" si="72"/>
        <v>1</v>
      </c>
    </row>
    <row r="683" spans="19:30">
      <c r="S683" s="17">
        <v>10</v>
      </c>
      <c r="T683" s="18"/>
      <c r="U683" s="17">
        <v>1</v>
      </c>
      <c r="V683" s="17" t="s">
        <v>65</v>
      </c>
      <c r="W683" s="18">
        <v>3</v>
      </c>
      <c r="X683" s="18" t="s">
        <v>342</v>
      </c>
      <c r="Y683" s="18">
        <f t="shared" si="75"/>
        <v>1</v>
      </c>
      <c r="Z683" s="17" t="s">
        <v>43</v>
      </c>
      <c r="AA683" s="17">
        <v>2</v>
      </c>
      <c r="AB683" s="1">
        <f t="shared" si="70"/>
        <v>1</v>
      </c>
      <c r="AC683" s="1">
        <f t="shared" si="71"/>
        <v>0</v>
      </c>
      <c r="AD683" s="1">
        <f t="shared" si="72"/>
        <v>0</v>
      </c>
    </row>
    <row r="684" spans="19:30">
      <c r="S684" s="17">
        <v>11</v>
      </c>
      <c r="T684" s="18"/>
      <c r="U684" s="17">
        <v>1</v>
      </c>
      <c r="V684" s="17" t="s">
        <v>65</v>
      </c>
      <c r="W684" s="18">
        <v>4</v>
      </c>
      <c r="X684" s="18" t="s">
        <v>342</v>
      </c>
      <c r="Y684" s="18">
        <f t="shared" si="75"/>
        <v>0</v>
      </c>
      <c r="Z684" s="17" t="s">
        <v>343</v>
      </c>
      <c r="AA684" s="17">
        <v>2</v>
      </c>
      <c r="AB684" s="1">
        <f t="shared" si="70"/>
        <v>1</v>
      </c>
      <c r="AC684" s="1">
        <f t="shared" si="71"/>
        <v>0</v>
      </c>
      <c r="AD684" s="1">
        <f t="shared" si="72"/>
        <v>0</v>
      </c>
    </row>
    <row r="685" spans="19:30">
      <c r="S685" s="17">
        <v>12</v>
      </c>
      <c r="T685" s="18"/>
      <c r="U685" s="17">
        <v>1</v>
      </c>
      <c r="V685" s="17" t="s">
        <v>65</v>
      </c>
      <c r="W685" s="18">
        <v>2</v>
      </c>
      <c r="X685" s="18" t="s">
        <v>342</v>
      </c>
      <c r="Y685" s="18">
        <f t="shared" si="75"/>
        <v>2</v>
      </c>
      <c r="Z685" s="17" t="s">
        <v>131</v>
      </c>
      <c r="AA685" s="17">
        <v>2</v>
      </c>
      <c r="AB685" s="1">
        <f t="shared" si="70"/>
        <v>0</v>
      </c>
      <c r="AC685" s="1">
        <f t="shared" si="71"/>
        <v>1</v>
      </c>
      <c r="AD685" s="1">
        <f t="shared" si="72"/>
        <v>0</v>
      </c>
    </row>
    <row r="686" spans="19:30">
      <c r="S686" s="17">
        <v>13</v>
      </c>
      <c r="T686" s="18"/>
      <c r="U686" s="17">
        <v>2</v>
      </c>
      <c r="V686" s="17" t="s">
        <v>65</v>
      </c>
      <c r="W686" s="18">
        <v>0</v>
      </c>
      <c r="X686" s="18" t="s">
        <v>342</v>
      </c>
      <c r="Y686" s="18">
        <f t="shared" si="75"/>
        <v>4</v>
      </c>
      <c r="Z686" s="17" t="s">
        <v>41</v>
      </c>
      <c r="AA686" s="17">
        <v>1</v>
      </c>
      <c r="AB686" s="1">
        <f t="shared" si="70"/>
        <v>0</v>
      </c>
      <c r="AC686" s="1">
        <f t="shared" si="71"/>
        <v>0</v>
      </c>
      <c r="AD686" s="1">
        <f t="shared" si="72"/>
        <v>1</v>
      </c>
    </row>
    <row r="687" spans="19:30">
      <c r="S687" s="17">
        <v>14</v>
      </c>
      <c r="T687" s="18"/>
      <c r="U687" s="17">
        <v>1</v>
      </c>
      <c r="V687" s="17" t="s">
        <v>65</v>
      </c>
      <c r="W687" s="18">
        <v>0</v>
      </c>
      <c r="X687" s="18" t="s">
        <v>342</v>
      </c>
      <c r="Y687" s="18">
        <f t="shared" si="75"/>
        <v>4</v>
      </c>
      <c r="Z687" s="17" t="s">
        <v>127</v>
      </c>
      <c r="AA687" s="17">
        <v>2</v>
      </c>
      <c r="AB687" s="1">
        <f t="shared" si="70"/>
        <v>0</v>
      </c>
      <c r="AC687" s="1">
        <f t="shared" si="71"/>
        <v>0</v>
      </c>
      <c r="AD687" s="1">
        <f t="shared" si="72"/>
        <v>1</v>
      </c>
    </row>
    <row r="688" spans="19:30">
      <c r="S688" s="17">
        <v>15</v>
      </c>
      <c r="T688" s="18"/>
      <c r="U688" s="17">
        <v>2</v>
      </c>
      <c r="V688" s="17" t="s">
        <v>65</v>
      </c>
      <c r="W688" s="18">
        <v>3</v>
      </c>
      <c r="X688" s="18" t="s">
        <v>342</v>
      </c>
      <c r="Y688" s="18">
        <f t="shared" si="75"/>
        <v>1</v>
      </c>
      <c r="Z688" s="17" t="s">
        <v>95</v>
      </c>
      <c r="AA688" s="17">
        <v>1</v>
      </c>
      <c r="AB688" s="1">
        <f t="shared" si="70"/>
        <v>1</v>
      </c>
      <c r="AC688" s="1">
        <f t="shared" si="71"/>
        <v>0</v>
      </c>
      <c r="AD688" s="1">
        <f t="shared" si="72"/>
        <v>0</v>
      </c>
    </row>
    <row r="689" spans="19:30">
      <c r="S689" s="58" t="s">
        <v>339</v>
      </c>
      <c r="T689" s="58" t="s">
        <v>340</v>
      </c>
      <c r="U689" s="58" t="s">
        <v>341</v>
      </c>
      <c r="V689" s="58" t="s">
        <v>1</v>
      </c>
      <c r="W689" s="66" t="s">
        <v>220</v>
      </c>
      <c r="X689" s="66"/>
      <c r="Y689" s="66"/>
      <c r="Z689" s="58" t="s">
        <v>1</v>
      </c>
      <c r="AA689" s="58" t="s">
        <v>341</v>
      </c>
      <c r="AB689" s="1">
        <f t="shared" si="70"/>
        <v>1</v>
      </c>
      <c r="AC689" s="1">
        <f t="shared" si="71"/>
        <v>0</v>
      </c>
      <c r="AD689" s="1">
        <f t="shared" si="72"/>
        <v>0</v>
      </c>
    </row>
    <row r="690" spans="19:30">
      <c r="S690" s="17">
        <v>1</v>
      </c>
      <c r="T690" s="18"/>
      <c r="U690" s="17">
        <v>1</v>
      </c>
      <c r="V690" s="17" t="s">
        <v>95</v>
      </c>
      <c r="W690" s="18">
        <v>0</v>
      </c>
      <c r="X690" s="18" t="s">
        <v>342</v>
      </c>
      <c r="Y690" s="18">
        <f>IF(W690="","",4-W690)</f>
        <v>4</v>
      </c>
      <c r="Z690" s="17" t="s">
        <v>67</v>
      </c>
      <c r="AA690" s="17">
        <v>2</v>
      </c>
      <c r="AB690" s="1">
        <f t="shared" si="70"/>
        <v>0</v>
      </c>
      <c r="AC690" s="1">
        <f t="shared" si="71"/>
        <v>0</v>
      </c>
      <c r="AD690" s="1">
        <f t="shared" si="72"/>
        <v>1</v>
      </c>
    </row>
    <row r="691" spans="19:30">
      <c r="S691" s="17">
        <v>2</v>
      </c>
      <c r="T691" s="18"/>
      <c r="U691" s="17">
        <v>2</v>
      </c>
      <c r="V691" s="17" t="s">
        <v>95</v>
      </c>
      <c r="W691" s="18">
        <v>0</v>
      </c>
      <c r="X691" s="18" t="s">
        <v>342</v>
      </c>
      <c r="Y691" s="18">
        <f t="shared" ref="Y691:Y704" si="76">IF(W691="","",4-W691)</f>
        <v>4</v>
      </c>
      <c r="Z691" s="17" t="s">
        <v>83</v>
      </c>
      <c r="AA691" s="17">
        <v>1</v>
      </c>
      <c r="AB691" s="1">
        <f t="shared" si="70"/>
        <v>0</v>
      </c>
      <c r="AC691" s="1">
        <f t="shared" si="71"/>
        <v>0</v>
      </c>
      <c r="AD691" s="1">
        <f t="shared" si="72"/>
        <v>1</v>
      </c>
    </row>
    <row r="692" spans="19:30">
      <c r="S692" s="17">
        <v>3</v>
      </c>
      <c r="T692" s="18"/>
      <c r="U692" s="17">
        <v>2</v>
      </c>
      <c r="V692" s="17" t="s">
        <v>95</v>
      </c>
      <c r="W692" s="18">
        <v>0</v>
      </c>
      <c r="X692" s="18" t="s">
        <v>342</v>
      </c>
      <c r="Y692" s="18">
        <f t="shared" si="76"/>
        <v>4</v>
      </c>
      <c r="Z692" s="17" t="s">
        <v>101</v>
      </c>
      <c r="AA692" s="17">
        <v>1</v>
      </c>
      <c r="AB692" s="1">
        <f t="shared" si="70"/>
        <v>0</v>
      </c>
      <c r="AC692" s="1">
        <f t="shared" si="71"/>
        <v>0</v>
      </c>
      <c r="AD692" s="1">
        <f t="shared" si="72"/>
        <v>1</v>
      </c>
    </row>
    <row r="693" spans="19:30">
      <c r="S693" s="17">
        <v>4</v>
      </c>
      <c r="T693" s="18"/>
      <c r="U693" s="17">
        <v>2</v>
      </c>
      <c r="V693" s="17" t="s">
        <v>95</v>
      </c>
      <c r="W693" s="18">
        <v>0</v>
      </c>
      <c r="X693" s="18" t="s">
        <v>342</v>
      </c>
      <c r="Y693" s="18">
        <f t="shared" si="76"/>
        <v>4</v>
      </c>
      <c r="Z693" s="17" t="s">
        <v>99</v>
      </c>
      <c r="AA693" s="17">
        <v>1</v>
      </c>
      <c r="AB693" s="1">
        <f t="shared" si="70"/>
        <v>0</v>
      </c>
      <c r="AC693" s="1">
        <f t="shared" si="71"/>
        <v>0</v>
      </c>
      <c r="AD693" s="1">
        <f t="shared" si="72"/>
        <v>1</v>
      </c>
    </row>
    <row r="694" spans="19:30">
      <c r="S694" s="17">
        <v>5</v>
      </c>
      <c r="T694" s="18"/>
      <c r="U694" s="17">
        <v>2</v>
      </c>
      <c r="V694" s="17" t="s">
        <v>95</v>
      </c>
      <c r="W694" s="18">
        <v>0</v>
      </c>
      <c r="X694" s="18" t="s">
        <v>342</v>
      </c>
      <c r="Y694" s="18">
        <f t="shared" si="76"/>
        <v>4</v>
      </c>
      <c r="Z694" s="17" t="s">
        <v>115</v>
      </c>
      <c r="AA694" s="17">
        <v>1</v>
      </c>
      <c r="AB694" s="1">
        <f t="shared" si="70"/>
        <v>0</v>
      </c>
      <c r="AC694" s="1">
        <f t="shared" si="71"/>
        <v>0</v>
      </c>
      <c r="AD694" s="1">
        <f t="shared" si="72"/>
        <v>1</v>
      </c>
    </row>
    <row r="695" spans="19:30">
      <c r="S695" s="17">
        <v>6</v>
      </c>
      <c r="T695" s="18"/>
      <c r="U695" s="17">
        <v>1</v>
      </c>
      <c r="V695" s="17" t="s">
        <v>95</v>
      </c>
      <c r="W695" s="18">
        <v>0</v>
      </c>
      <c r="X695" s="18" t="s">
        <v>342</v>
      </c>
      <c r="Y695" s="18">
        <f t="shared" si="76"/>
        <v>4</v>
      </c>
      <c r="Z695" s="17" t="s">
        <v>123</v>
      </c>
      <c r="AA695" s="17">
        <v>2</v>
      </c>
      <c r="AB695" s="1">
        <f t="shared" si="70"/>
        <v>0</v>
      </c>
      <c r="AC695" s="1">
        <f t="shared" si="71"/>
        <v>0</v>
      </c>
      <c r="AD695" s="1">
        <f t="shared" si="72"/>
        <v>1</v>
      </c>
    </row>
    <row r="696" spans="19:30">
      <c r="S696" s="17">
        <v>7</v>
      </c>
      <c r="T696" s="18"/>
      <c r="U696" s="17">
        <v>1</v>
      </c>
      <c r="V696" s="17" t="s">
        <v>95</v>
      </c>
      <c r="W696" s="18">
        <v>0</v>
      </c>
      <c r="X696" s="18" t="s">
        <v>342</v>
      </c>
      <c r="Y696" s="18">
        <f t="shared" si="76"/>
        <v>4</v>
      </c>
      <c r="Z696" s="17" t="s">
        <v>49</v>
      </c>
      <c r="AA696" s="17">
        <v>2</v>
      </c>
      <c r="AB696" s="1">
        <f t="shared" si="70"/>
        <v>0</v>
      </c>
      <c r="AC696" s="1">
        <f t="shared" si="71"/>
        <v>0</v>
      </c>
      <c r="AD696" s="1">
        <f t="shared" si="72"/>
        <v>1</v>
      </c>
    </row>
    <row r="697" spans="19:30">
      <c r="S697" s="17">
        <v>8</v>
      </c>
      <c r="T697" s="18"/>
      <c r="U697" s="17">
        <v>1</v>
      </c>
      <c r="V697" s="17" t="s">
        <v>95</v>
      </c>
      <c r="W697" s="18">
        <v>0</v>
      </c>
      <c r="X697" s="18" t="s">
        <v>342</v>
      </c>
      <c r="Y697" s="18">
        <f t="shared" si="76"/>
        <v>4</v>
      </c>
      <c r="Z697" s="17" t="s">
        <v>37</v>
      </c>
      <c r="AA697" s="17">
        <v>2</v>
      </c>
      <c r="AB697" s="1">
        <f t="shared" si="70"/>
        <v>0</v>
      </c>
      <c r="AC697" s="1">
        <f t="shared" si="71"/>
        <v>0</v>
      </c>
      <c r="AD697" s="1">
        <f t="shared" si="72"/>
        <v>1</v>
      </c>
    </row>
    <row r="698" spans="19:30">
      <c r="S698" s="17">
        <v>9</v>
      </c>
      <c r="T698" s="18"/>
      <c r="U698" s="17">
        <v>2</v>
      </c>
      <c r="V698" s="17" t="s">
        <v>95</v>
      </c>
      <c r="W698" s="18">
        <v>1</v>
      </c>
      <c r="X698" s="18" t="s">
        <v>342</v>
      </c>
      <c r="Y698" s="18">
        <f t="shared" si="76"/>
        <v>3</v>
      </c>
      <c r="Z698" s="17" t="s">
        <v>43</v>
      </c>
      <c r="AA698" s="17">
        <v>1</v>
      </c>
      <c r="AB698" s="1">
        <f t="shared" si="70"/>
        <v>0</v>
      </c>
      <c r="AC698" s="1">
        <f t="shared" si="71"/>
        <v>0</v>
      </c>
      <c r="AD698" s="1">
        <f t="shared" si="72"/>
        <v>1</v>
      </c>
    </row>
    <row r="699" spans="19:30">
      <c r="S699" s="17">
        <v>10</v>
      </c>
      <c r="T699" s="18"/>
      <c r="U699" s="17">
        <v>2</v>
      </c>
      <c r="V699" s="17" t="s">
        <v>95</v>
      </c>
      <c r="W699" s="18">
        <v>0</v>
      </c>
      <c r="X699" s="18" t="s">
        <v>342</v>
      </c>
      <c r="Y699" s="18">
        <f t="shared" si="76"/>
        <v>4</v>
      </c>
      <c r="Z699" s="17" t="s">
        <v>18</v>
      </c>
      <c r="AA699" s="17">
        <v>1</v>
      </c>
      <c r="AB699" s="1">
        <f t="shared" si="70"/>
        <v>0</v>
      </c>
      <c r="AC699" s="1">
        <f t="shared" si="71"/>
        <v>0</v>
      </c>
      <c r="AD699" s="1">
        <f t="shared" si="72"/>
        <v>1</v>
      </c>
    </row>
    <row r="700" spans="19:30">
      <c r="S700" s="17">
        <v>11</v>
      </c>
      <c r="T700" s="18"/>
      <c r="U700" s="17">
        <v>1</v>
      </c>
      <c r="V700" s="17" t="s">
        <v>95</v>
      </c>
      <c r="W700" s="18">
        <v>2</v>
      </c>
      <c r="X700" s="18" t="s">
        <v>342</v>
      </c>
      <c r="Y700" s="18">
        <f t="shared" si="76"/>
        <v>2</v>
      </c>
      <c r="Z700" s="17" t="s">
        <v>131</v>
      </c>
      <c r="AA700" s="17">
        <v>2</v>
      </c>
      <c r="AB700" s="1">
        <f t="shared" si="70"/>
        <v>0</v>
      </c>
      <c r="AC700" s="1">
        <f t="shared" si="71"/>
        <v>1</v>
      </c>
      <c r="AD700" s="1">
        <f t="shared" si="72"/>
        <v>0</v>
      </c>
    </row>
    <row r="701" spans="19:30">
      <c r="S701" s="17">
        <v>12</v>
      </c>
      <c r="T701" s="18"/>
      <c r="U701" s="17">
        <v>1</v>
      </c>
      <c r="V701" s="17" t="s">
        <v>95</v>
      </c>
      <c r="W701" s="18">
        <v>4</v>
      </c>
      <c r="X701" s="18" t="s">
        <v>342</v>
      </c>
      <c r="Y701" s="18">
        <f t="shared" si="76"/>
        <v>0</v>
      </c>
      <c r="Z701" s="17" t="s">
        <v>343</v>
      </c>
      <c r="AA701" s="17">
        <v>2</v>
      </c>
      <c r="AB701" s="1">
        <f t="shared" si="70"/>
        <v>1</v>
      </c>
      <c r="AC701" s="1">
        <f t="shared" si="71"/>
        <v>0</v>
      </c>
      <c r="AD701" s="1">
        <f t="shared" si="72"/>
        <v>0</v>
      </c>
    </row>
    <row r="702" spans="19:30">
      <c r="S702" s="17">
        <v>13</v>
      </c>
      <c r="T702" s="18"/>
      <c r="U702" s="17">
        <v>1</v>
      </c>
      <c r="V702" s="17" t="s">
        <v>95</v>
      </c>
      <c r="W702" s="18">
        <v>0</v>
      </c>
      <c r="X702" s="18" t="s">
        <v>342</v>
      </c>
      <c r="Y702" s="18">
        <f t="shared" si="76"/>
        <v>4</v>
      </c>
      <c r="Z702" s="17" t="s">
        <v>127</v>
      </c>
      <c r="AA702" s="17">
        <v>2</v>
      </c>
      <c r="AB702" s="1">
        <f t="shared" si="70"/>
        <v>0</v>
      </c>
      <c r="AC702" s="1">
        <f t="shared" si="71"/>
        <v>0</v>
      </c>
      <c r="AD702" s="1">
        <f t="shared" si="72"/>
        <v>1</v>
      </c>
    </row>
    <row r="703" spans="19:30">
      <c r="S703" s="17">
        <v>14</v>
      </c>
      <c r="T703" s="18"/>
      <c r="U703" s="17">
        <v>2</v>
      </c>
      <c r="V703" s="17" t="s">
        <v>95</v>
      </c>
      <c r="W703" s="18">
        <v>1</v>
      </c>
      <c r="X703" s="18" t="s">
        <v>342</v>
      </c>
      <c r="Y703" s="18">
        <f t="shared" si="76"/>
        <v>3</v>
      </c>
      <c r="Z703" s="17" t="s">
        <v>41</v>
      </c>
      <c r="AA703" s="17">
        <v>1</v>
      </c>
      <c r="AB703" s="1">
        <f t="shared" si="70"/>
        <v>0</v>
      </c>
      <c r="AC703" s="1">
        <f t="shared" si="71"/>
        <v>0</v>
      </c>
      <c r="AD703" s="1">
        <f t="shared" si="72"/>
        <v>1</v>
      </c>
    </row>
    <row r="704" spans="19:30">
      <c r="S704" s="17">
        <v>15</v>
      </c>
      <c r="T704" s="18"/>
      <c r="U704" s="17">
        <v>1</v>
      </c>
      <c r="V704" s="17" t="s">
        <v>95</v>
      </c>
      <c r="W704" s="18">
        <v>1</v>
      </c>
      <c r="X704" s="18" t="s">
        <v>342</v>
      </c>
      <c r="Y704" s="18">
        <f t="shared" si="76"/>
        <v>3</v>
      </c>
      <c r="Z704" s="17" t="s">
        <v>65</v>
      </c>
      <c r="AA704" s="17">
        <v>2</v>
      </c>
      <c r="AB704" s="1">
        <f t="shared" si="70"/>
        <v>0</v>
      </c>
      <c r="AC704" s="1">
        <f t="shared" si="71"/>
        <v>0</v>
      </c>
      <c r="AD704" s="1">
        <f t="shared" si="72"/>
        <v>1</v>
      </c>
    </row>
    <row r="705" spans="19:30">
      <c r="S705" s="58" t="s">
        <v>339</v>
      </c>
      <c r="T705" s="58" t="s">
        <v>340</v>
      </c>
      <c r="U705" s="58" t="s">
        <v>341</v>
      </c>
      <c r="V705" s="58" t="s">
        <v>1</v>
      </c>
      <c r="W705" s="66" t="s">
        <v>220</v>
      </c>
      <c r="X705" s="66"/>
      <c r="Y705" s="66"/>
      <c r="Z705" s="58" t="s">
        <v>1</v>
      </c>
      <c r="AA705" s="58" t="s">
        <v>341</v>
      </c>
      <c r="AB705" s="1">
        <f t="shared" ref="AB705:AB768" si="77">IF(W705="",0,IF(W705&gt;Y705,1,0))</f>
        <v>1</v>
      </c>
      <c r="AC705" s="1">
        <f t="shared" ref="AC705:AC768" si="78">IF(W705="",0,IF(W705=Y705,1,0))</f>
        <v>0</v>
      </c>
      <c r="AD705" s="1">
        <f t="shared" ref="AD705:AD768" si="79">IF(W705="",0,IF(W705&lt;Y705,1,0))</f>
        <v>0</v>
      </c>
    </row>
    <row r="706" spans="19:30">
      <c r="S706" s="17">
        <v>1</v>
      </c>
      <c r="T706" s="18"/>
      <c r="U706" s="17">
        <v>2</v>
      </c>
      <c r="V706" s="17" t="s">
        <v>43</v>
      </c>
      <c r="W706" s="18">
        <v>1</v>
      </c>
      <c r="X706" s="18" t="s">
        <v>342</v>
      </c>
      <c r="Y706" s="18">
        <f>IF(W706="","",4-W706)</f>
        <v>3</v>
      </c>
      <c r="Z706" s="17" t="s">
        <v>37</v>
      </c>
      <c r="AA706" s="17">
        <v>1</v>
      </c>
      <c r="AB706" s="1">
        <f t="shared" si="77"/>
        <v>0</v>
      </c>
      <c r="AC706" s="1">
        <f t="shared" si="78"/>
        <v>0</v>
      </c>
      <c r="AD706" s="1">
        <f t="shared" si="79"/>
        <v>1</v>
      </c>
    </row>
    <row r="707" spans="19:30">
      <c r="S707" s="17">
        <v>2</v>
      </c>
      <c r="T707" s="18"/>
      <c r="U707" s="17">
        <v>2</v>
      </c>
      <c r="V707" s="17" t="s">
        <v>43</v>
      </c>
      <c r="W707" s="18">
        <v>0</v>
      </c>
      <c r="X707" s="18" t="s">
        <v>342</v>
      </c>
      <c r="Y707" s="18">
        <f t="shared" ref="Y707:Y720" si="80">IF(W707="","",4-W707)</f>
        <v>4</v>
      </c>
      <c r="Z707" s="17" t="s">
        <v>49</v>
      </c>
      <c r="AA707" s="17">
        <v>1</v>
      </c>
      <c r="AB707" s="1">
        <f t="shared" si="77"/>
        <v>0</v>
      </c>
      <c r="AC707" s="1">
        <f t="shared" si="78"/>
        <v>0</v>
      </c>
      <c r="AD707" s="1">
        <f t="shared" si="79"/>
        <v>1</v>
      </c>
    </row>
    <row r="708" spans="19:30">
      <c r="S708" s="17">
        <v>3</v>
      </c>
      <c r="T708" s="18"/>
      <c r="U708" s="17">
        <v>1</v>
      </c>
      <c r="V708" s="17" t="s">
        <v>43</v>
      </c>
      <c r="W708" s="18">
        <v>0</v>
      </c>
      <c r="X708" s="18" t="s">
        <v>342</v>
      </c>
      <c r="Y708" s="18">
        <f t="shared" si="80"/>
        <v>4</v>
      </c>
      <c r="Z708" s="17" t="s">
        <v>123</v>
      </c>
      <c r="AA708" s="17">
        <v>2</v>
      </c>
      <c r="AB708" s="1">
        <f t="shared" si="77"/>
        <v>0</v>
      </c>
      <c r="AC708" s="1">
        <f t="shared" si="78"/>
        <v>0</v>
      </c>
      <c r="AD708" s="1">
        <f t="shared" si="79"/>
        <v>1</v>
      </c>
    </row>
    <row r="709" spans="19:30">
      <c r="S709" s="17">
        <v>4</v>
      </c>
      <c r="T709" s="18"/>
      <c r="U709" s="17">
        <v>2</v>
      </c>
      <c r="V709" s="17" t="s">
        <v>43</v>
      </c>
      <c r="W709" s="18">
        <v>0</v>
      </c>
      <c r="X709" s="18" t="s">
        <v>342</v>
      </c>
      <c r="Y709" s="18">
        <f t="shared" si="80"/>
        <v>4</v>
      </c>
      <c r="Z709" s="17" t="s">
        <v>115</v>
      </c>
      <c r="AA709" s="17">
        <v>1</v>
      </c>
      <c r="AB709" s="1">
        <f t="shared" si="77"/>
        <v>0</v>
      </c>
      <c r="AC709" s="1">
        <f t="shared" si="78"/>
        <v>0</v>
      </c>
      <c r="AD709" s="1">
        <f t="shared" si="79"/>
        <v>1</v>
      </c>
    </row>
    <row r="710" spans="19:30">
      <c r="S710" s="17">
        <v>5</v>
      </c>
      <c r="T710" s="18"/>
      <c r="U710" s="17">
        <v>1</v>
      </c>
      <c r="V710" s="17" t="s">
        <v>43</v>
      </c>
      <c r="W710" s="18">
        <v>0</v>
      </c>
      <c r="X710" s="18" t="s">
        <v>342</v>
      </c>
      <c r="Y710" s="18">
        <f t="shared" si="80"/>
        <v>4</v>
      </c>
      <c r="Z710" s="17" t="s">
        <v>99</v>
      </c>
      <c r="AA710" s="17">
        <v>2</v>
      </c>
      <c r="AB710" s="1">
        <f t="shared" si="77"/>
        <v>0</v>
      </c>
      <c r="AC710" s="1">
        <f t="shared" si="78"/>
        <v>0</v>
      </c>
      <c r="AD710" s="1">
        <f t="shared" si="79"/>
        <v>1</v>
      </c>
    </row>
    <row r="711" spans="19:30">
      <c r="S711" s="17">
        <v>6</v>
      </c>
      <c r="T711" s="18"/>
      <c r="U711" s="17">
        <v>1</v>
      </c>
      <c r="V711" s="17" t="s">
        <v>43</v>
      </c>
      <c r="W711" s="18">
        <v>1</v>
      </c>
      <c r="X711" s="18" t="s">
        <v>342</v>
      </c>
      <c r="Y711" s="18">
        <f t="shared" si="80"/>
        <v>3</v>
      </c>
      <c r="Z711" s="17" t="s">
        <v>101</v>
      </c>
      <c r="AA711" s="17">
        <v>2</v>
      </c>
      <c r="AB711" s="1">
        <f t="shared" si="77"/>
        <v>0</v>
      </c>
      <c r="AC711" s="1">
        <f t="shared" si="78"/>
        <v>0</v>
      </c>
      <c r="AD711" s="1">
        <f t="shared" si="79"/>
        <v>1</v>
      </c>
    </row>
    <row r="712" spans="19:30">
      <c r="S712" s="17">
        <v>7</v>
      </c>
      <c r="T712" s="18"/>
      <c r="U712" s="17">
        <v>1</v>
      </c>
      <c r="V712" s="17" t="s">
        <v>43</v>
      </c>
      <c r="W712" s="18">
        <v>1</v>
      </c>
      <c r="X712" s="18" t="s">
        <v>342</v>
      </c>
      <c r="Y712" s="18">
        <f t="shared" si="80"/>
        <v>3</v>
      </c>
      <c r="Z712" s="17" t="s">
        <v>83</v>
      </c>
      <c r="AA712" s="17">
        <v>2</v>
      </c>
      <c r="AB712" s="1">
        <f t="shared" si="77"/>
        <v>0</v>
      </c>
      <c r="AC712" s="1">
        <f t="shared" si="78"/>
        <v>0</v>
      </c>
      <c r="AD712" s="1">
        <f t="shared" si="79"/>
        <v>1</v>
      </c>
    </row>
    <row r="713" spans="19:30">
      <c r="S713" s="17">
        <v>8</v>
      </c>
      <c r="T713" s="18"/>
      <c r="U713" s="17">
        <v>1</v>
      </c>
      <c r="V713" s="17" t="s">
        <v>43</v>
      </c>
      <c r="W713" s="18">
        <v>0</v>
      </c>
      <c r="X713" s="18" t="s">
        <v>342</v>
      </c>
      <c r="Y713" s="18">
        <f t="shared" si="80"/>
        <v>4</v>
      </c>
      <c r="Z713" s="17" t="s">
        <v>67</v>
      </c>
      <c r="AA713" s="17">
        <v>2</v>
      </c>
      <c r="AB713" s="1">
        <f t="shared" si="77"/>
        <v>0</v>
      </c>
      <c r="AC713" s="1">
        <f t="shared" si="78"/>
        <v>0</v>
      </c>
      <c r="AD713" s="1">
        <f t="shared" si="79"/>
        <v>1</v>
      </c>
    </row>
    <row r="714" spans="19:30">
      <c r="S714" s="17">
        <v>9</v>
      </c>
      <c r="T714" s="18"/>
      <c r="U714" s="17">
        <v>1</v>
      </c>
      <c r="V714" s="17" t="s">
        <v>43</v>
      </c>
      <c r="W714" s="18">
        <v>3</v>
      </c>
      <c r="X714" s="18" t="s">
        <v>342</v>
      </c>
      <c r="Y714" s="18">
        <f t="shared" si="80"/>
        <v>1</v>
      </c>
      <c r="Z714" s="17" t="s">
        <v>95</v>
      </c>
      <c r="AA714" s="17">
        <v>2</v>
      </c>
      <c r="AB714" s="1">
        <f t="shared" si="77"/>
        <v>1</v>
      </c>
      <c r="AC714" s="1">
        <f t="shared" si="78"/>
        <v>0</v>
      </c>
      <c r="AD714" s="1">
        <f t="shared" si="79"/>
        <v>0</v>
      </c>
    </row>
    <row r="715" spans="19:30">
      <c r="S715" s="17">
        <v>10</v>
      </c>
      <c r="T715" s="18"/>
      <c r="U715" s="17">
        <v>2</v>
      </c>
      <c r="V715" s="17" t="s">
        <v>43</v>
      </c>
      <c r="W715" s="18">
        <v>1</v>
      </c>
      <c r="X715" s="18" t="s">
        <v>342</v>
      </c>
      <c r="Y715" s="18">
        <f t="shared" si="80"/>
        <v>3</v>
      </c>
      <c r="Z715" s="17" t="s">
        <v>65</v>
      </c>
      <c r="AA715" s="17">
        <v>1</v>
      </c>
      <c r="AB715" s="1">
        <f t="shared" si="77"/>
        <v>0</v>
      </c>
      <c r="AC715" s="1">
        <f t="shared" si="78"/>
        <v>0</v>
      </c>
      <c r="AD715" s="1">
        <f t="shared" si="79"/>
        <v>1</v>
      </c>
    </row>
    <row r="716" spans="19:30">
      <c r="S716" s="17">
        <v>11</v>
      </c>
      <c r="T716" s="18"/>
      <c r="U716" s="17">
        <v>1</v>
      </c>
      <c r="V716" s="17" t="s">
        <v>43</v>
      </c>
      <c r="W716" s="18">
        <v>1</v>
      </c>
      <c r="X716" s="18" t="s">
        <v>342</v>
      </c>
      <c r="Y716" s="18">
        <f t="shared" si="80"/>
        <v>3</v>
      </c>
      <c r="Z716" s="17" t="s">
        <v>41</v>
      </c>
      <c r="AA716" s="17">
        <v>2</v>
      </c>
      <c r="AB716" s="1">
        <f t="shared" si="77"/>
        <v>0</v>
      </c>
      <c r="AC716" s="1">
        <f t="shared" si="78"/>
        <v>0</v>
      </c>
      <c r="AD716" s="1">
        <f t="shared" si="79"/>
        <v>1</v>
      </c>
    </row>
    <row r="717" spans="19:30">
      <c r="S717" s="17">
        <v>12</v>
      </c>
      <c r="T717" s="18"/>
      <c r="U717" s="17">
        <v>1</v>
      </c>
      <c r="V717" s="17" t="s">
        <v>43</v>
      </c>
      <c r="W717" s="18">
        <v>1</v>
      </c>
      <c r="X717" s="18" t="s">
        <v>342</v>
      </c>
      <c r="Y717" s="18">
        <f t="shared" si="80"/>
        <v>3</v>
      </c>
      <c r="Z717" s="17" t="s">
        <v>127</v>
      </c>
      <c r="AA717" s="17">
        <v>2</v>
      </c>
      <c r="AB717" s="1">
        <f t="shared" si="77"/>
        <v>0</v>
      </c>
      <c r="AC717" s="1">
        <f t="shared" si="78"/>
        <v>0</v>
      </c>
      <c r="AD717" s="1">
        <f t="shared" si="79"/>
        <v>1</v>
      </c>
    </row>
    <row r="718" spans="19:30">
      <c r="S718" s="17">
        <v>13</v>
      </c>
      <c r="T718" s="18"/>
      <c r="U718" s="17">
        <v>2</v>
      </c>
      <c r="V718" s="17" t="s">
        <v>43</v>
      </c>
      <c r="W718" s="18">
        <v>4</v>
      </c>
      <c r="X718" s="18" t="s">
        <v>342</v>
      </c>
      <c r="Y718" s="18">
        <f t="shared" si="80"/>
        <v>0</v>
      </c>
      <c r="Z718" s="17" t="s">
        <v>343</v>
      </c>
      <c r="AA718" s="17">
        <v>1</v>
      </c>
      <c r="AB718" s="1">
        <f t="shared" si="77"/>
        <v>1</v>
      </c>
      <c r="AC718" s="1">
        <f t="shared" si="78"/>
        <v>0</v>
      </c>
      <c r="AD718" s="1">
        <f t="shared" si="79"/>
        <v>0</v>
      </c>
    </row>
    <row r="719" spans="19:30">
      <c r="S719" s="17">
        <v>14</v>
      </c>
      <c r="T719" s="18"/>
      <c r="U719" s="17">
        <v>1</v>
      </c>
      <c r="V719" s="17" t="s">
        <v>43</v>
      </c>
      <c r="W719" s="18">
        <v>2</v>
      </c>
      <c r="X719" s="18" t="s">
        <v>342</v>
      </c>
      <c r="Y719" s="18">
        <f t="shared" si="80"/>
        <v>2</v>
      </c>
      <c r="Z719" s="17" t="s">
        <v>131</v>
      </c>
      <c r="AA719" s="17">
        <v>2</v>
      </c>
      <c r="AB719" s="1">
        <f t="shared" si="77"/>
        <v>0</v>
      </c>
      <c r="AC719" s="1">
        <f t="shared" si="78"/>
        <v>1</v>
      </c>
      <c r="AD719" s="1">
        <f t="shared" si="79"/>
        <v>0</v>
      </c>
    </row>
    <row r="720" spans="19:30">
      <c r="S720" s="17">
        <v>15</v>
      </c>
      <c r="T720" s="18"/>
      <c r="U720" s="17">
        <v>1</v>
      </c>
      <c r="V720" s="17" t="s">
        <v>43</v>
      </c>
      <c r="W720" s="18">
        <v>2</v>
      </c>
      <c r="X720" s="18" t="s">
        <v>342</v>
      </c>
      <c r="Y720" s="18">
        <f t="shared" si="80"/>
        <v>2</v>
      </c>
      <c r="Z720" s="17" t="s">
        <v>18</v>
      </c>
      <c r="AA720" s="17">
        <v>2</v>
      </c>
      <c r="AB720" s="1">
        <f t="shared" si="77"/>
        <v>0</v>
      </c>
      <c r="AC720" s="1">
        <f t="shared" si="78"/>
        <v>1</v>
      </c>
      <c r="AD720" s="1">
        <f t="shared" si="79"/>
        <v>0</v>
      </c>
    </row>
    <row r="721" spans="19:30">
      <c r="S721" s="58" t="s">
        <v>339</v>
      </c>
      <c r="T721" s="58" t="s">
        <v>340</v>
      </c>
      <c r="U721" s="58" t="s">
        <v>341</v>
      </c>
      <c r="V721" s="58" t="s">
        <v>1</v>
      </c>
      <c r="W721" s="66" t="s">
        <v>220</v>
      </c>
      <c r="X721" s="66"/>
      <c r="Y721" s="66"/>
      <c r="Z721" s="58" t="s">
        <v>1</v>
      </c>
      <c r="AA721" s="58" t="s">
        <v>341</v>
      </c>
      <c r="AB721" s="1">
        <f t="shared" si="77"/>
        <v>1</v>
      </c>
      <c r="AC721" s="1">
        <f t="shared" si="78"/>
        <v>0</v>
      </c>
      <c r="AD721" s="1">
        <f t="shared" si="79"/>
        <v>0</v>
      </c>
    </row>
    <row r="722" spans="19:30">
      <c r="S722" s="17">
        <v>1</v>
      </c>
      <c r="T722" s="18"/>
      <c r="U722" s="17">
        <v>1</v>
      </c>
      <c r="V722" s="17" t="s">
        <v>18</v>
      </c>
      <c r="W722" s="18">
        <v>0</v>
      </c>
      <c r="X722" s="18" t="s">
        <v>342</v>
      </c>
      <c r="Y722" s="18">
        <f>IF(W722="","",4-W722)</f>
        <v>4</v>
      </c>
      <c r="Z722" s="17" t="s">
        <v>49</v>
      </c>
      <c r="AA722" s="17">
        <v>2</v>
      </c>
      <c r="AB722" s="1">
        <f t="shared" si="77"/>
        <v>0</v>
      </c>
      <c r="AC722" s="1">
        <f t="shared" si="78"/>
        <v>0</v>
      </c>
      <c r="AD722" s="1">
        <f t="shared" si="79"/>
        <v>1</v>
      </c>
    </row>
    <row r="723" spans="19:30">
      <c r="S723" s="17">
        <v>2</v>
      </c>
      <c r="T723" s="18"/>
      <c r="U723" s="17">
        <v>1</v>
      </c>
      <c r="V723" s="17" t="s">
        <v>18</v>
      </c>
      <c r="W723" s="18">
        <v>0</v>
      </c>
      <c r="X723" s="18" t="s">
        <v>342</v>
      </c>
      <c r="Y723" s="18">
        <f t="shared" ref="Y723:Y736" si="81">IF(W723="","",4-W723)</f>
        <v>4</v>
      </c>
      <c r="Z723" s="17" t="s">
        <v>37</v>
      </c>
      <c r="AA723" s="17">
        <v>2</v>
      </c>
      <c r="AB723" s="1">
        <f t="shared" si="77"/>
        <v>0</v>
      </c>
      <c r="AC723" s="1">
        <f t="shared" si="78"/>
        <v>0</v>
      </c>
      <c r="AD723" s="1">
        <f t="shared" si="79"/>
        <v>1</v>
      </c>
    </row>
    <row r="724" spans="19:30">
      <c r="S724" s="17">
        <v>3</v>
      </c>
      <c r="T724" s="18"/>
      <c r="U724" s="17">
        <v>1</v>
      </c>
      <c r="V724" s="17" t="s">
        <v>18</v>
      </c>
      <c r="W724" s="18">
        <v>0</v>
      </c>
      <c r="X724" s="18" t="s">
        <v>342</v>
      </c>
      <c r="Y724" s="18">
        <f t="shared" si="81"/>
        <v>4</v>
      </c>
      <c r="Z724" s="17" t="s">
        <v>115</v>
      </c>
      <c r="AA724" s="17">
        <v>2</v>
      </c>
      <c r="AB724" s="1">
        <f t="shared" si="77"/>
        <v>0</v>
      </c>
      <c r="AC724" s="1">
        <f t="shared" si="78"/>
        <v>0</v>
      </c>
      <c r="AD724" s="1">
        <f t="shared" si="79"/>
        <v>1</v>
      </c>
    </row>
    <row r="725" spans="19:30">
      <c r="S725" s="17">
        <v>4</v>
      </c>
      <c r="T725" s="18"/>
      <c r="U725" s="17">
        <v>1</v>
      </c>
      <c r="V725" s="17" t="s">
        <v>18</v>
      </c>
      <c r="W725" s="18">
        <v>0</v>
      </c>
      <c r="X725" s="18" t="s">
        <v>342</v>
      </c>
      <c r="Y725" s="18">
        <f t="shared" si="81"/>
        <v>4</v>
      </c>
      <c r="Z725" s="17" t="s">
        <v>123</v>
      </c>
      <c r="AA725" s="17">
        <v>2</v>
      </c>
      <c r="AB725" s="1">
        <f t="shared" si="77"/>
        <v>0</v>
      </c>
      <c r="AC725" s="1">
        <f t="shared" si="78"/>
        <v>0</v>
      </c>
      <c r="AD725" s="1">
        <f t="shared" si="79"/>
        <v>1</v>
      </c>
    </row>
    <row r="726" spans="19:30">
      <c r="S726" s="17">
        <v>5</v>
      </c>
      <c r="T726" s="18"/>
      <c r="U726" s="17">
        <v>1</v>
      </c>
      <c r="V726" s="17" t="s">
        <v>18</v>
      </c>
      <c r="W726" s="18">
        <v>0</v>
      </c>
      <c r="X726" s="18" t="s">
        <v>342</v>
      </c>
      <c r="Y726" s="18">
        <f t="shared" si="81"/>
        <v>4</v>
      </c>
      <c r="Z726" s="17" t="s">
        <v>101</v>
      </c>
      <c r="AA726" s="17">
        <v>2</v>
      </c>
      <c r="AB726" s="1">
        <f t="shared" si="77"/>
        <v>0</v>
      </c>
      <c r="AC726" s="1">
        <f t="shared" si="78"/>
        <v>0</v>
      </c>
      <c r="AD726" s="1">
        <f t="shared" si="79"/>
        <v>1</v>
      </c>
    </row>
    <row r="727" spans="19:30">
      <c r="S727" s="17">
        <v>6</v>
      </c>
      <c r="T727" s="18"/>
      <c r="U727" s="17">
        <v>2</v>
      </c>
      <c r="V727" s="17" t="s">
        <v>18</v>
      </c>
      <c r="W727" s="18">
        <v>0</v>
      </c>
      <c r="X727" s="18" t="s">
        <v>342</v>
      </c>
      <c r="Y727" s="18">
        <f t="shared" si="81"/>
        <v>4</v>
      </c>
      <c r="Z727" s="17" t="s">
        <v>99</v>
      </c>
      <c r="AA727" s="17">
        <v>1</v>
      </c>
      <c r="AB727" s="1">
        <f t="shared" si="77"/>
        <v>0</v>
      </c>
      <c r="AC727" s="1">
        <f t="shared" si="78"/>
        <v>0</v>
      </c>
      <c r="AD727" s="1">
        <f t="shared" si="79"/>
        <v>1</v>
      </c>
    </row>
    <row r="728" spans="19:30">
      <c r="S728" s="17">
        <v>7</v>
      </c>
      <c r="T728" s="18"/>
      <c r="U728" s="17">
        <v>1</v>
      </c>
      <c r="V728" s="17" t="s">
        <v>18</v>
      </c>
      <c r="W728" s="18">
        <v>0</v>
      </c>
      <c r="X728" s="18" t="s">
        <v>342</v>
      </c>
      <c r="Y728" s="18">
        <f t="shared" si="81"/>
        <v>4</v>
      </c>
      <c r="Z728" s="17" t="s">
        <v>67</v>
      </c>
      <c r="AA728" s="17">
        <v>2</v>
      </c>
      <c r="AB728" s="1">
        <f t="shared" si="77"/>
        <v>0</v>
      </c>
      <c r="AC728" s="1">
        <f t="shared" si="78"/>
        <v>0</v>
      </c>
      <c r="AD728" s="1">
        <f t="shared" si="79"/>
        <v>1</v>
      </c>
    </row>
    <row r="729" spans="19:30">
      <c r="S729" s="17">
        <v>8</v>
      </c>
      <c r="T729" s="18"/>
      <c r="U729" s="17">
        <v>2</v>
      </c>
      <c r="V729" s="17" t="s">
        <v>18</v>
      </c>
      <c r="W729" s="18">
        <v>1</v>
      </c>
      <c r="X729" s="18" t="s">
        <v>342</v>
      </c>
      <c r="Y729" s="18">
        <f t="shared" si="81"/>
        <v>3</v>
      </c>
      <c r="Z729" s="17" t="s">
        <v>83</v>
      </c>
      <c r="AA729" s="17">
        <v>1</v>
      </c>
      <c r="AB729" s="1">
        <f t="shared" si="77"/>
        <v>0</v>
      </c>
      <c r="AC729" s="1">
        <f t="shared" si="78"/>
        <v>0</v>
      </c>
      <c r="AD729" s="1">
        <f t="shared" si="79"/>
        <v>1</v>
      </c>
    </row>
    <row r="730" spans="19:30">
      <c r="S730" s="17">
        <v>9</v>
      </c>
      <c r="T730" s="18"/>
      <c r="U730" s="17">
        <v>1</v>
      </c>
      <c r="V730" s="17" t="s">
        <v>18</v>
      </c>
      <c r="W730" s="18">
        <v>3</v>
      </c>
      <c r="X730" s="18" t="s">
        <v>342</v>
      </c>
      <c r="Y730" s="18">
        <f t="shared" si="81"/>
        <v>1</v>
      </c>
      <c r="Z730" s="17" t="s">
        <v>65</v>
      </c>
      <c r="AA730" s="17">
        <v>2</v>
      </c>
      <c r="AB730" s="1">
        <f t="shared" si="77"/>
        <v>1</v>
      </c>
      <c r="AC730" s="1">
        <f t="shared" si="78"/>
        <v>0</v>
      </c>
      <c r="AD730" s="1">
        <f t="shared" si="79"/>
        <v>0</v>
      </c>
    </row>
    <row r="731" spans="19:30">
      <c r="S731" s="17">
        <v>10</v>
      </c>
      <c r="T731" s="18"/>
      <c r="U731" s="17">
        <v>1</v>
      </c>
      <c r="V731" s="17" t="s">
        <v>18</v>
      </c>
      <c r="W731" s="18">
        <v>4</v>
      </c>
      <c r="X731" s="18" t="s">
        <v>342</v>
      </c>
      <c r="Y731" s="18">
        <f t="shared" si="81"/>
        <v>0</v>
      </c>
      <c r="Z731" s="17" t="s">
        <v>95</v>
      </c>
      <c r="AA731" s="17">
        <v>2</v>
      </c>
      <c r="AB731" s="1">
        <f t="shared" si="77"/>
        <v>1</v>
      </c>
      <c r="AC731" s="1">
        <f t="shared" si="78"/>
        <v>0</v>
      </c>
      <c r="AD731" s="1">
        <f t="shared" si="79"/>
        <v>0</v>
      </c>
    </row>
    <row r="732" spans="19:30">
      <c r="S732" s="17">
        <v>11</v>
      </c>
      <c r="T732" s="18"/>
      <c r="U732" s="17">
        <v>1</v>
      </c>
      <c r="V732" s="17" t="s">
        <v>18</v>
      </c>
      <c r="W732" s="18">
        <v>2</v>
      </c>
      <c r="X732" s="18" t="s">
        <v>342</v>
      </c>
      <c r="Y732" s="18">
        <f t="shared" si="81"/>
        <v>2</v>
      </c>
      <c r="Z732" s="17" t="s">
        <v>127</v>
      </c>
      <c r="AA732" s="17">
        <v>2</v>
      </c>
      <c r="AB732" s="1">
        <f t="shared" si="77"/>
        <v>0</v>
      </c>
      <c r="AC732" s="1">
        <f t="shared" si="78"/>
        <v>1</v>
      </c>
      <c r="AD732" s="1">
        <f t="shared" si="79"/>
        <v>0</v>
      </c>
    </row>
    <row r="733" spans="19:30">
      <c r="S733" s="17">
        <v>12</v>
      </c>
      <c r="T733" s="18"/>
      <c r="U733" s="17">
        <v>2</v>
      </c>
      <c r="V733" s="17" t="s">
        <v>18</v>
      </c>
      <c r="W733" s="18">
        <v>2</v>
      </c>
      <c r="X733" s="18" t="s">
        <v>342</v>
      </c>
      <c r="Y733" s="18">
        <f t="shared" si="81"/>
        <v>2</v>
      </c>
      <c r="Z733" s="17" t="s">
        <v>41</v>
      </c>
      <c r="AA733" s="17">
        <v>1</v>
      </c>
      <c r="AB733" s="1">
        <f t="shared" si="77"/>
        <v>0</v>
      </c>
      <c r="AC733" s="1">
        <f t="shared" si="78"/>
        <v>1</v>
      </c>
      <c r="AD733" s="1">
        <f t="shared" si="79"/>
        <v>0</v>
      </c>
    </row>
    <row r="734" spans="19:30">
      <c r="S734" s="17">
        <v>13</v>
      </c>
      <c r="T734" s="18"/>
      <c r="U734" s="17">
        <v>2</v>
      </c>
      <c r="V734" s="17" t="s">
        <v>18</v>
      </c>
      <c r="W734" s="18">
        <v>4</v>
      </c>
      <c r="X734" s="18" t="s">
        <v>342</v>
      </c>
      <c r="Y734" s="18">
        <f t="shared" si="81"/>
        <v>0</v>
      </c>
      <c r="Z734" s="17" t="s">
        <v>131</v>
      </c>
      <c r="AA734" s="17">
        <v>1</v>
      </c>
      <c r="AB734" s="1">
        <f t="shared" si="77"/>
        <v>1</v>
      </c>
      <c r="AC734" s="1">
        <f t="shared" si="78"/>
        <v>0</v>
      </c>
      <c r="AD734" s="1">
        <f t="shared" si="79"/>
        <v>0</v>
      </c>
    </row>
    <row r="735" spans="19:30">
      <c r="S735" s="17">
        <v>14</v>
      </c>
      <c r="T735" s="18"/>
      <c r="U735" s="17">
        <v>2</v>
      </c>
      <c r="V735" s="17" t="s">
        <v>18</v>
      </c>
      <c r="W735" s="18">
        <v>4</v>
      </c>
      <c r="X735" s="18" t="s">
        <v>342</v>
      </c>
      <c r="Y735" s="18">
        <f t="shared" si="81"/>
        <v>0</v>
      </c>
      <c r="Z735" s="17" t="s">
        <v>343</v>
      </c>
      <c r="AA735" s="17">
        <v>1</v>
      </c>
      <c r="AB735" s="1">
        <f t="shared" si="77"/>
        <v>1</v>
      </c>
      <c r="AC735" s="1">
        <f t="shared" si="78"/>
        <v>0</v>
      </c>
      <c r="AD735" s="1">
        <f t="shared" si="79"/>
        <v>0</v>
      </c>
    </row>
    <row r="736" spans="19:30">
      <c r="S736" s="17">
        <v>15</v>
      </c>
      <c r="T736" s="18"/>
      <c r="U736" s="17">
        <v>2</v>
      </c>
      <c r="V736" s="17" t="s">
        <v>18</v>
      </c>
      <c r="W736" s="18">
        <v>2</v>
      </c>
      <c r="X736" s="18" t="s">
        <v>342</v>
      </c>
      <c r="Y736" s="18">
        <f t="shared" si="81"/>
        <v>2</v>
      </c>
      <c r="Z736" s="17" t="s">
        <v>43</v>
      </c>
      <c r="AA736" s="17">
        <v>1</v>
      </c>
      <c r="AB736" s="1">
        <f t="shared" si="77"/>
        <v>0</v>
      </c>
      <c r="AC736" s="1">
        <f t="shared" si="78"/>
        <v>1</v>
      </c>
      <c r="AD736" s="1">
        <f t="shared" si="79"/>
        <v>0</v>
      </c>
    </row>
    <row r="737" spans="19:30">
      <c r="S737" s="58" t="s">
        <v>339</v>
      </c>
      <c r="T737" s="58" t="s">
        <v>340</v>
      </c>
      <c r="U737" s="58" t="s">
        <v>341</v>
      </c>
      <c r="V737" s="58" t="s">
        <v>1</v>
      </c>
      <c r="W737" s="66" t="s">
        <v>220</v>
      </c>
      <c r="X737" s="66"/>
      <c r="Y737" s="66"/>
      <c r="Z737" s="58" t="s">
        <v>1</v>
      </c>
      <c r="AA737" s="58" t="s">
        <v>341</v>
      </c>
      <c r="AB737" s="1">
        <f t="shared" si="77"/>
        <v>1</v>
      </c>
      <c r="AC737" s="1">
        <f t="shared" si="78"/>
        <v>0</v>
      </c>
      <c r="AD737" s="1">
        <f t="shared" si="79"/>
        <v>0</v>
      </c>
    </row>
    <row r="738" spans="19:30">
      <c r="S738" s="17">
        <v>1</v>
      </c>
      <c r="T738" s="18"/>
      <c r="U738" s="17">
        <v>2</v>
      </c>
      <c r="V738" s="17" t="s">
        <v>131</v>
      </c>
      <c r="W738" s="18">
        <v>0</v>
      </c>
      <c r="X738" s="18" t="s">
        <v>342</v>
      </c>
      <c r="Y738" s="18">
        <f>IF(W738="","",4-W738)</f>
        <v>4</v>
      </c>
      <c r="Z738" s="17" t="s">
        <v>123</v>
      </c>
      <c r="AA738" s="17">
        <v>1</v>
      </c>
      <c r="AB738" s="1">
        <f t="shared" si="77"/>
        <v>0</v>
      </c>
      <c r="AC738" s="1">
        <f t="shared" si="78"/>
        <v>0</v>
      </c>
      <c r="AD738" s="1">
        <f t="shared" si="79"/>
        <v>1</v>
      </c>
    </row>
    <row r="739" spans="19:30">
      <c r="S739" s="17">
        <v>2</v>
      </c>
      <c r="T739" s="18"/>
      <c r="U739" s="17">
        <v>2</v>
      </c>
      <c r="V739" s="17" t="s">
        <v>131</v>
      </c>
      <c r="W739" s="18">
        <v>0</v>
      </c>
      <c r="X739" s="18" t="s">
        <v>342</v>
      </c>
      <c r="Y739" s="18">
        <f t="shared" ref="Y739:Y752" si="82">IF(W739="","",4-W739)</f>
        <v>4</v>
      </c>
      <c r="Z739" s="17" t="s">
        <v>115</v>
      </c>
      <c r="AA739" s="17">
        <v>1</v>
      </c>
      <c r="AB739" s="1">
        <f t="shared" si="77"/>
        <v>0</v>
      </c>
      <c r="AC739" s="1">
        <f t="shared" si="78"/>
        <v>0</v>
      </c>
      <c r="AD739" s="1">
        <f t="shared" si="79"/>
        <v>1</v>
      </c>
    </row>
    <row r="740" spans="19:30">
      <c r="S740" s="17">
        <v>3</v>
      </c>
      <c r="T740" s="18"/>
      <c r="U740" s="17">
        <v>1</v>
      </c>
      <c r="V740" s="17" t="s">
        <v>131</v>
      </c>
      <c r="W740" s="18">
        <v>0</v>
      </c>
      <c r="X740" s="18" t="s">
        <v>342</v>
      </c>
      <c r="Y740" s="18">
        <f t="shared" si="82"/>
        <v>4</v>
      </c>
      <c r="Z740" s="17" t="s">
        <v>37</v>
      </c>
      <c r="AA740" s="17">
        <v>2</v>
      </c>
      <c r="AB740" s="1">
        <f t="shared" si="77"/>
        <v>0</v>
      </c>
      <c r="AC740" s="1">
        <f t="shared" si="78"/>
        <v>0</v>
      </c>
      <c r="AD740" s="1">
        <f t="shared" si="79"/>
        <v>1</v>
      </c>
    </row>
    <row r="741" spans="19:30">
      <c r="S741" s="17">
        <v>4</v>
      </c>
      <c r="T741" s="18"/>
      <c r="U741" s="17">
        <v>2</v>
      </c>
      <c r="V741" s="17" t="s">
        <v>131</v>
      </c>
      <c r="W741" s="18">
        <v>0</v>
      </c>
      <c r="X741" s="18" t="s">
        <v>342</v>
      </c>
      <c r="Y741" s="18">
        <f t="shared" si="82"/>
        <v>4</v>
      </c>
      <c r="Z741" s="17" t="s">
        <v>49</v>
      </c>
      <c r="AA741" s="17">
        <v>1</v>
      </c>
      <c r="AB741" s="1">
        <f t="shared" si="77"/>
        <v>0</v>
      </c>
      <c r="AC741" s="1">
        <f t="shared" si="78"/>
        <v>0</v>
      </c>
      <c r="AD741" s="1">
        <f t="shared" si="79"/>
        <v>1</v>
      </c>
    </row>
    <row r="742" spans="19:30">
      <c r="S742" s="17">
        <v>5</v>
      </c>
      <c r="T742" s="18"/>
      <c r="U742" s="17">
        <v>1</v>
      </c>
      <c r="V742" s="17" t="s">
        <v>131</v>
      </c>
      <c r="W742" s="18">
        <v>0</v>
      </c>
      <c r="X742" s="18" t="s">
        <v>342</v>
      </c>
      <c r="Y742" s="18">
        <f t="shared" si="82"/>
        <v>4</v>
      </c>
      <c r="Z742" s="17" t="s">
        <v>83</v>
      </c>
      <c r="AA742" s="17">
        <v>2</v>
      </c>
      <c r="AB742" s="1">
        <f t="shared" si="77"/>
        <v>0</v>
      </c>
      <c r="AC742" s="1">
        <f t="shared" si="78"/>
        <v>0</v>
      </c>
      <c r="AD742" s="1">
        <f t="shared" si="79"/>
        <v>1</v>
      </c>
    </row>
    <row r="743" spans="19:30">
      <c r="S743" s="17">
        <v>6</v>
      </c>
      <c r="T743" s="18"/>
      <c r="U743" s="17">
        <v>2</v>
      </c>
      <c r="V743" s="17" t="s">
        <v>131</v>
      </c>
      <c r="W743" s="18">
        <v>0</v>
      </c>
      <c r="X743" s="18" t="s">
        <v>342</v>
      </c>
      <c r="Y743" s="18">
        <f t="shared" si="82"/>
        <v>4</v>
      </c>
      <c r="Z743" s="17" t="s">
        <v>67</v>
      </c>
      <c r="AA743" s="17">
        <v>1</v>
      </c>
      <c r="AB743" s="1">
        <f t="shared" si="77"/>
        <v>0</v>
      </c>
      <c r="AC743" s="1">
        <f t="shared" si="78"/>
        <v>0</v>
      </c>
      <c r="AD743" s="1">
        <f t="shared" si="79"/>
        <v>1</v>
      </c>
    </row>
    <row r="744" spans="19:30">
      <c r="S744" s="17">
        <v>7</v>
      </c>
      <c r="T744" s="18"/>
      <c r="U744" s="17">
        <v>1</v>
      </c>
      <c r="V744" s="17" t="s">
        <v>131</v>
      </c>
      <c r="W744" s="18">
        <v>0</v>
      </c>
      <c r="X744" s="18" t="s">
        <v>342</v>
      </c>
      <c r="Y744" s="18">
        <f t="shared" si="82"/>
        <v>4</v>
      </c>
      <c r="Z744" s="17" t="s">
        <v>99</v>
      </c>
      <c r="AA744" s="17">
        <v>2</v>
      </c>
      <c r="AB744" s="1">
        <f t="shared" si="77"/>
        <v>0</v>
      </c>
      <c r="AC744" s="1">
        <f t="shared" si="78"/>
        <v>0</v>
      </c>
      <c r="AD744" s="1">
        <f t="shared" si="79"/>
        <v>1</v>
      </c>
    </row>
    <row r="745" spans="19:30">
      <c r="S745" s="17">
        <v>8</v>
      </c>
      <c r="T745" s="18"/>
      <c r="U745" s="17">
        <v>1</v>
      </c>
      <c r="V745" s="17" t="s">
        <v>131</v>
      </c>
      <c r="W745" s="18">
        <v>1</v>
      </c>
      <c r="X745" s="18" t="s">
        <v>342</v>
      </c>
      <c r="Y745" s="18">
        <f t="shared" si="82"/>
        <v>3</v>
      </c>
      <c r="Z745" s="17" t="s">
        <v>101</v>
      </c>
      <c r="AA745" s="17">
        <v>2</v>
      </c>
      <c r="AB745" s="1">
        <f t="shared" si="77"/>
        <v>0</v>
      </c>
      <c r="AC745" s="1">
        <f t="shared" si="78"/>
        <v>0</v>
      </c>
      <c r="AD745" s="1">
        <f t="shared" si="79"/>
        <v>1</v>
      </c>
    </row>
    <row r="746" spans="19:30">
      <c r="S746" s="17">
        <v>9</v>
      </c>
      <c r="T746" s="18"/>
      <c r="U746" s="17">
        <v>2</v>
      </c>
      <c r="V746" s="17" t="s">
        <v>131</v>
      </c>
      <c r="W746" s="18">
        <v>0</v>
      </c>
      <c r="X746" s="18" t="s">
        <v>342</v>
      </c>
      <c r="Y746" s="18">
        <f t="shared" si="82"/>
        <v>4</v>
      </c>
      <c r="Z746" s="17" t="s">
        <v>41</v>
      </c>
      <c r="AA746" s="17">
        <v>1</v>
      </c>
      <c r="AB746" s="1">
        <f t="shared" si="77"/>
        <v>0</v>
      </c>
      <c r="AC746" s="1">
        <f t="shared" si="78"/>
        <v>0</v>
      </c>
      <c r="AD746" s="1">
        <f t="shared" si="79"/>
        <v>1</v>
      </c>
    </row>
    <row r="747" spans="19:30">
      <c r="S747" s="17">
        <v>10</v>
      </c>
      <c r="T747" s="18"/>
      <c r="U747" s="17">
        <v>1</v>
      </c>
      <c r="V747" s="17" t="s">
        <v>131</v>
      </c>
      <c r="W747" s="18">
        <v>1</v>
      </c>
      <c r="X747" s="18" t="s">
        <v>342</v>
      </c>
      <c r="Y747" s="18">
        <f t="shared" si="82"/>
        <v>3</v>
      </c>
      <c r="Z747" s="17" t="s">
        <v>127</v>
      </c>
      <c r="AA747" s="17">
        <v>2</v>
      </c>
      <c r="AB747" s="1">
        <f t="shared" si="77"/>
        <v>0</v>
      </c>
      <c r="AC747" s="1">
        <f t="shared" si="78"/>
        <v>0</v>
      </c>
      <c r="AD747" s="1">
        <f t="shared" si="79"/>
        <v>1</v>
      </c>
    </row>
    <row r="748" spans="19:30">
      <c r="S748" s="17">
        <v>11</v>
      </c>
      <c r="T748" s="18"/>
      <c r="U748" s="17">
        <v>2</v>
      </c>
      <c r="V748" s="17" t="s">
        <v>131</v>
      </c>
      <c r="W748" s="18">
        <v>2</v>
      </c>
      <c r="X748" s="18" t="s">
        <v>342</v>
      </c>
      <c r="Y748" s="18">
        <f t="shared" si="82"/>
        <v>2</v>
      </c>
      <c r="Z748" s="17" t="s">
        <v>95</v>
      </c>
      <c r="AA748" s="17">
        <v>1</v>
      </c>
      <c r="AB748" s="1">
        <f t="shared" si="77"/>
        <v>0</v>
      </c>
      <c r="AC748" s="1">
        <f t="shared" si="78"/>
        <v>1</v>
      </c>
      <c r="AD748" s="1">
        <f t="shared" si="79"/>
        <v>0</v>
      </c>
    </row>
    <row r="749" spans="19:30">
      <c r="S749" s="17">
        <v>12</v>
      </c>
      <c r="T749" s="18"/>
      <c r="U749" s="17">
        <v>2</v>
      </c>
      <c r="V749" s="17" t="s">
        <v>131</v>
      </c>
      <c r="W749" s="18">
        <v>2</v>
      </c>
      <c r="X749" s="18" t="s">
        <v>342</v>
      </c>
      <c r="Y749" s="18">
        <f t="shared" si="82"/>
        <v>2</v>
      </c>
      <c r="Z749" s="17" t="s">
        <v>65</v>
      </c>
      <c r="AA749" s="17">
        <v>1</v>
      </c>
      <c r="AB749" s="1">
        <f t="shared" si="77"/>
        <v>0</v>
      </c>
      <c r="AC749" s="1">
        <f t="shared" si="78"/>
        <v>1</v>
      </c>
      <c r="AD749" s="1">
        <f t="shared" si="79"/>
        <v>0</v>
      </c>
    </row>
    <row r="750" spans="19:30">
      <c r="S750" s="17">
        <v>13</v>
      </c>
      <c r="T750" s="18"/>
      <c r="U750" s="17">
        <v>1</v>
      </c>
      <c r="V750" s="17" t="s">
        <v>131</v>
      </c>
      <c r="W750" s="18">
        <v>0</v>
      </c>
      <c r="X750" s="18" t="s">
        <v>342</v>
      </c>
      <c r="Y750" s="18">
        <f t="shared" si="82"/>
        <v>4</v>
      </c>
      <c r="Z750" s="17" t="s">
        <v>18</v>
      </c>
      <c r="AA750" s="17">
        <v>2</v>
      </c>
      <c r="AB750" s="1">
        <f t="shared" si="77"/>
        <v>0</v>
      </c>
      <c r="AC750" s="1">
        <f t="shared" si="78"/>
        <v>0</v>
      </c>
      <c r="AD750" s="1">
        <f t="shared" si="79"/>
        <v>1</v>
      </c>
    </row>
    <row r="751" spans="19:30">
      <c r="S751" s="17">
        <v>14</v>
      </c>
      <c r="T751" s="18"/>
      <c r="U751" s="17">
        <v>2</v>
      </c>
      <c r="V751" s="17" t="s">
        <v>131</v>
      </c>
      <c r="W751" s="18">
        <v>2</v>
      </c>
      <c r="X751" s="18" t="s">
        <v>342</v>
      </c>
      <c r="Y751" s="18">
        <f t="shared" si="82"/>
        <v>2</v>
      </c>
      <c r="Z751" s="17" t="s">
        <v>43</v>
      </c>
      <c r="AA751" s="17">
        <v>1</v>
      </c>
      <c r="AB751" s="1">
        <f t="shared" si="77"/>
        <v>0</v>
      </c>
      <c r="AC751" s="1">
        <f t="shared" si="78"/>
        <v>1</v>
      </c>
      <c r="AD751" s="1">
        <f t="shared" si="79"/>
        <v>0</v>
      </c>
    </row>
    <row r="752" spans="19:30">
      <c r="S752" s="17">
        <v>15</v>
      </c>
      <c r="T752" s="18"/>
      <c r="U752" s="17">
        <v>2</v>
      </c>
      <c r="V752" s="17" t="s">
        <v>131</v>
      </c>
      <c r="W752" s="18">
        <v>4</v>
      </c>
      <c r="X752" s="18" t="s">
        <v>342</v>
      </c>
      <c r="Y752" s="18">
        <f t="shared" si="82"/>
        <v>0</v>
      </c>
      <c r="Z752" s="17" t="s">
        <v>343</v>
      </c>
      <c r="AA752" s="17">
        <v>1</v>
      </c>
      <c r="AB752" s="1">
        <f t="shared" si="77"/>
        <v>1</v>
      </c>
      <c r="AC752" s="1">
        <f t="shared" si="78"/>
        <v>0</v>
      </c>
      <c r="AD752" s="1">
        <f t="shared" si="79"/>
        <v>0</v>
      </c>
    </row>
    <row r="753" spans="19:30">
      <c r="S753" s="58" t="s">
        <v>339</v>
      </c>
      <c r="T753" s="58" t="s">
        <v>340</v>
      </c>
      <c r="U753" s="58" t="s">
        <v>341</v>
      </c>
      <c r="V753" s="58" t="s">
        <v>1</v>
      </c>
      <c r="W753" s="66" t="s">
        <v>220</v>
      </c>
      <c r="X753" s="66"/>
      <c r="Y753" s="66"/>
      <c r="Z753" s="58" t="s">
        <v>1</v>
      </c>
      <c r="AA753" s="58" t="s">
        <v>341</v>
      </c>
      <c r="AB753" s="1">
        <f t="shared" si="77"/>
        <v>1</v>
      </c>
      <c r="AC753" s="1">
        <f t="shared" si="78"/>
        <v>0</v>
      </c>
      <c r="AD753" s="1">
        <f t="shared" si="79"/>
        <v>0</v>
      </c>
    </row>
    <row r="754" spans="19:30">
      <c r="S754" s="17">
        <v>1</v>
      </c>
      <c r="T754" s="18"/>
      <c r="U754" s="17">
        <v>2</v>
      </c>
      <c r="V754" s="17" t="s">
        <v>343</v>
      </c>
      <c r="W754" s="18">
        <v>0</v>
      </c>
      <c r="X754" s="18" t="s">
        <v>342</v>
      </c>
      <c r="Y754" s="18">
        <f>IF(W754="","",4-W754)</f>
        <v>4</v>
      </c>
      <c r="Z754" s="17" t="s">
        <v>115</v>
      </c>
      <c r="AA754" s="17">
        <v>1</v>
      </c>
      <c r="AB754" s="1">
        <f t="shared" si="77"/>
        <v>0</v>
      </c>
      <c r="AC754" s="1">
        <f t="shared" si="78"/>
        <v>0</v>
      </c>
      <c r="AD754" s="1">
        <f t="shared" si="79"/>
        <v>1</v>
      </c>
    </row>
    <row r="755" spans="19:30">
      <c r="S755" s="17">
        <v>2</v>
      </c>
      <c r="T755" s="18"/>
      <c r="U755" s="17">
        <v>1</v>
      </c>
      <c r="V755" s="17" t="s">
        <v>343</v>
      </c>
      <c r="W755" s="18">
        <v>0</v>
      </c>
      <c r="X755" s="18" t="s">
        <v>342</v>
      </c>
      <c r="Y755" s="18">
        <f t="shared" ref="Y755:Y768" si="83">IF(W755="","",4-W755)</f>
        <v>4</v>
      </c>
      <c r="Z755" s="17" t="s">
        <v>123</v>
      </c>
      <c r="AA755" s="17">
        <v>2</v>
      </c>
      <c r="AB755" s="1">
        <f t="shared" si="77"/>
        <v>0</v>
      </c>
      <c r="AC755" s="1">
        <f t="shared" si="78"/>
        <v>0</v>
      </c>
      <c r="AD755" s="1">
        <f t="shared" si="79"/>
        <v>1</v>
      </c>
    </row>
    <row r="756" spans="19:30">
      <c r="S756" s="17">
        <v>3</v>
      </c>
      <c r="T756" s="18"/>
      <c r="U756" s="17">
        <v>2</v>
      </c>
      <c r="V756" s="17" t="s">
        <v>343</v>
      </c>
      <c r="W756" s="18">
        <v>0</v>
      </c>
      <c r="X756" s="18" t="s">
        <v>342</v>
      </c>
      <c r="Y756" s="18">
        <f t="shared" si="83"/>
        <v>4</v>
      </c>
      <c r="Z756" s="17" t="s">
        <v>49</v>
      </c>
      <c r="AA756" s="17">
        <v>1</v>
      </c>
      <c r="AB756" s="1">
        <f t="shared" si="77"/>
        <v>0</v>
      </c>
      <c r="AC756" s="1">
        <f t="shared" si="78"/>
        <v>0</v>
      </c>
      <c r="AD756" s="1">
        <f t="shared" si="79"/>
        <v>1</v>
      </c>
    </row>
    <row r="757" spans="19:30">
      <c r="S757" s="17">
        <v>4</v>
      </c>
      <c r="T757" s="18"/>
      <c r="U757" s="17">
        <v>2</v>
      </c>
      <c r="V757" s="17" t="s">
        <v>343</v>
      </c>
      <c r="W757" s="18">
        <v>0</v>
      </c>
      <c r="X757" s="18" t="s">
        <v>342</v>
      </c>
      <c r="Y757" s="18">
        <f t="shared" si="83"/>
        <v>4</v>
      </c>
      <c r="Z757" s="17" t="s">
        <v>37</v>
      </c>
      <c r="AA757" s="17">
        <v>1</v>
      </c>
      <c r="AB757" s="1">
        <f t="shared" si="77"/>
        <v>0</v>
      </c>
      <c r="AC757" s="1">
        <f t="shared" si="78"/>
        <v>0</v>
      </c>
      <c r="AD757" s="1">
        <f t="shared" si="79"/>
        <v>1</v>
      </c>
    </row>
    <row r="758" spans="19:30">
      <c r="S758" s="17">
        <v>5</v>
      </c>
      <c r="T758" s="18"/>
      <c r="U758" s="17">
        <v>1</v>
      </c>
      <c r="V758" s="17" t="s">
        <v>343</v>
      </c>
      <c r="W758" s="18">
        <v>0</v>
      </c>
      <c r="X758" s="18" t="s">
        <v>342</v>
      </c>
      <c r="Y758" s="18">
        <f t="shared" si="83"/>
        <v>4</v>
      </c>
      <c r="Z758" s="17" t="s">
        <v>67</v>
      </c>
      <c r="AA758" s="17">
        <v>2</v>
      </c>
      <c r="AB758" s="1">
        <f t="shared" si="77"/>
        <v>0</v>
      </c>
      <c r="AC758" s="1">
        <f t="shared" si="78"/>
        <v>0</v>
      </c>
      <c r="AD758" s="1">
        <f t="shared" si="79"/>
        <v>1</v>
      </c>
    </row>
    <row r="759" spans="19:30">
      <c r="S759" s="17">
        <v>6</v>
      </c>
      <c r="T759" s="18"/>
      <c r="U759" s="17">
        <v>1</v>
      </c>
      <c r="V759" s="17" t="s">
        <v>343</v>
      </c>
      <c r="W759" s="18">
        <v>0</v>
      </c>
      <c r="X759" s="18" t="s">
        <v>342</v>
      </c>
      <c r="Y759" s="18">
        <f t="shared" si="83"/>
        <v>4</v>
      </c>
      <c r="Z759" s="17" t="s">
        <v>83</v>
      </c>
      <c r="AA759" s="17">
        <v>2</v>
      </c>
      <c r="AB759" s="1">
        <f t="shared" si="77"/>
        <v>0</v>
      </c>
      <c r="AC759" s="1">
        <f t="shared" si="78"/>
        <v>0</v>
      </c>
      <c r="AD759" s="1">
        <f t="shared" si="79"/>
        <v>1</v>
      </c>
    </row>
    <row r="760" spans="19:30">
      <c r="S760" s="17">
        <v>7</v>
      </c>
      <c r="T760" s="18"/>
      <c r="U760" s="17">
        <v>2</v>
      </c>
      <c r="V760" s="17" t="s">
        <v>343</v>
      </c>
      <c r="W760" s="18">
        <v>0</v>
      </c>
      <c r="X760" s="18" t="s">
        <v>342</v>
      </c>
      <c r="Y760" s="18">
        <f t="shared" si="83"/>
        <v>4</v>
      </c>
      <c r="Z760" s="17" t="s">
        <v>101</v>
      </c>
      <c r="AA760" s="17">
        <v>1</v>
      </c>
      <c r="AB760" s="1">
        <f t="shared" si="77"/>
        <v>0</v>
      </c>
      <c r="AC760" s="1">
        <f t="shared" si="78"/>
        <v>0</v>
      </c>
      <c r="AD760" s="1">
        <f t="shared" si="79"/>
        <v>1</v>
      </c>
    </row>
    <row r="761" spans="19:30">
      <c r="S761" s="17">
        <v>8</v>
      </c>
      <c r="T761" s="18"/>
      <c r="U761" s="17">
        <v>2</v>
      </c>
      <c r="V761" s="17" t="s">
        <v>343</v>
      </c>
      <c r="W761" s="18">
        <v>0</v>
      </c>
      <c r="X761" s="18" t="s">
        <v>342</v>
      </c>
      <c r="Y761" s="18">
        <f t="shared" si="83"/>
        <v>4</v>
      </c>
      <c r="Z761" s="17" t="s">
        <v>99</v>
      </c>
      <c r="AA761" s="17">
        <v>1</v>
      </c>
      <c r="AB761" s="1">
        <f t="shared" si="77"/>
        <v>0</v>
      </c>
      <c r="AC761" s="1">
        <f t="shared" si="78"/>
        <v>0</v>
      </c>
      <c r="AD761" s="1">
        <f t="shared" si="79"/>
        <v>1</v>
      </c>
    </row>
    <row r="762" spans="19:30">
      <c r="S762" s="17">
        <v>9</v>
      </c>
      <c r="T762" s="18"/>
      <c r="U762" s="17">
        <v>2</v>
      </c>
      <c r="V762" s="17" t="s">
        <v>343</v>
      </c>
      <c r="W762" s="18">
        <v>0</v>
      </c>
      <c r="X762" s="18" t="s">
        <v>342</v>
      </c>
      <c r="Y762" s="18">
        <f t="shared" si="83"/>
        <v>4</v>
      </c>
      <c r="Z762" s="17" t="s">
        <v>127</v>
      </c>
      <c r="AA762" s="17">
        <v>1</v>
      </c>
      <c r="AB762" s="1">
        <f t="shared" si="77"/>
        <v>0</v>
      </c>
      <c r="AC762" s="1">
        <f t="shared" si="78"/>
        <v>0</v>
      </c>
      <c r="AD762" s="1">
        <f t="shared" si="79"/>
        <v>1</v>
      </c>
    </row>
    <row r="763" spans="19:30">
      <c r="S763" s="17">
        <v>10</v>
      </c>
      <c r="T763" s="18"/>
      <c r="U763" s="17">
        <v>1</v>
      </c>
      <c r="V763" s="17" t="s">
        <v>343</v>
      </c>
      <c r="W763" s="18">
        <v>0</v>
      </c>
      <c r="X763" s="18" t="s">
        <v>342</v>
      </c>
      <c r="Y763" s="18">
        <f t="shared" si="83"/>
        <v>4</v>
      </c>
      <c r="Z763" s="17" t="s">
        <v>41</v>
      </c>
      <c r="AA763" s="17">
        <v>2</v>
      </c>
      <c r="AB763" s="1">
        <f t="shared" si="77"/>
        <v>0</v>
      </c>
      <c r="AC763" s="1">
        <f t="shared" si="78"/>
        <v>0</v>
      </c>
      <c r="AD763" s="1">
        <f t="shared" si="79"/>
        <v>1</v>
      </c>
    </row>
    <row r="764" spans="19:30">
      <c r="S764" s="17">
        <v>11</v>
      </c>
      <c r="T764" s="18"/>
      <c r="U764" s="17">
        <v>2</v>
      </c>
      <c r="V764" s="17" t="s">
        <v>343</v>
      </c>
      <c r="W764" s="18">
        <v>0</v>
      </c>
      <c r="X764" s="18" t="s">
        <v>342</v>
      </c>
      <c r="Y764" s="18">
        <f t="shared" si="83"/>
        <v>4</v>
      </c>
      <c r="Z764" s="17" t="s">
        <v>65</v>
      </c>
      <c r="AA764" s="17">
        <v>1</v>
      </c>
      <c r="AB764" s="1">
        <f t="shared" si="77"/>
        <v>0</v>
      </c>
      <c r="AC764" s="1">
        <f t="shared" si="78"/>
        <v>0</v>
      </c>
      <c r="AD764" s="1">
        <f t="shared" si="79"/>
        <v>1</v>
      </c>
    </row>
    <row r="765" spans="19:30">
      <c r="S765" s="17">
        <v>12</v>
      </c>
      <c r="T765" s="18"/>
      <c r="U765" s="17">
        <v>2</v>
      </c>
      <c r="V765" s="17" t="s">
        <v>343</v>
      </c>
      <c r="W765" s="18">
        <v>0</v>
      </c>
      <c r="X765" s="18" t="s">
        <v>342</v>
      </c>
      <c r="Y765" s="18">
        <f t="shared" si="83"/>
        <v>4</v>
      </c>
      <c r="Z765" s="17" t="s">
        <v>95</v>
      </c>
      <c r="AA765" s="17">
        <v>1</v>
      </c>
      <c r="AB765" s="1">
        <f t="shared" si="77"/>
        <v>0</v>
      </c>
      <c r="AC765" s="1">
        <f t="shared" si="78"/>
        <v>0</v>
      </c>
      <c r="AD765" s="1">
        <f t="shared" si="79"/>
        <v>1</v>
      </c>
    </row>
    <row r="766" spans="19:30">
      <c r="S766" s="17">
        <v>13</v>
      </c>
      <c r="T766" s="18"/>
      <c r="U766" s="17">
        <v>1</v>
      </c>
      <c r="V766" s="17" t="s">
        <v>343</v>
      </c>
      <c r="W766" s="18">
        <v>0</v>
      </c>
      <c r="X766" s="18" t="s">
        <v>342</v>
      </c>
      <c r="Y766" s="18">
        <f t="shared" si="83"/>
        <v>4</v>
      </c>
      <c r="Z766" s="17" t="s">
        <v>43</v>
      </c>
      <c r="AA766" s="17">
        <v>2</v>
      </c>
      <c r="AB766" s="1">
        <f t="shared" si="77"/>
        <v>0</v>
      </c>
      <c r="AC766" s="1">
        <f t="shared" si="78"/>
        <v>0</v>
      </c>
      <c r="AD766" s="1">
        <f t="shared" si="79"/>
        <v>1</v>
      </c>
    </row>
    <row r="767" spans="19:30">
      <c r="S767" s="17">
        <v>14</v>
      </c>
      <c r="T767" s="18"/>
      <c r="U767" s="17">
        <v>1</v>
      </c>
      <c r="V767" s="17" t="s">
        <v>343</v>
      </c>
      <c r="W767" s="18">
        <v>0</v>
      </c>
      <c r="X767" s="18" t="s">
        <v>342</v>
      </c>
      <c r="Y767" s="18">
        <f t="shared" si="83"/>
        <v>4</v>
      </c>
      <c r="Z767" s="17" t="s">
        <v>18</v>
      </c>
      <c r="AA767" s="17">
        <v>2</v>
      </c>
      <c r="AB767" s="1">
        <f t="shared" si="77"/>
        <v>0</v>
      </c>
      <c r="AC767" s="1">
        <f t="shared" si="78"/>
        <v>0</v>
      </c>
      <c r="AD767" s="1">
        <f t="shared" si="79"/>
        <v>1</v>
      </c>
    </row>
    <row r="768" spans="19:30">
      <c r="S768" s="17">
        <v>15</v>
      </c>
      <c r="T768" s="18"/>
      <c r="U768" s="17">
        <v>1</v>
      </c>
      <c r="V768" s="17" t="s">
        <v>343</v>
      </c>
      <c r="W768" s="18">
        <v>0</v>
      </c>
      <c r="X768" s="18" t="s">
        <v>342</v>
      </c>
      <c r="Y768" s="18">
        <f t="shared" si="83"/>
        <v>4</v>
      </c>
      <c r="Z768" s="17" t="s">
        <v>131</v>
      </c>
      <c r="AA768" s="17">
        <v>2</v>
      </c>
      <c r="AB768" s="1">
        <f t="shared" si="77"/>
        <v>0</v>
      </c>
      <c r="AC768" s="1">
        <f t="shared" si="78"/>
        <v>0</v>
      </c>
      <c r="AD768" s="1">
        <f t="shared" si="79"/>
        <v>1</v>
      </c>
    </row>
  </sheetData>
  <sheetProtection formatColumns="0" formatRows="0" selectLockedCells="1"/>
  <mergeCells count="48">
    <mergeCell ref="W737:Y737"/>
    <mergeCell ref="W753:Y753"/>
    <mergeCell ref="W657:Y657"/>
    <mergeCell ref="W673:Y673"/>
    <mergeCell ref="W689:Y689"/>
    <mergeCell ref="W705:Y705"/>
    <mergeCell ref="W721:Y721"/>
    <mergeCell ref="W577:Y577"/>
    <mergeCell ref="W593:Y593"/>
    <mergeCell ref="W609:Y609"/>
    <mergeCell ref="W625:Y625"/>
    <mergeCell ref="W641:Y641"/>
    <mergeCell ref="W497:Y497"/>
    <mergeCell ref="W513:Y513"/>
    <mergeCell ref="W529:Y529"/>
    <mergeCell ref="W545:Y545"/>
    <mergeCell ref="W561:Y561"/>
    <mergeCell ref="W417:Y417"/>
    <mergeCell ref="W433:Y433"/>
    <mergeCell ref="W449:Y449"/>
    <mergeCell ref="W465:Y465"/>
    <mergeCell ref="W481:Y481"/>
    <mergeCell ref="W337:Y337"/>
    <mergeCell ref="W353:Y353"/>
    <mergeCell ref="W369:Y369"/>
    <mergeCell ref="W385:Y385"/>
    <mergeCell ref="W401:Y401"/>
    <mergeCell ref="W257:Y257"/>
    <mergeCell ref="W273:Y273"/>
    <mergeCell ref="W289:Y289"/>
    <mergeCell ref="W305:Y305"/>
    <mergeCell ref="W321:Y321"/>
    <mergeCell ref="W1:Y1"/>
    <mergeCell ref="W17:Y17"/>
    <mergeCell ref="W33:Y33"/>
    <mergeCell ref="W49:Y49"/>
    <mergeCell ref="W65:Y65"/>
    <mergeCell ref="W81:Y81"/>
    <mergeCell ref="W97:Y97"/>
    <mergeCell ref="W113:Y113"/>
    <mergeCell ref="W129:Y129"/>
    <mergeCell ref="W145:Y145"/>
    <mergeCell ref="W241:Y241"/>
    <mergeCell ref="W161:Y161"/>
    <mergeCell ref="W177:Y177"/>
    <mergeCell ref="W193:Y193"/>
    <mergeCell ref="W209:Y209"/>
    <mergeCell ref="W225:Y225"/>
  </mergeCells>
  <phoneticPr fontId="1" type="noConversion"/>
  <conditionalFormatting sqref="B2:Q46">
    <cfRule type="notContainsBlanks" dxfId="195" priority="52">
      <formula>LEN(TRIM(B2))&gt;0</formula>
    </cfRule>
  </conditionalFormatting>
  <conditionalFormatting sqref="T2:T16">
    <cfRule type="cellIs" dxfId="194" priority="66" operator="equal">
      <formula>"-"</formula>
    </cfRule>
  </conditionalFormatting>
  <conditionalFormatting sqref="T18:T32 T34:T48 T50:T64 T66:T80 T82:T96 T98:T112 T114:T128 T130:T144 T146:T160 T162:T176 T178:T192 T194:T208 T210:T224 T226:T240 T242:T256">
    <cfRule type="cellIs" dxfId="193" priority="65" operator="equal">
      <formula>"-"</formula>
    </cfRule>
  </conditionalFormatting>
  <conditionalFormatting sqref="T514:T528">
    <cfRule type="cellIs" dxfId="192" priority="56" operator="equal">
      <formula>"-"</formula>
    </cfRule>
  </conditionalFormatting>
  <conditionalFormatting sqref="T530:T544 T546:T560 T562:T576 T578:T592 T594:T608 T610:T624 T626:T640 T642:T656 T658:T672 T674:T688 T690:T704 T706:T720 T722:T736 T738:T752 T754:T768">
    <cfRule type="cellIs" dxfId="191" priority="55" operator="equal">
      <formula>"-"</formula>
    </cfRule>
  </conditionalFormatting>
  <conditionalFormatting sqref="W2:X16">
    <cfRule type="cellIs" dxfId="190" priority="60" operator="equal">
      <formula>"-"</formula>
    </cfRule>
  </conditionalFormatting>
  <conditionalFormatting sqref="W18:X32 W34:X48 W50:X64 W66:X80 W82:X96 W98:X112 W114:X128 W130:X144 W146:X160 W162:X176 W178:X192 W194:X208 W210:X224 W226:X240 W242:X256">
    <cfRule type="cellIs" dxfId="189" priority="59" operator="equal">
      <formula>"-"</formula>
    </cfRule>
  </conditionalFormatting>
  <conditionalFormatting sqref="W514:X528">
    <cfRule type="cellIs" dxfId="188" priority="54" operator="equal">
      <formula>"-"</formula>
    </cfRule>
  </conditionalFormatting>
  <conditionalFormatting sqref="W530:Y544 W546:X560 W562:X576 W578:X592 W594:X608 W610:X624 W626:X640 W642:X656 W658:X672 W674:X688 W690:X704 W706:X720 W722:X736 W738:X752 W754:X768">
    <cfRule type="cellIs" dxfId="187" priority="53" operator="equal">
      <formula>"-"</formula>
    </cfRule>
  </conditionalFormatting>
  <conditionalFormatting sqref="AG2:AL43">
    <cfRule type="notContainsBlanks" dxfId="186" priority="51">
      <formula>LEN(TRIM(AG2))&gt;0</formula>
    </cfRule>
  </conditionalFormatting>
  <conditionalFormatting sqref="T258:T272 T274:T288 T290:T304 T306:T320 T322:T336 T338:T352 T354:T368 T370:T384 T386:T400 T402:T416 T418:T432 T434:T448 T450:T464 T466:T480 T482:T496 T498:T512">
    <cfRule type="cellIs" dxfId="185" priority="50" operator="equal">
      <formula>"-"</formula>
    </cfRule>
  </conditionalFormatting>
  <conditionalFormatting sqref="W258:X272 W274:X288 W290:X304 W306:X320 W322:X336 W338:X352 W354:X368 W370:X384 W386:X400 W402:X416 W418:X432 W434:X448 W450:X464 W466:X480 W482:X496 W498:X512">
    <cfRule type="cellIs" dxfId="184" priority="49" operator="equal">
      <formula>"-"</formula>
    </cfRule>
  </conditionalFormatting>
  <conditionalFormatting sqref="Y514:Y528">
    <cfRule type="cellIs" dxfId="183" priority="48" operator="equal">
      <formula>"-"</formula>
    </cfRule>
  </conditionalFormatting>
  <conditionalFormatting sqref="Y2:Y16">
    <cfRule type="cellIs" dxfId="182" priority="47" operator="equal">
      <formula>"-"</formula>
    </cfRule>
  </conditionalFormatting>
  <conditionalFormatting sqref="Y18:Y32">
    <cfRule type="cellIs" dxfId="181" priority="46" operator="equal">
      <formula>"-"</formula>
    </cfRule>
  </conditionalFormatting>
  <conditionalFormatting sqref="Y34:Y48">
    <cfRule type="cellIs" dxfId="180" priority="45" operator="equal">
      <formula>"-"</formula>
    </cfRule>
  </conditionalFormatting>
  <conditionalFormatting sqref="Y50:Y64">
    <cfRule type="cellIs" dxfId="179" priority="44" operator="equal">
      <formula>"-"</formula>
    </cfRule>
  </conditionalFormatting>
  <conditionalFormatting sqref="Y66:Y80">
    <cfRule type="cellIs" dxfId="178" priority="43" operator="equal">
      <formula>"-"</formula>
    </cfRule>
  </conditionalFormatting>
  <conditionalFormatting sqref="Y82:Y96">
    <cfRule type="cellIs" dxfId="177" priority="42" operator="equal">
      <formula>"-"</formula>
    </cfRule>
  </conditionalFormatting>
  <conditionalFormatting sqref="Y98:Y112">
    <cfRule type="cellIs" dxfId="176" priority="41" operator="equal">
      <formula>"-"</formula>
    </cfRule>
  </conditionalFormatting>
  <conditionalFormatting sqref="Y114:Y128">
    <cfRule type="cellIs" dxfId="175" priority="40" operator="equal">
      <formula>"-"</formula>
    </cfRule>
  </conditionalFormatting>
  <conditionalFormatting sqref="Y130:Y144">
    <cfRule type="cellIs" dxfId="174" priority="39" operator="equal">
      <formula>"-"</formula>
    </cfRule>
  </conditionalFormatting>
  <conditionalFormatting sqref="Y146:Y160">
    <cfRule type="cellIs" dxfId="173" priority="38" operator="equal">
      <formula>"-"</formula>
    </cfRule>
  </conditionalFormatting>
  <conditionalFormatting sqref="Y162:Y176">
    <cfRule type="cellIs" dxfId="172" priority="37" operator="equal">
      <formula>"-"</formula>
    </cfRule>
  </conditionalFormatting>
  <conditionalFormatting sqref="Y178:Y192">
    <cfRule type="cellIs" dxfId="171" priority="36" operator="equal">
      <formula>"-"</formula>
    </cfRule>
  </conditionalFormatting>
  <conditionalFormatting sqref="Y194:Y208">
    <cfRule type="cellIs" dxfId="170" priority="35" operator="equal">
      <formula>"-"</formula>
    </cfRule>
  </conditionalFormatting>
  <conditionalFormatting sqref="Y210:Y224">
    <cfRule type="cellIs" dxfId="169" priority="34" operator="equal">
      <formula>"-"</formula>
    </cfRule>
  </conditionalFormatting>
  <conditionalFormatting sqref="Y226:Y240">
    <cfRule type="cellIs" dxfId="168" priority="33" operator="equal">
      <formula>"-"</formula>
    </cfRule>
  </conditionalFormatting>
  <conditionalFormatting sqref="Y242:Y256">
    <cfRule type="cellIs" dxfId="167" priority="32" operator="equal">
      <formula>"-"</formula>
    </cfRule>
  </conditionalFormatting>
  <conditionalFormatting sqref="Y258:Y272">
    <cfRule type="cellIs" dxfId="166" priority="31" operator="equal">
      <formula>"-"</formula>
    </cfRule>
  </conditionalFormatting>
  <conditionalFormatting sqref="Y274:Y288">
    <cfRule type="cellIs" dxfId="165" priority="30" operator="equal">
      <formula>"-"</formula>
    </cfRule>
  </conditionalFormatting>
  <conditionalFormatting sqref="Y290:Y304">
    <cfRule type="cellIs" dxfId="164" priority="29" operator="equal">
      <formula>"-"</formula>
    </cfRule>
  </conditionalFormatting>
  <conditionalFormatting sqref="Y306:Y320">
    <cfRule type="cellIs" dxfId="163" priority="28" operator="equal">
      <formula>"-"</formula>
    </cfRule>
  </conditionalFormatting>
  <conditionalFormatting sqref="Y322:Y336">
    <cfRule type="cellIs" dxfId="162" priority="27" operator="equal">
      <formula>"-"</formula>
    </cfRule>
  </conditionalFormatting>
  <conditionalFormatting sqref="Y338:Y352">
    <cfRule type="cellIs" dxfId="161" priority="26" operator="equal">
      <formula>"-"</formula>
    </cfRule>
  </conditionalFormatting>
  <conditionalFormatting sqref="Y354:Y368">
    <cfRule type="cellIs" dxfId="160" priority="25" operator="equal">
      <formula>"-"</formula>
    </cfRule>
  </conditionalFormatting>
  <conditionalFormatting sqref="Y370:Y384">
    <cfRule type="cellIs" dxfId="159" priority="24" operator="equal">
      <formula>"-"</formula>
    </cfRule>
  </conditionalFormatting>
  <conditionalFormatting sqref="Y386:Y400">
    <cfRule type="cellIs" dxfId="158" priority="23" operator="equal">
      <formula>"-"</formula>
    </cfRule>
  </conditionalFormatting>
  <conditionalFormatting sqref="Y402:Y416">
    <cfRule type="cellIs" dxfId="157" priority="22" operator="equal">
      <formula>"-"</formula>
    </cfRule>
  </conditionalFormatting>
  <conditionalFormatting sqref="Y418:Y432">
    <cfRule type="cellIs" dxfId="156" priority="21" operator="equal">
      <formula>"-"</formula>
    </cfRule>
  </conditionalFormatting>
  <conditionalFormatting sqref="Y434:Y448">
    <cfRule type="cellIs" dxfId="155" priority="20" operator="equal">
      <formula>"-"</formula>
    </cfRule>
  </conditionalFormatting>
  <conditionalFormatting sqref="Y450:Y464">
    <cfRule type="cellIs" dxfId="154" priority="19" operator="equal">
      <formula>"-"</formula>
    </cfRule>
  </conditionalFormatting>
  <conditionalFormatting sqref="Y466:Y480">
    <cfRule type="cellIs" dxfId="153" priority="18" operator="equal">
      <formula>"-"</formula>
    </cfRule>
  </conditionalFormatting>
  <conditionalFormatting sqref="Y482:Y496">
    <cfRule type="cellIs" dxfId="152" priority="17" operator="equal">
      <formula>"-"</formula>
    </cfRule>
  </conditionalFormatting>
  <conditionalFormatting sqref="Y498:Y512">
    <cfRule type="cellIs" dxfId="151" priority="16" operator="equal">
      <formula>"-"</formula>
    </cfRule>
  </conditionalFormatting>
  <conditionalFormatting sqref="Y546:Y560">
    <cfRule type="cellIs" dxfId="150" priority="15" operator="equal">
      <formula>"-"</formula>
    </cfRule>
  </conditionalFormatting>
  <conditionalFormatting sqref="Y562:Y576">
    <cfRule type="cellIs" dxfId="149" priority="14" operator="equal">
      <formula>"-"</formula>
    </cfRule>
  </conditionalFormatting>
  <conditionalFormatting sqref="Y578:Y592">
    <cfRule type="cellIs" dxfId="148" priority="13" operator="equal">
      <formula>"-"</formula>
    </cfRule>
  </conditionalFormatting>
  <conditionalFormatting sqref="Y594:Y608">
    <cfRule type="cellIs" dxfId="147" priority="12" operator="equal">
      <formula>"-"</formula>
    </cfRule>
  </conditionalFormatting>
  <conditionalFormatting sqref="Y610:Y624">
    <cfRule type="cellIs" dxfId="146" priority="11" operator="equal">
      <formula>"-"</formula>
    </cfRule>
  </conditionalFormatting>
  <conditionalFormatting sqref="Y626:Y640">
    <cfRule type="cellIs" dxfId="145" priority="10" operator="equal">
      <formula>"-"</formula>
    </cfRule>
  </conditionalFormatting>
  <conditionalFormatting sqref="Y642:Y656">
    <cfRule type="cellIs" dxfId="144" priority="9" operator="equal">
      <formula>"-"</formula>
    </cfRule>
  </conditionalFormatting>
  <conditionalFormatting sqref="Y658:Y672">
    <cfRule type="cellIs" dxfId="143" priority="8" operator="equal">
      <formula>"-"</formula>
    </cfRule>
  </conditionalFormatting>
  <conditionalFormatting sqref="Y674:Y688">
    <cfRule type="cellIs" dxfId="142" priority="7" operator="equal">
      <formula>"-"</formula>
    </cfRule>
  </conditionalFormatting>
  <conditionalFormatting sqref="Y690:Y704">
    <cfRule type="cellIs" dxfId="141" priority="6" operator="equal">
      <formula>"-"</formula>
    </cfRule>
  </conditionalFormatting>
  <conditionalFormatting sqref="Y706:Y720">
    <cfRule type="cellIs" dxfId="140" priority="5" operator="equal">
      <formula>"-"</formula>
    </cfRule>
  </conditionalFormatting>
  <conditionalFormatting sqref="Y722:Y736">
    <cfRule type="cellIs" dxfId="139" priority="4" operator="equal">
      <formula>"-"</formula>
    </cfRule>
  </conditionalFormatting>
  <conditionalFormatting sqref="Y738:Y752">
    <cfRule type="cellIs" dxfId="138" priority="3" operator="equal">
      <formula>"-"</formula>
    </cfRule>
  </conditionalFormatting>
  <conditionalFormatting sqref="Y754:Y768">
    <cfRule type="cellIs" dxfId="137" priority="2" operator="equal">
      <formula>"-"</formula>
    </cfRule>
  </conditionalFormatting>
  <conditionalFormatting sqref="AG44:AL46">
    <cfRule type="notContainsBlanks" dxfId="136" priority="1">
      <formula>LEN(TRIM(AG44))&gt;0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F5356-9A07-449B-86A8-12327A818417}">
  <sheetPr codeName="Sheet12">
    <tabColor rgb="FFFF0000"/>
  </sheetPr>
  <dimension ref="A1:DC54"/>
  <sheetViews>
    <sheetView zoomScaleNormal="100" workbookViewId="0">
      <selection activeCell="F30" sqref="F30"/>
    </sheetView>
  </sheetViews>
  <sheetFormatPr defaultColWidth="16.7109375" defaultRowHeight="15" customHeight="1"/>
  <cols>
    <col min="1" max="1" width="5.7109375" style="1" bestFit="1" customWidth="1"/>
    <col min="2" max="2" width="13.140625" style="1" bestFit="1" customWidth="1"/>
    <col min="3" max="3" width="5.7109375" style="4" customWidth="1"/>
    <col min="4" max="4" width="6.7109375" style="4" bestFit="1" customWidth="1"/>
    <col min="5" max="5" width="5.7109375" style="4" customWidth="1"/>
    <col min="6" max="6" width="25.7109375" style="4" customWidth="1"/>
    <col min="7" max="8" width="5.7109375" style="4" customWidth="1"/>
    <col min="9" max="10" width="1.7109375" style="4" customWidth="1"/>
    <col min="11" max="11" width="6.7109375" style="4" bestFit="1" customWidth="1"/>
    <col min="12" max="12" width="5.7109375" style="4" customWidth="1"/>
    <col min="13" max="13" width="25.7109375" style="4" customWidth="1"/>
    <col min="14" max="15" width="5.7109375" style="4" customWidth="1"/>
    <col min="16" max="17" width="1.7109375" style="4" customWidth="1"/>
    <col min="18" max="18" width="6.7109375" style="4" bestFit="1" customWidth="1"/>
    <col min="19" max="19" width="5.7109375" style="4" customWidth="1"/>
    <col min="20" max="20" width="25.7109375" style="4" customWidth="1"/>
    <col min="21" max="22" width="5.7109375" style="4" customWidth="1"/>
    <col min="23" max="24" width="1.7109375" style="4" customWidth="1"/>
    <col min="25" max="25" width="6.7109375" style="4" bestFit="1" customWidth="1"/>
    <col min="26" max="26" width="5.7109375" style="4" customWidth="1"/>
    <col min="27" max="27" width="25.7109375" style="4" customWidth="1"/>
    <col min="28" max="29" width="5.7109375" style="4" customWidth="1"/>
    <col min="30" max="31" width="1.7109375" style="4" customWidth="1"/>
    <col min="32" max="32" width="6.7109375" style="4" bestFit="1" customWidth="1"/>
    <col min="33" max="33" width="5.7109375" style="4" customWidth="1"/>
    <col min="34" max="34" width="25.7109375" style="4" customWidth="1"/>
    <col min="35" max="36" width="5.7109375" style="4" customWidth="1"/>
    <col min="37" max="38" width="1.7109375" style="4" customWidth="1"/>
    <col min="39" max="39" width="6.7109375" style="4" bestFit="1" customWidth="1"/>
    <col min="40" max="40" width="5.7109375" style="4" customWidth="1"/>
    <col min="41" max="41" width="25.7109375" style="4" customWidth="1"/>
    <col min="42" max="43" width="5.7109375" style="4" customWidth="1"/>
    <col min="44" max="45" width="1.7109375" style="4" customWidth="1"/>
    <col min="46" max="46" width="6.7109375" style="4" bestFit="1" customWidth="1"/>
    <col min="47" max="47" width="5.7109375" style="4" customWidth="1"/>
    <col min="48" max="48" width="25.7109375" style="4" customWidth="1"/>
    <col min="49" max="50" width="5.7109375" style="4" customWidth="1"/>
    <col min="51" max="52" width="1.7109375" style="4" customWidth="1"/>
    <col min="53" max="53" width="6.7109375" style="4" bestFit="1" customWidth="1"/>
    <col min="54" max="54" width="5.7109375" style="4" customWidth="1"/>
    <col min="55" max="55" width="25.7109375" style="4" customWidth="1"/>
    <col min="56" max="58" width="5.7109375" style="4" customWidth="1"/>
    <col min="59" max="59" width="7.5703125" style="4" bestFit="1" customWidth="1"/>
    <col min="60" max="60" width="25.7109375" style="4" customWidth="1"/>
    <col min="61" max="61" width="8.140625" style="4" bestFit="1" customWidth="1"/>
    <col min="62" max="62" width="4" style="4" customWidth="1"/>
    <col min="63" max="63" width="6.7109375" style="4" bestFit="1" customWidth="1"/>
    <col min="64" max="64" width="12.5703125" style="4" bestFit="1" customWidth="1"/>
    <col min="65" max="65" width="8" style="4" bestFit="1" customWidth="1"/>
    <col min="66" max="66" width="6.42578125" style="4" bestFit="1" customWidth="1"/>
    <col min="67" max="67" width="5.7109375" style="4" customWidth="1"/>
    <col min="68" max="68" width="3.5703125" style="4" bestFit="1" customWidth="1"/>
    <col min="69" max="69" width="8.140625" style="4" bestFit="1" customWidth="1"/>
    <col min="70" max="70" width="4.42578125" style="4" customWidth="1"/>
    <col min="71" max="71" width="6.7109375" style="4" bestFit="1" customWidth="1"/>
    <col min="72" max="72" width="12.5703125" style="4" bestFit="1" customWidth="1"/>
    <col min="73" max="73" width="8" style="4" bestFit="1" customWidth="1"/>
    <col min="74" max="74" width="6.42578125" style="4" bestFit="1" customWidth="1"/>
    <col min="75" max="75" width="5.7109375" style="4" customWidth="1"/>
    <col min="76" max="76" width="3.5703125" style="4" bestFit="1" customWidth="1"/>
    <col min="77" max="77" width="8.140625" style="4" bestFit="1" customWidth="1"/>
    <col min="78" max="78" width="5.140625" style="4" customWidth="1"/>
    <col min="79" max="79" width="6.7109375" style="4" bestFit="1" customWidth="1"/>
    <col min="80" max="80" width="12.5703125" style="4" bestFit="1" customWidth="1"/>
    <col min="81" max="81" width="8" style="4" bestFit="1" customWidth="1"/>
    <col min="82" max="82" width="6.42578125" style="4" bestFit="1" customWidth="1"/>
    <col min="83" max="83" width="5.7109375" style="4" customWidth="1"/>
    <col min="84" max="84" width="3.5703125" style="4" bestFit="1" customWidth="1"/>
    <col min="85" max="85" width="8.140625" style="4" bestFit="1" customWidth="1"/>
    <col min="86" max="86" width="4" style="4" customWidth="1"/>
    <col min="87" max="87" width="6.7109375" style="4" bestFit="1" customWidth="1"/>
    <col min="88" max="88" width="12.5703125" style="4" bestFit="1" customWidth="1"/>
    <col min="89" max="89" width="8" style="4" bestFit="1" customWidth="1"/>
    <col min="90" max="90" width="6.42578125" style="4" bestFit="1" customWidth="1"/>
    <col min="91" max="91" width="5.7109375" style="4" customWidth="1"/>
    <col min="92" max="92" width="3.5703125" style="4" bestFit="1" customWidth="1"/>
    <col min="93" max="93" width="8.140625" style="4" bestFit="1" customWidth="1"/>
    <col min="94" max="94" width="4" style="4" customWidth="1"/>
    <col min="95" max="95" width="6.7109375" style="4" bestFit="1" customWidth="1"/>
    <col min="96" max="96" width="12.5703125" style="4" bestFit="1" customWidth="1"/>
    <col min="97" max="97" width="8" style="4" bestFit="1" customWidth="1"/>
    <col min="98" max="98" width="6.42578125" style="4" bestFit="1" customWidth="1"/>
    <col min="99" max="99" width="5.7109375" style="4" customWidth="1"/>
    <col min="100" max="100" width="6.140625" style="4" bestFit="1" customWidth="1"/>
    <col min="101" max="101" width="8.28515625" style="4" bestFit="1" customWidth="1"/>
    <col min="102" max="102" width="6.85546875" style="4" bestFit="1" customWidth="1"/>
    <col min="103" max="16384" width="16.7109375" style="4"/>
  </cols>
  <sheetData>
    <row r="1" spans="1:61" ht="15" customHeight="1">
      <c r="A1" s="67" t="s">
        <v>346</v>
      </c>
      <c r="B1" s="68"/>
      <c r="C1" s="19"/>
      <c r="D1" s="67" t="s">
        <v>347</v>
      </c>
      <c r="E1" s="68"/>
      <c r="F1" s="68"/>
      <c r="G1" s="68"/>
      <c r="H1" s="76"/>
      <c r="I1" s="19"/>
      <c r="J1" s="19"/>
      <c r="K1" s="67" t="s">
        <v>348</v>
      </c>
      <c r="L1" s="68"/>
      <c r="M1" s="68"/>
      <c r="N1" s="68"/>
      <c r="O1" s="76"/>
      <c r="P1" s="19"/>
      <c r="Q1" s="19"/>
      <c r="R1" s="67" t="s">
        <v>349</v>
      </c>
      <c r="S1" s="68"/>
      <c r="T1" s="68"/>
      <c r="U1" s="68"/>
      <c r="V1" s="76"/>
      <c r="Y1" s="67" t="s">
        <v>350</v>
      </c>
      <c r="Z1" s="68"/>
      <c r="AA1" s="68"/>
      <c r="AB1" s="68"/>
      <c r="AC1" s="76"/>
      <c r="AF1" s="67" t="s">
        <v>351</v>
      </c>
      <c r="AG1" s="68"/>
      <c r="AH1" s="68"/>
      <c r="AI1" s="68"/>
      <c r="AJ1" s="76"/>
      <c r="AM1" s="67" t="s">
        <v>352</v>
      </c>
      <c r="AN1" s="68"/>
      <c r="AO1" s="68"/>
      <c r="AP1" s="68"/>
      <c r="AQ1" s="76"/>
      <c r="AT1" s="67" t="s">
        <v>157</v>
      </c>
      <c r="AU1" s="68"/>
      <c r="AV1" s="68"/>
      <c r="AW1" s="68"/>
      <c r="AX1" s="76"/>
      <c r="BA1" s="67" t="s">
        <v>158</v>
      </c>
      <c r="BB1" s="68"/>
      <c r="BC1" s="68"/>
      <c r="BD1" s="68"/>
      <c r="BE1" s="76"/>
      <c r="BG1" s="77" t="s">
        <v>306</v>
      </c>
      <c r="BH1" s="78"/>
      <c r="BI1" s="78"/>
    </row>
    <row r="2" spans="1:61" ht="15" customHeight="1">
      <c r="A2" s="27" t="s">
        <v>0</v>
      </c>
      <c r="B2" s="27" t="s">
        <v>1</v>
      </c>
      <c r="D2" s="28" t="s">
        <v>194</v>
      </c>
      <c r="E2" s="81" t="s">
        <v>353</v>
      </c>
      <c r="F2" s="82"/>
      <c r="G2" s="82"/>
      <c r="H2" s="83"/>
      <c r="K2" s="28" t="s">
        <v>194</v>
      </c>
      <c r="L2" s="81" t="s">
        <v>354</v>
      </c>
      <c r="M2" s="82"/>
      <c r="N2" s="82"/>
      <c r="O2" s="83"/>
      <c r="R2" s="28" t="s">
        <v>194</v>
      </c>
      <c r="S2" s="81" t="s">
        <v>355</v>
      </c>
      <c r="T2" s="82"/>
      <c r="U2" s="82"/>
      <c r="V2" s="83"/>
      <c r="Y2" s="28" t="s">
        <v>194</v>
      </c>
      <c r="Z2" s="81" t="s">
        <v>356</v>
      </c>
      <c r="AA2" s="82"/>
      <c r="AB2" s="82"/>
      <c r="AC2" s="83"/>
      <c r="AF2" s="28" t="s">
        <v>194</v>
      </c>
      <c r="AG2" s="81" t="s">
        <v>357</v>
      </c>
      <c r="AH2" s="82"/>
      <c r="AI2" s="82"/>
      <c r="AJ2" s="83"/>
      <c r="AM2" s="28" t="s">
        <v>194</v>
      </c>
      <c r="AN2" s="81" t="s">
        <v>358</v>
      </c>
      <c r="AO2" s="82"/>
      <c r="AP2" s="82"/>
      <c r="AQ2" s="83"/>
      <c r="AT2" s="28" t="s">
        <v>194</v>
      </c>
      <c r="AU2" s="81" t="s">
        <v>359</v>
      </c>
      <c r="AV2" s="82"/>
      <c r="AW2" s="82"/>
      <c r="AX2" s="83"/>
      <c r="BA2" s="28" t="s">
        <v>194</v>
      </c>
      <c r="BB2" s="81" t="s">
        <v>357</v>
      </c>
      <c r="BC2" s="82"/>
      <c r="BD2" s="82"/>
      <c r="BE2" s="83"/>
      <c r="BG2" s="27" t="s">
        <v>0</v>
      </c>
      <c r="BH2" s="27" t="s">
        <v>1</v>
      </c>
      <c r="BI2" s="27" t="s">
        <v>310</v>
      </c>
    </row>
    <row r="3" spans="1:61" ht="15" customHeight="1">
      <c r="A3" s="27" cm="1">
        <f t="array" ref="A3:A26">_xlfn.SEQUENCE('Main Hub'!P3)</f>
        <v>1</v>
      </c>
      <c r="B3" s="13" t="s">
        <v>55</v>
      </c>
      <c r="D3" s="26">
        <v>3</v>
      </c>
      <c r="E3" s="84"/>
      <c r="F3" s="85"/>
      <c r="G3" s="85"/>
      <c r="H3" s="86"/>
      <c r="K3" s="26">
        <v>4</v>
      </c>
      <c r="L3" s="84"/>
      <c r="M3" s="85"/>
      <c r="N3" s="85"/>
      <c r="O3" s="86"/>
      <c r="R3" s="26">
        <v>5</v>
      </c>
      <c r="S3" s="84"/>
      <c r="T3" s="85"/>
      <c r="U3" s="85"/>
      <c r="V3" s="86"/>
      <c r="Y3" s="26">
        <v>5</v>
      </c>
      <c r="Z3" s="84"/>
      <c r="AA3" s="85"/>
      <c r="AB3" s="85"/>
      <c r="AC3" s="86"/>
      <c r="AF3" s="26">
        <v>7</v>
      </c>
      <c r="AG3" s="84"/>
      <c r="AH3" s="85"/>
      <c r="AI3" s="85"/>
      <c r="AJ3" s="86"/>
      <c r="AM3" s="26">
        <v>7</v>
      </c>
      <c r="AN3" s="84"/>
      <c r="AO3" s="85"/>
      <c r="AP3" s="85"/>
      <c r="AQ3" s="86"/>
      <c r="AT3" s="26">
        <v>7</v>
      </c>
      <c r="AU3" s="84"/>
      <c r="AV3" s="85"/>
      <c r="AW3" s="85"/>
      <c r="AX3" s="86"/>
      <c r="BA3" s="26">
        <v>7</v>
      </c>
      <c r="BB3" s="84"/>
      <c r="BC3" s="85"/>
      <c r="BD3" s="85"/>
      <c r="BE3" s="86"/>
      <c r="BG3" s="27">
        <v>1</v>
      </c>
      <c r="BH3" s="13" t="str">
        <f>IF(COUNTA(AX19:AX20)&lt;2,"",IF(AX19&gt;AX20,AV19,IF(COUNTA(BE19:BE20)&lt;2,"",IF(BE19&gt;BE20,BC19,BC20))))</f>
        <v>Sami</v>
      </c>
      <c r="BI3" s="13" cm="1">
        <f t="array" ref="BI3:BI26">Parameters!N3:N26</f>
        <v>2000</v>
      </c>
    </row>
    <row r="4" spans="1:61" ht="15" customHeight="1">
      <c r="A4" s="27">
        <v>2</v>
      </c>
      <c r="B4" s="13" t="s">
        <v>115</v>
      </c>
      <c r="BG4" s="27">
        <v>2</v>
      </c>
      <c r="BH4" s="13" t="str">
        <f>IF(COUNTA(AX19:AX20)&lt;2,"",IF(AX19&gt;AX20,AV20,IF(COUNTA(BE19:BE20)&lt;2,"",IF(BE19&gt;BE20,BC20,BC19))))</f>
        <v>Drew</v>
      </c>
      <c r="BI4" s="13">
        <v>1600</v>
      </c>
    </row>
    <row r="5" spans="1:61" ht="15" customHeight="1">
      <c r="A5" s="27">
        <v>3</v>
      </c>
      <c r="B5" s="13" t="s">
        <v>81</v>
      </c>
      <c r="D5" s="79" t="s">
        <v>360</v>
      </c>
      <c r="E5" s="27">
        <v>17</v>
      </c>
      <c r="F5" s="13" t="str">
        <f>_xlfn.XLOOKUP(E5,A:A,B:B)</f>
        <v>Patrick</v>
      </c>
      <c r="G5" s="13" t="e" cm="1" vm="12">
        <f t="array" aca="1" ref="G5" ca="1">_xlfn.XLOOKUP(F5,Registration[Nickname],_FV(Registration[Country],"Image"))</f>
        <v>#VALUE!</v>
      </c>
      <c r="H5" s="3">
        <v>3</v>
      </c>
      <c r="I5" s="23"/>
      <c r="J5" s="24"/>
      <c r="K5" s="79">
        <v>3</v>
      </c>
      <c r="L5" s="27">
        <v>16</v>
      </c>
      <c r="M5" s="13" t="str">
        <f>_xlfn.XLOOKUP(L5,A:A,B:B)</f>
        <v>tif</v>
      </c>
      <c r="N5" s="13" t="e" cm="1" vm="15">
        <f t="array" aca="1" ref="N5" ca="1">_xlfn.XLOOKUP(M5,Registration[Nickname],_FV(Registration[Country],"Image"))</f>
        <v>#VALUE!</v>
      </c>
      <c r="O5" s="3">
        <v>0</v>
      </c>
      <c r="P5" s="23"/>
      <c r="Q5" s="24"/>
      <c r="R5" s="79">
        <v>1</v>
      </c>
      <c r="S5" s="27">
        <v>1</v>
      </c>
      <c r="T5" s="13" t="str">
        <f>_xlfn.XLOOKUP(S5,A:A,B:B)</f>
        <v>Geo</v>
      </c>
      <c r="U5" s="13" t="e" cm="1" vm="15">
        <f t="array" aca="1" ref="U5" ca="1">_xlfn.XLOOKUP(T5,Registration[Nickname],_FV(Registration[Country],"Image"))</f>
        <v>#VALUE!</v>
      </c>
      <c r="V5" s="3">
        <v>5</v>
      </c>
      <c r="BG5" s="27">
        <v>3</v>
      </c>
      <c r="BH5" s="13" t="str">
        <f>IF(COUNTA(BE47:BE48)&lt;2,"",IF(BE47&gt;BE48,BC48,BC47))</f>
        <v>Geo</v>
      </c>
      <c r="BI5" s="13">
        <v>1300</v>
      </c>
    </row>
    <row r="6" spans="1:61" ht="15" customHeight="1">
      <c r="A6" s="27">
        <v>4</v>
      </c>
      <c r="B6" s="13" t="s">
        <v>49</v>
      </c>
      <c r="D6" s="80"/>
      <c r="E6" s="27">
        <v>24</v>
      </c>
      <c r="F6" s="13" t="str">
        <f>_xlfn.XLOOKUP(E6,A:A,B:B)</f>
        <v>JDR</v>
      </c>
      <c r="G6" s="13" t="e" cm="1" vm="15">
        <f t="array" aca="1" ref="G6" ca="1">_xlfn.XLOOKUP(F6,Registration[Nickname],_FV(Registration[Country],"Image"))</f>
        <v>#VALUE!</v>
      </c>
      <c r="H6" s="3">
        <v>0</v>
      </c>
      <c r="K6" s="80"/>
      <c r="L6" s="27">
        <f>_xlfn.XLOOKUP(M6,F5:F6,E5:E6,"",0)</f>
        <v>17</v>
      </c>
      <c r="M6" s="13" t="str" cm="1">
        <f t="array" ref="M6">IF(COUNTA(H5:H6)&lt;2,"Winner of B1,1",INDEX(_xlfn.SORTBY(F5:F6,H5:H6,-1),1))</f>
        <v>Patrick</v>
      </c>
      <c r="N6" s="13" t="e" cm="1" vm="12">
        <f t="array" aca="1" ref="N6" ca="1">_xlfn.XLOOKUP(M6,Registration[Nickname],_FV(Registration[Country],"Image"))</f>
        <v>#VALUE!</v>
      </c>
      <c r="O6" s="3">
        <v>4</v>
      </c>
      <c r="R6" s="80"/>
      <c r="S6" s="27">
        <f>_xlfn.XLOOKUP(T6,B:B,A:A,"",0)</f>
        <v>17</v>
      </c>
      <c r="T6" s="13" t="str" cm="1">
        <f t="array" ref="T6">IF(COUNTA(O5:O6)&lt;2,"Winner of B2,1",INDEX(_xlfn.SORTBY(M5:M6,O5:O6,-1),1))</f>
        <v>Patrick</v>
      </c>
      <c r="U6" s="13" t="e" cm="1" vm="12">
        <f t="array" aca="1" ref="U6" ca="1">_xlfn.XLOOKUP(T6,Registration[Nickname],_FV(Registration[Country],"Image"))</f>
        <v>#VALUE!</v>
      </c>
      <c r="V6" s="3">
        <v>1</v>
      </c>
      <c r="W6" s="21"/>
      <c r="BG6" s="27">
        <v>4</v>
      </c>
      <c r="BH6" s="13" t="str">
        <f>IF(COUNTA(AX47:AX48)&lt;2,"",IF(AX47&gt;AX48,AV48,AV47))</f>
        <v>Takashi</v>
      </c>
      <c r="BI6" s="13">
        <v>1000</v>
      </c>
    </row>
    <row r="7" spans="1:61" ht="15" customHeight="1">
      <c r="A7" s="27">
        <v>5</v>
      </c>
      <c r="B7" s="13" t="s">
        <v>39</v>
      </c>
      <c r="W7" s="22"/>
      <c r="X7" s="23"/>
      <c r="Y7" s="79">
        <v>13</v>
      </c>
      <c r="Z7" s="27" t="str">
        <f t="shared" ref="Z7:Z8" si="0">_xlfn.XLOOKUP(AA7,I:I,H:H,"",0)</f>
        <v/>
      </c>
      <c r="AA7" s="13" t="str" cm="1">
        <f t="array" ref="AA7">IF(COUNTA(V5:V6)&lt;2,"Winner of 1",INDEX(_xlfn.SORTBY(T5:T6,V5:V6,-1),1))</f>
        <v>Geo</v>
      </c>
      <c r="AB7" s="13" t="e" cm="1" vm="15">
        <f t="array" aca="1" ref="AB7" ca="1">_xlfn.XLOOKUP(AA7,Registration[Nickname],_FV(Registration[Country],"Image"))</f>
        <v>#VALUE!</v>
      </c>
      <c r="AC7" s="3">
        <v>5</v>
      </c>
      <c r="BG7" s="72" t="s">
        <v>361</v>
      </c>
      <c r="BH7" s="13" t="str">
        <f>IF(COUNTA(AQ51:AQ52)&lt;2,"",IF(AQ51&gt;AQ52,AO52,AO51))</f>
        <v>Lafungo</v>
      </c>
      <c r="BI7" s="13">
        <v>750</v>
      </c>
    </row>
    <row r="8" spans="1:61" ht="15" customHeight="1">
      <c r="A8" s="27">
        <v>6</v>
      </c>
      <c r="B8" s="13" t="s">
        <v>73</v>
      </c>
      <c r="W8" s="22"/>
      <c r="Y8" s="80"/>
      <c r="Z8" s="27" t="str">
        <f t="shared" si="0"/>
        <v/>
      </c>
      <c r="AA8" s="13" t="str" cm="1">
        <f t="array" ref="AA8">IF(COUNTA(V9:V10)&lt;2,"Winner of 2",INDEX(_xlfn.SORTBY(T9:T10,V9:V10,-1),1))</f>
        <v>Takashi</v>
      </c>
      <c r="AB8" s="13" t="e" cm="1" vm="16">
        <f t="array" aca="1" ref="AB8" ca="1">_xlfn.XLOOKUP(AA8,Registration[Nickname],_FV(Registration[Country],"Image"))</f>
        <v>#VALUE!</v>
      </c>
      <c r="AC8" s="3">
        <v>2</v>
      </c>
      <c r="AD8" s="21"/>
      <c r="BG8" s="73"/>
      <c r="BH8" s="13" t="str">
        <f>IF(COUNTA(AQ43:AQ44)&lt;2,"",IF(AQ43&gt;AQ44,AO44,AO43))</f>
        <v>Kasmo</v>
      </c>
      <c r="BI8" s="13">
        <v>750</v>
      </c>
    </row>
    <row r="9" spans="1:61" ht="15" customHeight="1">
      <c r="A9" s="27">
        <v>7</v>
      </c>
      <c r="B9" s="13" t="s">
        <v>63</v>
      </c>
      <c r="R9" s="79">
        <v>2</v>
      </c>
      <c r="S9" s="27">
        <v>8</v>
      </c>
      <c r="T9" s="13" t="str">
        <f t="shared" ref="T9:T10" si="1">_xlfn.XLOOKUP(S9,A:A,B:B)</f>
        <v>Takashi</v>
      </c>
      <c r="U9" s="13" t="e" cm="1" vm="16">
        <f t="array" aca="1" ref="U9" ca="1">_xlfn.XLOOKUP(T9,Registration[Nickname],_FV(Registration[Country],"Image"))</f>
        <v>#VALUE!</v>
      </c>
      <c r="V9" s="3">
        <v>5</v>
      </c>
      <c r="W9" s="24"/>
      <c r="AD9" s="22"/>
      <c r="BG9" s="74" t="s">
        <v>362</v>
      </c>
      <c r="BH9" s="13" t="str">
        <f>IF(COUNTA(AJ43:AJ44)&lt;2,"",IF(AJ43&gt;AJ44,AH44,AH43))</f>
        <v>Antistar</v>
      </c>
      <c r="BI9" s="13">
        <v>550</v>
      </c>
    </row>
    <row r="10" spans="1:61" ht="15" customHeight="1">
      <c r="A10" s="27">
        <v>8</v>
      </c>
      <c r="B10" s="13" t="s">
        <v>123</v>
      </c>
      <c r="R10" s="80"/>
      <c r="S10" s="27">
        <v>9</v>
      </c>
      <c r="T10" s="13" t="str">
        <f t="shared" si="1"/>
        <v>Kasmo</v>
      </c>
      <c r="U10" s="13" t="e" cm="1" vm="16">
        <f t="array" aca="1" ref="U10" ca="1">_xlfn.XLOOKUP(T10,Registration[Nickname],_FV(Registration[Country],"Image"))</f>
        <v>#VALUE!</v>
      </c>
      <c r="V10" s="3">
        <v>4</v>
      </c>
      <c r="AD10" s="22"/>
      <c r="BG10" s="73"/>
      <c r="BH10" s="13" t="str">
        <f>IF(COUNTA(AJ51:AJ52)&lt;2,"",IF(AJ51&gt;AJ52,AH52,AH51))</f>
        <v>Champix</v>
      </c>
      <c r="BI10" s="13">
        <v>550</v>
      </c>
    </row>
    <row r="11" spans="1:61" ht="15" customHeight="1">
      <c r="A11" s="27">
        <v>9</v>
      </c>
      <c r="B11" s="13" t="s">
        <v>29</v>
      </c>
      <c r="AD11" s="22"/>
      <c r="AE11" s="23"/>
      <c r="AF11" s="79">
        <v>23</v>
      </c>
      <c r="AG11" s="27" t="str">
        <f t="shared" ref="AG11:AG12" si="2">_xlfn.XLOOKUP(AH11,P:P,O:O,"",0)</f>
        <v/>
      </c>
      <c r="AH11" s="13" t="str" cm="1">
        <f t="array" ref="AH11">IF(COUNTA(AC7:AC8)&lt;2,"Winner of 13",INDEX(_xlfn.SORTBY(AA7:AA8,AC7:AC8,-1),1))</f>
        <v>Geo</v>
      </c>
      <c r="AI11" s="13" t="e" cm="1" vm="15">
        <f t="array" aca="1" ref="AI11" ca="1">_xlfn.XLOOKUP(AH11,Registration[Nickname],_FV(Registration[Country],"Image"))</f>
        <v>#VALUE!</v>
      </c>
      <c r="AJ11" s="3">
        <v>7</v>
      </c>
      <c r="BG11" s="74" t="s">
        <v>363</v>
      </c>
      <c r="BH11" s="13" t="str">
        <f>IF(COUNTA(AC41:AC42)&lt;2,"",IF(AC41&gt;AC42,AA42,AA41))</f>
        <v>KVD</v>
      </c>
      <c r="BI11" s="13">
        <v>400</v>
      </c>
    </row>
    <row r="12" spans="1:61" ht="15" customHeight="1">
      <c r="A12" s="27">
        <v>10</v>
      </c>
      <c r="B12" s="13" t="s">
        <v>67</v>
      </c>
      <c r="AD12" s="22"/>
      <c r="AF12" s="80"/>
      <c r="AG12" s="27" t="str">
        <f t="shared" si="2"/>
        <v/>
      </c>
      <c r="AH12" s="13" t="str" cm="1">
        <f t="array" ref="AH12">IF(COUNTA(AC15:AC16)&lt;2,"Winner of 14",INDEX(_xlfn.SORTBY(AA15:AA16,AC15:AC16,-1),1))</f>
        <v>Drew</v>
      </c>
      <c r="AI12" s="13" t="e" cm="1" vm="14">
        <f t="array" aca="1" ref="AI12" ca="1">_xlfn.XLOOKUP(AH12,Registration[Nickname],_FV(Registration[Country],"Image"))</f>
        <v>#VALUE!</v>
      </c>
      <c r="AJ12" s="3">
        <v>3</v>
      </c>
      <c r="AK12" s="21"/>
      <c r="BG12" s="75"/>
      <c r="BH12" s="13" t="str">
        <f>IF(COUNTA(AC45:AC46)&lt;2,"",IF(AC45&gt;AC46,AA46,AA45))</f>
        <v>Jarmou</v>
      </c>
      <c r="BI12" s="13">
        <v>400</v>
      </c>
    </row>
    <row r="13" spans="1:61" ht="15" customHeight="1">
      <c r="A13" s="27">
        <v>11</v>
      </c>
      <c r="B13" s="13" t="s">
        <v>35</v>
      </c>
      <c r="D13" s="79" t="s">
        <v>364</v>
      </c>
      <c r="E13" s="27">
        <v>20</v>
      </c>
      <c r="F13" s="13" t="str">
        <f t="shared" ref="F13:F14" si="3">_xlfn.XLOOKUP(E13,A:A,B:B)</f>
        <v>Mark</v>
      </c>
      <c r="G13" s="13" t="e" cm="1" vm="12">
        <f t="array" aca="1" ref="G13" ca="1">_xlfn.XLOOKUP(F13,Registration[Nickname],_FV(Registration[Country],"Image"))</f>
        <v>#VALUE!</v>
      </c>
      <c r="H13" s="3">
        <v>0</v>
      </c>
      <c r="I13" s="23"/>
      <c r="J13" s="24"/>
      <c r="K13" s="79">
        <v>4</v>
      </c>
      <c r="L13" s="27">
        <v>13</v>
      </c>
      <c r="M13" s="13" t="str">
        <f>_xlfn.XLOOKUP(L13,A:A,B:B)</f>
        <v>Jarmou</v>
      </c>
      <c r="N13" s="13" t="e" cm="1" vm="17">
        <f t="array" aca="1" ref="N13" ca="1">_xlfn.XLOOKUP(M13,Registration[Nickname],_FV(Registration[Country],"Image"))</f>
        <v>#VALUE!</v>
      </c>
      <c r="O13" s="3">
        <v>4</v>
      </c>
      <c r="P13" s="23"/>
      <c r="Q13" s="24"/>
      <c r="R13" s="79">
        <v>3</v>
      </c>
      <c r="S13" s="27">
        <v>4</v>
      </c>
      <c r="T13" s="13" t="str">
        <f>_xlfn.XLOOKUP(S13,A:A,B:B)</f>
        <v>Champix</v>
      </c>
      <c r="U13" s="13" t="e" cm="1" vm="15">
        <f t="array" aca="1" ref="U13" ca="1">_xlfn.XLOOKUP(T13,Registration[Nickname],_FV(Registration[Country],"Image"))</f>
        <v>#VALUE!</v>
      </c>
      <c r="V13" s="3">
        <v>5</v>
      </c>
      <c r="AD13" s="22"/>
      <c r="AK13" s="22"/>
      <c r="BG13" s="75"/>
      <c r="BH13" s="13" t="str">
        <f>IF(COUNTA(AC49:AC50)&lt;2,"",IF(AC49&gt;AC50,AA50,AA49))</f>
        <v>Onwa</v>
      </c>
      <c r="BI13" s="13">
        <v>400</v>
      </c>
    </row>
    <row r="14" spans="1:61" ht="15" customHeight="1">
      <c r="A14" s="27">
        <v>12</v>
      </c>
      <c r="B14" s="13" t="s">
        <v>27</v>
      </c>
      <c r="D14" s="80"/>
      <c r="E14" s="27">
        <v>21</v>
      </c>
      <c r="F14" s="13" t="str">
        <f t="shared" si="3"/>
        <v>Flo</v>
      </c>
      <c r="G14" s="13" t="e" cm="1" vm="15">
        <f t="array" aca="1" ref="G14" ca="1">_xlfn.XLOOKUP(F14,Registration[Nickname],_FV(Registration[Country],"Image"))</f>
        <v>#VALUE!</v>
      </c>
      <c r="H14" s="3">
        <v>3</v>
      </c>
      <c r="K14" s="80"/>
      <c r="L14" s="27">
        <f>_xlfn.XLOOKUP(M14,F13:F14,E13:E14,"",0)</f>
        <v>21</v>
      </c>
      <c r="M14" s="13" t="str" cm="1">
        <f t="array" ref="M14">IF(COUNTA(H13:H14)&lt;2,"Winner of B1,2",INDEX(_xlfn.SORTBY(F13:F14,H13:H14,-1),1))</f>
        <v>Flo</v>
      </c>
      <c r="N14" s="13" t="e" cm="1" vm="15">
        <f t="array" aca="1" ref="N14" ca="1">_xlfn.XLOOKUP(M14,Registration[Nickname],_FV(Registration[Country],"Image"))</f>
        <v>#VALUE!</v>
      </c>
      <c r="O14" s="3">
        <v>0</v>
      </c>
      <c r="R14" s="80"/>
      <c r="S14" s="27">
        <f>_xlfn.XLOOKUP(T14,B:B,A:A,"",0)</f>
        <v>13</v>
      </c>
      <c r="T14" s="13" t="str" cm="1">
        <f t="array" ref="T14">IF(COUNTA(O13:O14)&lt;2,"Winner of B2,2",INDEX(_xlfn.SORTBY(M13:M14,O13:O14,-1),1))</f>
        <v>Jarmou</v>
      </c>
      <c r="U14" s="13" t="e" cm="1" vm="17">
        <f t="array" aca="1" ref="U14" ca="1">_xlfn.XLOOKUP(T14,Registration[Nickname],_FV(Registration[Country],"Image"))</f>
        <v>#VALUE!</v>
      </c>
      <c r="V14" s="3">
        <v>0</v>
      </c>
      <c r="W14" s="21"/>
      <c r="AD14" s="22"/>
      <c r="AK14" s="22"/>
      <c r="BG14" s="73"/>
      <c r="BH14" s="13" t="str">
        <f>IF(COUNTA(AC53:AC54)&lt;2,"",IF(AC53&gt;AC54,AA54,AA53))</f>
        <v>Leyla</v>
      </c>
      <c r="BI14" s="13">
        <v>400</v>
      </c>
    </row>
    <row r="15" spans="1:61" ht="15" customHeight="1">
      <c r="A15" s="27">
        <v>13</v>
      </c>
      <c r="B15" s="13" t="s">
        <v>121</v>
      </c>
      <c r="W15" s="22"/>
      <c r="X15" s="23"/>
      <c r="Y15" s="79">
        <v>14</v>
      </c>
      <c r="Z15" s="27" t="str">
        <f t="shared" ref="Z15:Z16" si="4">_xlfn.XLOOKUP(AA15,I:I,H:H,"",0)</f>
        <v/>
      </c>
      <c r="AA15" s="13" t="str" cm="1">
        <f t="array" ref="AA15">IF(COUNTA(V13:V14)&lt;2,"Winner of 3",INDEX(_xlfn.SORTBY(T13:T14,V13:V14,-1),1))</f>
        <v>Champix</v>
      </c>
      <c r="AB15" s="13" t="e" cm="1" vm="15">
        <f t="array" aca="1" ref="AB15" ca="1">_xlfn.XLOOKUP(AA15,Registration[Nickname],_FV(Registration[Country],"Image"))</f>
        <v>#VALUE!</v>
      </c>
      <c r="AC15" s="3">
        <v>2</v>
      </c>
      <c r="AD15" s="24"/>
      <c r="AK15" s="22"/>
      <c r="BG15" s="74" t="s">
        <v>365</v>
      </c>
      <c r="BH15" s="13" t="str">
        <f>IF(COUNTA(V53:V54)&lt;2,"",IF(V53&gt;V54,T54,T53))</f>
        <v>Moll</v>
      </c>
      <c r="BI15" s="13">
        <v>300</v>
      </c>
    </row>
    <row r="16" spans="1:61" ht="15" customHeight="1">
      <c r="A16" s="27">
        <v>14</v>
      </c>
      <c r="B16" s="13" t="s">
        <v>83</v>
      </c>
      <c r="W16" s="22"/>
      <c r="Y16" s="80"/>
      <c r="Z16" s="27" t="str">
        <f t="shared" si="4"/>
        <v/>
      </c>
      <c r="AA16" s="13" t="str" cm="1">
        <f t="array" ref="AA16">IF(COUNTA(V17:V18)&lt;2,"Winner of 4",INDEX(_xlfn.SORTBY(T17:T18,V17:V18,-1),1))</f>
        <v>Drew</v>
      </c>
      <c r="AB16" s="13" t="e" cm="1" vm="14">
        <f t="array" aca="1" ref="AB16" ca="1">_xlfn.XLOOKUP(AA16,Registration[Nickname],_FV(Registration[Country],"Image"))</f>
        <v>#VALUE!</v>
      </c>
      <c r="AC16" s="3">
        <v>5</v>
      </c>
      <c r="AK16" s="22"/>
      <c r="BG16" s="75"/>
      <c r="BH16" s="13" t="str">
        <f>IF(COUNTA(V49:V50)&lt;2,"",IF(V49&gt;V50,T50,T49))</f>
        <v>Rub</v>
      </c>
      <c r="BI16" s="13">
        <v>300</v>
      </c>
    </row>
    <row r="17" spans="1:107" ht="15" customHeight="1">
      <c r="A17" s="27">
        <v>15</v>
      </c>
      <c r="B17" s="13" t="s">
        <v>125</v>
      </c>
      <c r="R17" s="79">
        <v>4</v>
      </c>
      <c r="S17" s="27">
        <v>5</v>
      </c>
      <c r="T17" s="13" t="str">
        <f t="shared" ref="T17:T18" si="5">_xlfn.XLOOKUP(S17,A:A,B:B)</f>
        <v>Drew</v>
      </c>
      <c r="U17" s="13" t="e" cm="1" vm="14">
        <f t="array" aca="1" ref="U17" ca="1">_xlfn.XLOOKUP(T17,Registration[Nickname],_FV(Registration[Country],"Image"))</f>
        <v>#VALUE!</v>
      </c>
      <c r="V17" s="3">
        <v>5</v>
      </c>
      <c r="W17" s="24"/>
      <c r="AK17" s="22"/>
      <c r="BG17" s="75"/>
      <c r="BH17" s="13" t="str">
        <f>IF(COUNTA(V45:V46)&lt;2,"",IF(V45&gt;V46,T46,T45))</f>
        <v>Zarkov</v>
      </c>
      <c r="BI17" s="13">
        <v>300</v>
      </c>
    </row>
    <row r="18" spans="1:107" ht="15" customHeight="1">
      <c r="A18" s="27">
        <v>16</v>
      </c>
      <c r="B18" s="13" t="s">
        <v>37</v>
      </c>
      <c r="R18" s="80"/>
      <c r="S18" s="27">
        <v>12</v>
      </c>
      <c r="T18" s="13" t="str">
        <f t="shared" si="5"/>
        <v>Zarkov</v>
      </c>
      <c r="U18" s="13" t="e" cm="1" vm="13">
        <f t="array" aca="1" ref="U18" ca="1">_xlfn.XLOOKUP(T18,Registration[Nickname],_FV(Registration[Country],"Image"))</f>
        <v>#VALUE!</v>
      </c>
      <c r="V18" s="3">
        <v>0</v>
      </c>
      <c r="AK18" s="22"/>
      <c r="BG18" s="73"/>
      <c r="BH18" s="13" t="str">
        <f>IF(COUNTA(V41:V42)&lt;2,"",IF(V41&gt;V42,T42,T41))</f>
        <v>Patrick</v>
      </c>
      <c r="BI18" s="13">
        <v>300</v>
      </c>
    </row>
    <row r="19" spans="1:107" ht="15" customHeight="1">
      <c r="A19" s="27">
        <v>17</v>
      </c>
      <c r="B19" s="13" t="s">
        <v>107</v>
      </c>
      <c r="AK19" s="22"/>
      <c r="AL19" s="25"/>
      <c r="AM19" s="79">
        <v>28</v>
      </c>
      <c r="AN19" s="27" t="str">
        <f t="shared" ref="AN19:AN20" si="6">_xlfn.XLOOKUP(AO19,W:W,V:V,"",0)</f>
        <v/>
      </c>
      <c r="AO19" s="13" t="str" cm="1">
        <f t="array" ref="AO19">IF(COUNTA(AJ11:AJ12)&lt;2,"Winner of 23",INDEX(_xlfn.SORTBY(AH11:AH12,AJ11:AJ12,-1),1))</f>
        <v>Geo</v>
      </c>
      <c r="AP19" s="13" t="e" cm="1" vm="15">
        <f t="array" aca="1" ref="AP19" ca="1">_xlfn.XLOOKUP(AO19,Registration[Nickname],_FV(Registration[Country],"Image"))</f>
        <v>#VALUE!</v>
      </c>
      <c r="AQ19" s="3">
        <v>6</v>
      </c>
      <c r="AR19" s="23"/>
      <c r="AS19" s="24"/>
      <c r="AT19" s="79">
        <v>30</v>
      </c>
      <c r="AU19" s="27" t="str">
        <f t="shared" ref="AU19:AU20" si="7">_xlfn.XLOOKUP(AV19,AD:AD,AC:AC,"",0)</f>
        <v/>
      </c>
      <c r="AV19" s="13" t="str" cm="1">
        <f t="array" ref="AV19">IF(COUNTA(AQ19:AQ20)&lt;2,"Winner of 28",INDEX(_xlfn.SORTBY(AO19:AO20,AQ19:AQ20,-1),1))</f>
        <v>Sami</v>
      </c>
      <c r="AW19" s="13" t="e" cm="1" vm="13">
        <f t="array" aca="1" ref="AW19" ca="1">_xlfn.XLOOKUP(AV19,Registration[Nickname],_FV(Registration[Country],"Image"))</f>
        <v>#VALUE!</v>
      </c>
      <c r="AX19" s="3">
        <v>4</v>
      </c>
      <c r="AY19" s="23"/>
      <c r="AZ19" s="24"/>
      <c r="BA19" s="79">
        <v>31</v>
      </c>
      <c r="BB19" s="27" t="str">
        <f t="shared" ref="BB19:BB20" si="8">_xlfn.XLOOKUP(BC19,AK:AK,AJ:AJ,"",0)</f>
        <v/>
      </c>
      <c r="BC19" s="13" t="str" cm="1">
        <f t="array" ref="BC19">IF(COUNTA(AX19:AX20)&lt;2,"Winner of 30",INDEX(_xlfn.SORTBY(AV19:AV20,AX19:AX20,-1),1))</f>
        <v>Drew</v>
      </c>
      <c r="BD19" s="13" t="e" cm="1" vm="14">
        <f t="array" aca="1" ref="BD19" ca="1">_xlfn.XLOOKUP(BC19,Registration[Nickname],_FV(Registration[Country],"Image"))</f>
        <v>#VALUE!</v>
      </c>
      <c r="BE19" s="3">
        <v>3</v>
      </c>
      <c r="BG19" s="74" t="s">
        <v>366</v>
      </c>
      <c r="BH19" s="13" t="str">
        <f>IF(COUNTA(O5:O6)&lt;2,"",IF(O5&gt;O6,M6,M5))</f>
        <v>tif</v>
      </c>
      <c r="BI19" s="13">
        <v>150</v>
      </c>
    </row>
    <row r="20" spans="1:107" ht="15" customHeight="1">
      <c r="A20" s="27">
        <v>18</v>
      </c>
      <c r="B20" s="13" t="s">
        <v>59</v>
      </c>
      <c r="AK20" s="22"/>
      <c r="AM20" s="80"/>
      <c r="AN20" s="27" t="str">
        <f t="shared" si="6"/>
        <v/>
      </c>
      <c r="AO20" s="13" t="str" cm="1">
        <f t="array" ref="AO20">IF(COUNTA(AJ27:AJ28)&lt;2,"Winner of 24",INDEX(_xlfn.SORTBY(AH27:AH28,AJ27:AJ28,-1),1))</f>
        <v>Sami</v>
      </c>
      <c r="AP20" s="13" t="e" cm="1" vm="13">
        <f t="array" aca="1" ref="AP20" ca="1">_xlfn.XLOOKUP(AO20,Registration[Nickname],_FV(Registration[Country],"Image"))</f>
        <v>#VALUE!</v>
      </c>
      <c r="AQ20" s="3">
        <v>7</v>
      </c>
      <c r="AT20" s="80"/>
      <c r="AU20" s="27" t="str">
        <f t="shared" si="7"/>
        <v/>
      </c>
      <c r="AV20" s="13" t="str" cm="1">
        <f t="array" ref="AV20">IF(COUNTA(BE47:BE48)&lt;2,"Winner of 29",INDEX(_xlfn.SORTBY(BC47:BC48,BE47:BE48,-1),1))</f>
        <v>Drew</v>
      </c>
      <c r="AW20" s="13" t="e" cm="1" vm="14">
        <f t="array" aca="1" ref="AW20" ca="1">_xlfn.XLOOKUP(AV20,Registration[Nickname],_FV(Registration[Country],"Image"))</f>
        <v>#VALUE!</v>
      </c>
      <c r="AX20" s="3">
        <v>7</v>
      </c>
      <c r="BA20" s="80"/>
      <c r="BB20" s="27" t="str">
        <f t="shared" si="8"/>
        <v/>
      </c>
      <c r="BC20" s="13" t="str" cm="1">
        <f t="array" ref="BC20">IF(COUNTA(AX19:AX20)&lt;2,"Winner of 30",INDEX(_xlfn.SORTBY(AV19:AV20,AX19:AX20,1),1))</f>
        <v>Sami</v>
      </c>
      <c r="BD20" s="13" t="e" cm="1" vm="13">
        <f t="array" aca="1" ref="BD20" ca="1">_xlfn.XLOOKUP(BC20,Registration[Nickname],_FV(Registration[Country],"Image"))</f>
        <v>#VALUE!</v>
      </c>
      <c r="BE20" s="3">
        <v>7</v>
      </c>
      <c r="BG20" s="75"/>
      <c r="BH20" s="13" t="str">
        <f>IF(COUNTA(O21:O22)&lt;2,"",IF(O21&gt;O22,M22,M21))</f>
        <v>Thibault</v>
      </c>
      <c r="BI20" s="13">
        <v>150</v>
      </c>
    </row>
    <row r="21" spans="1:107" ht="15" customHeight="1">
      <c r="A21" s="27">
        <v>19</v>
      </c>
      <c r="B21" s="13" t="s">
        <v>97</v>
      </c>
      <c r="D21" s="79" t="s">
        <v>367</v>
      </c>
      <c r="E21" s="27">
        <v>18</v>
      </c>
      <c r="F21" s="13" t="str">
        <f t="shared" ref="F21:F22" si="9">_xlfn.XLOOKUP(E21,A:A,B:B)</f>
        <v>Rub</v>
      </c>
      <c r="G21" s="13" t="e" cm="1" vm="12">
        <f t="array" aca="1" ref="G21" ca="1">_xlfn.XLOOKUP(F21,Registration[Nickname],_FV(Registration[Country],"Image"))</f>
        <v>#VALUE!</v>
      </c>
      <c r="H21" s="3">
        <v>3</v>
      </c>
      <c r="I21" s="23"/>
      <c r="J21" s="24"/>
      <c r="K21" s="79">
        <v>2</v>
      </c>
      <c r="L21" s="27">
        <v>15</v>
      </c>
      <c r="M21" s="13" t="str">
        <f>_xlfn.XLOOKUP(L21,A:A,B:B)</f>
        <v>Thibault</v>
      </c>
      <c r="N21" s="13" t="e" cm="1" vm="15">
        <f t="array" aca="1" ref="N21" ca="1">_xlfn.XLOOKUP(M21,Registration[Nickname],_FV(Registration[Country],"Image"))</f>
        <v>#VALUE!</v>
      </c>
      <c r="O21" s="3">
        <v>1</v>
      </c>
      <c r="P21" s="23"/>
      <c r="Q21" s="24"/>
      <c r="R21" s="79">
        <v>5</v>
      </c>
      <c r="S21" s="27">
        <v>2</v>
      </c>
      <c r="T21" s="13" t="str">
        <f>_xlfn.XLOOKUP(S21,A:A,B:B)</f>
        <v>Sami</v>
      </c>
      <c r="U21" s="13" t="e" cm="1" vm="13">
        <f t="array" aca="1" ref="U21" ca="1">_xlfn.XLOOKUP(T21,Registration[Nickname],_FV(Registration[Country],"Image"))</f>
        <v>#VALUE!</v>
      </c>
      <c r="V21" s="3">
        <v>5</v>
      </c>
      <c r="AK21" s="22"/>
      <c r="BG21" s="75"/>
      <c r="BH21" s="13" t="str">
        <f>IF(COUNTA(O29:O30)&lt;2,"",IF(O29&gt;O30,M30,M29))</f>
        <v>Sargoth</v>
      </c>
      <c r="BI21" s="13">
        <v>150</v>
      </c>
    </row>
    <row r="22" spans="1:107" ht="15" customHeight="1">
      <c r="A22" s="27">
        <v>20</v>
      </c>
      <c r="B22" s="13" t="s">
        <v>99</v>
      </c>
      <c r="D22" s="80"/>
      <c r="E22" s="27">
        <v>23</v>
      </c>
      <c r="F22" s="13" t="str">
        <f t="shared" si="9"/>
        <v>Banana</v>
      </c>
      <c r="G22" s="13" t="e" cm="1" vm="15">
        <f t="array" aca="1" ref="G22" ca="1">_xlfn.XLOOKUP(F22,Registration[Nickname],_FV(Registration[Country],"Image"))</f>
        <v>#VALUE!</v>
      </c>
      <c r="H22" s="3">
        <v>0</v>
      </c>
      <c r="K22" s="80"/>
      <c r="L22" s="27">
        <f>_xlfn.XLOOKUP(M22,F21:F22,E21:E22,"",0)</f>
        <v>18</v>
      </c>
      <c r="M22" s="13" t="str" cm="1">
        <f t="array" ref="M22">IF(COUNTA(H21:H22)&lt;2,"Winner of B1,3",INDEX(_xlfn.SORTBY(F21:F22,H21:H22,-1),1))</f>
        <v>Rub</v>
      </c>
      <c r="N22" s="13" t="e" cm="1" vm="12">
        <f t="array" aca="1" ref="N22" ca="1">_xlfn.XLOOKUP(M22,Registration[Nickname],_FV(Registration[Country],"Image"))</f>
        <v>#VALUE!</v>
      </c>
      <c r="O22" s="3">
        <v>4</v>
      </c>
      <c r="R22" s="80"/>
      <c r="S22" s="27">
        <f>_xlfn.XLOOKUP(T22,B:B,A:A,"",0)</f>
        <v>18</v>
      </c>
      <c r="T22" s="13" t="str" cm="1">
        <f t="array" ref="T22">IF(COUNTA(O21:O22)&lt;2,"Winner of B2,3",INDEX(_xlfn.SORTBY(M21:M22,O21:O22,-1),1))</f>
        <v>Rub</v>
      </c>
      <c r="U22" s="13" t="e" cm="1" vm="12">
        <f t="array" aca="1" ref="U22" ca="1">_xlfn.XLOOKUP(T22,Registration[Nickname],_FV(Registration[Country],"Image"))</f>
        <v>#VALUE!</v>
      </c>
      <c r="V22" s="3">
        <v>0</v>
      </c>
      <c r="W22" s="21"/>
      <c r="AK22" s="22"/>
      <c r="BG22" s="73"/>
      <c r="BH22" s="13" t="str">
        <f>IF(COUNTA(O13:O14)&lt;2,"",IF(O13&gt;O14,M14,M13))</f>
        <v>Flo</v>
      </c>
      <c r="BI22" s="13">
        <v>150</v>
      </c>
    </row>
    <row r="23" spans="1:107" ht="15" customHeight="1">
      <c r="A23" s="27">
        <v>21</v>
      </c>
      <c r="B23" s="13" t="s">
        <v>47</v>
      </c>
      <c r="W23" s="22"/>
      <c r="X23" s="23"/>
      <c r="Y23" s="79">
        <v>15</v>
      </c>
      <c r="Z23" s="27" t="str">
        <f t="shared" ref="Z23:Z24" si="10">_xlfn.XLOOKUP(AA23,I:I,H:H,"",0)</f>
        <v/>
      </c>
      <c r="AA23" s="13" t="str" cm="1">
        <f t="array" ref="AA23">IF(COUNTA(V21:V22)&lt;2,"Winner of 5",INDEX(_xlfn.SORTBY(T21:T22,V21:V22,-1),1))</f>
        <v>Sami</v>
      </c>
      <c r="AB23" s="13" t="e" cm="1" vm="13">
        <f t="array" aca="1" ref="AB23" ca="1">_xlfn.XLOOKUP(AA23,Registration[Nickname],_FV(Registration[Country],"Image"))</f>
        <v>#VALUE!</v>
      </c>
      <c r="AC23" s="3">
        <v>5</v>
      </c>
      <c r="AK23" s="22"/>
      <c r="BG23" s="74" t="s">
        <v>368</v>
      </c>
      <c r="BH23" s="13" t="str">
        <f>IF(COUNTA(H13:H14)&lt;2,"",IF(H13&gt;H14,F14,F13))</f>
        <v>Mark</v>
      </c>
      <c r="BI23" s="13">
        <v>100</v>
      </c>
    </row>
    <row r="24" spans="1:107" ht="15" customHeight="1">
      <c r="A24" s="27">
        <v>22</v>
      </c>
      <c r="B24" s="13" t="s">
        <v>111</v>
      </c>
      <c r="W24" s="22"/>
      <c r="Y24" s="80"/>
      <c r="Z24" s="27" t="str">
        <f t="shared" si="10"/>
        <v/>
      </c>
      <c r="AA24" s="13" t="str" cm="1">
        <f t="array" ref="AA24">IF(COUNTA(V25:V26)&lt;2,"Winner of 6",INDEX(_xlfn.SORTBY(T25:T26,V25:V26,-1),1))</f>
        <v>Antistar</v>
      </c>
      <c r="AB24" s="13" t="e" cm="1" vm="15">
        <f t="array" aca="1" ref="AB24" ca="1">_xlfn.XLOOKUP(AA24,Registration[Nickname],_FV(Registration[Country],"Image"))</f>
        <v>#VALUE!</v>
      </c>
      <c r="AC24" s="3">
        <v>3</v>
      </c>
      <c r="AD24" s="21"/>
      <c r="AK24" s="22"/>
      <c r="BG24" s="75"/>
      <c r="BH24" s="13" t="str">
        <f>IF(COUNTA(H29:H30)&lt;2,"",IF(H29&gt;H30,F30,F29))</f>
        <v>Rune</v>
      </c>
      <c r="BI24" s="13">
        <v>100</v>
      </c>
    </row>
    <row r="25" spans="1:107" ht="15" customHeight="1">
      <c r="A25" s="27">
        <v>23</v>
      </c>
      <c r="B25" s="13" t="s">
        <v>101</v>
      </c>
      <c r="R25" s="79">
        <v>6</v>
      </c>
      <c r="S25" s="27">
        <v>7</v>
      </c>
      <c r="T25" s="13" t="str">
        <f t="shared" ref="T25:T26" si="11">_xlfn.XLOOKUP(S25,A:A,B:B)</f>
        <v>Antistar</v>
      </c>
      <c r="U25" s="13" t="e" cm="1" vm="15">
        <f t="array" aca="1" ref="U25" ca="1">_xlfn.XLOOKUP(T25,Registration[Nickname],_FV(Registration[Country],"Image"))</f>
        <v>#VALUE!</v>
      </c>
      <c r="V25" s="3">
        <v>5</v>
      </c>
      <c r="W25" s="24"/>
      <c r="AD25" s="22"/>
      <c r="AK25" s="22"/>
      <c r="BG25" s="75"/>
      <c r="BH25" s="13" t="str">
        <f>IF(COUNTA(H21:H22)&lt;2,"",IF(H21&gt;H22,F22,F21))</f>
        <v>Banana</v>
      </c>
      <c r="BI25" s="13">
        <v>100</v>
      </c>
    </row>
    <row r="26" spans="1:107" ht="15" customHeight="1">
      <c r="A26" s="27">
        <v>24</v>
      </c>
      <c r="B26" s="13" t="s">
        <v>71</v>
      </c>
      <c r="R26" s="80"/>
      <c r="S26" s="27">
        <v>10</v>
      </c>
      <c r="T26" s="13" t="str">
        <f t="shared" si="11"/>
        <v>Onwa</v>
      </c>
      <c r="U26" s="13" t="e" cm="1" vm="16">
        <f t="array" aca="1" ref="U26" ca="1">_xlfn.XLOOKUP(T26,Registration[Nickname],_FV(Registration[Country],"Image"))</f>
        <v>#VALUE!</v>
      </c>
      <c r="V26" s="3">
        <v>3</v>
      </c>
      <c r="AD26" s="22"/>
      <c r="AK26" s="22"/>
      <c r="BG26" s="73"/>
      <c r="BH26" s="13" t="str">
        <f>IF(COUNTA(H5:H6)&lt;2,"",IF(H5&gt;H6,F6,F5))</f>
        <v>JDR</v>
      </c>
      <c r="BI26" s="13">
        <v>100</v>
      </c>
    </row>
    <row r="27" spans="1:107" ht="15" customHeight="1">
      <c r="AD27" s="22"/>
      <c r="AE27" s="23"/>
      <c r="AF27" s="79">
        <v>24</v>
      </c>
      <c r="AG27" s="27" t="str">
        <f t="shared" ref="AG27:AG28" si="12">_xlfn.XLOOKUP(AH27,P:P,O:O,"",0)</f>
        <v/>
      </c>
      <c r="AH27" s="13" t="str" cm="1">
        <f t="array" ref="AH27">IF(COUNTA(AC23:AC24)&lt;2,"Winner of 15",INDEX(_xlfn.SORTBY(AA23:AA24,AC23:AC24,-1),1))</f>
        <v>Sami</v>
      </c>
      <c r="AI27" s="13" t="e" cm="1" vm="13">
        <f t="array" aca="1" ref="AI27" ca="1">_xlfn.XLOOKUP(AH27,Registration[Nickname],_FV(Registration[Country],"Image"))</f>
        <v>#VALUE!</v>
      </c>
      <c r="AJ27" s="3">
        <v>7</v>
      </c>
      <c r="AK27" s="24"/>
    </row>
    <row r="28" spans="1:107" s="14" customFormat="1" ht="15" customHeight="1">
      <c r="A28" s="1"/>
      <c r="B28" s="1"/>
      <c r="C28" s="1"/>
      <c r="D28" s="1"/>
      <c r="E28" s="1"/>
      <c r="F28" s="1"/>
      <c r="G28" s="1"/>
      <c r="H28" s="1"/>
      <c r="I28" s="1"/>
      <c r="J28" s="1"/>
      <c r="K28" s="1"/>
      <c r="L28" s="1"/>
      <c r="M28" s="1"/>
      <c r="N28" s="1"/>
      <c r="O28" s="1"/>
      <c r="P28" s="1"/>
      <c r="Q28" s="1"/>
      <c r="R28" s="4"/>
      <c r="S28" s="4"/>
      <c r="T28" s="4"/>
      <c r="U28" s="4"/>
      <c r="V28" s="4"/>
      <c r="W28" s="4"/>
      <c r="X28" s="4"/>
      <c r="Y28" s="4"/>
      <c r="Z28" s="4"/>
      <c r="AA28" s="4"/>
      <c r="AB28" s="4"/>
      <c r="AC28" s="4"/>
      <c r="AD28" s="22"/>
      <c r="AE28" s="4"/>
      <c r="AF28" s="80"/>
      <c r="AG28" s="27" t="str">
        <f t="shared" si="12"/>
        <v/>
      </c>
      <c r="AH28" s="13" t="str" cm="1">
        <f t="array" ref="AH28">IF(COUNTA(AC31:AC32)&lt;2,"Winner of 16",INDEX(_xlfn.SORTBY(AA31:AA32,AC31:AC32,-1),1))</f>
        <v>Lafungo</v>
      </c>
      <c r="AI28" s="13" t="e" cm="1" vm="14">
        <f t="array" aca="1" ref="AI28" ca="1">_xlfn.XLOOKUP(AH28,Registration[Nickname],_FV(Registration[Country],"Image"))</f>
        <v>#VALUE!</v>
      </c>
      <c r="AJ28" s="3">
        <v>5</v>
      </c>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row>
    <row r="29" spans="1:107" ht="15" customHeight="1">
      <c r="D29" s="79" t="s">
        <v>369</v>
      </c>
      <c r="E29" s="27">
        <v>19</v>
      </c>
      <c r="F29" s="13" t="str">
        <f t="shared" ref="F29:F30" si="13">_xlfn.XLOOKUP(E29,A:A,B:B)</f>
        <v>Sargoth</v>
      </c>
      <c r="G29" s="13" t="e" cm="1" vm="22">
        <f t="array" aca="1" ref="G29" ca="1">_xlfn.XLOOKUP(F29,Registration[Nickname],_FV(Registration[Country],"Image"))</f>
        <v>#VALUE!</v>
      </c>
      <c r="H29" s="3">
        <v>3</v>
      </c>
      <c r="I29" s="23"/>
      <c r="J29" s="24"/>
      <c r="K29" s="79">
        <v>1</v>
      </c>
      <c r="L29" s="27">
        <v>14</v>
      </c>
      <c r="M29" s="13" t="str">
        <f>_xlfn.XLOOKUP(L29,A:A,B:B)</f>
        <v>Leyla</v>
      </c>
      <c r="N29" s="13" t="e" cm="1" vm="13">
        <f t="array" aca="1" ref="N29" ca="1">_xlfn.XLOOKUP(M29,Registration[Nickname],_FV(Registration[Country],"Image"))</f>
        <v>#VALUE!</v>
      </c>
      <c r="O29" s="3">
        <v>4</v>
      </c>
      <c r="P29" s="23"/>
      <c r="Q29" s="24"/>
      <c r="R29" s="79">
        <v>7</v>
      </c>
      <c r="S29" s="27">
        <v>3</v>
      </c>
      <c r="T29" s="13" t="str">
        <f>_xlfn.XLOOKUP(S29,A:A,B:B)</f>
        <v>KVD</v>
      </c>
      <c r="U29" s="13" t="e" cm="1" vm="12">
        <f t="array" aca="1" ref="U29" ca="1">_xlfn.XLOOKUP(T29,Registration[Nickname],_FV(Registration[Country],"Image"))</f>
        <v>#VALUE!</v>
      </c>
      <c r="V29" s="3">
        <v>5</v>
      </c>
      <c r="AD29" s="22"/>
    </row>
    <row r="30" spans="1:107" ht="15" customHeight="1">
      <c r="D30" s="80"/>
      <c r="E30" s="27">
        <v>22</v>
      </c>
      <c r="F30" s="13" t="str">
        <f t="shared" si="13"/>
        <v>Rune</v>
      </c>
      <c r="G30" s="13" t="e" cm="1" vm="12">
        <f t="array" aca="1" ref="G30" ca="1">_xlfn.XLOOKUP(F30,Registration[Nickname],_FV(Registration[Country],"Image"))</f>
        <v>#VALUE!</v>
      </c>
      <c r="H30" s="3">
        <v>2</v>
      </c>
      <c r="K30" s="80"/>
      <c r="L30" s="27">
        <f>_xlfn.XLOOKUP(M30,F29:F30,E29:E30,"",0)</f>
        <v>19</v>
      </c>
      <c r="M30" s="13" t="str" cm="1">
        <f t="array" ref="M30">IF(COUNTA(H29:H30)&lt;2,"Winner of B1,4",INDEX(_xlfn.SORTBY(F29:F30,H29:H30,-1),1))</f>
        <v>Sargoth</v>
      </c>
      <c r="N30" s="13" t="e" cm="1" vm="22">
        <f t="array" aca="1" ref="N30" ca="1">_xlfn.XLOOKUP(M30,Registration[Nickname],_FV(Registration[Country],"Image"))</f>
        <v>#VALUE!</v>
      </c>
      <c r="O30" s="3">
        <v>0</v>
      </c>
      <c r="R30" s="80"/>
      <c r="S30" s="27">
        <f>_xlfn.XLOOKUP(T30,B:B,A:A,"",0)</f>
        <v>14</v>
      </c>
      <c r="T30" s="13" t="str" cm="1">
        <f t="array" ref="T30">IF(COUNTA(O29:O30)&lt;2,"Winner of B2,4",INDEX(_xlfn.SORTBY(M29:M30,O29:O30,-1),1))</f>
        <v>Leyla</v>
      </c>
      <c r="U30" s="13" t="e" cm="1" vm="13">
        <f t="array" aca="1" ref="U30" ca="1">_xlfn.XLOOKUP(T30,Registration[Nickname],_FV(Registration[Country],"Image"))</f>
        <v>#VALUE!</v>
      </c>
      <c r="V30" s="3">
        <v>1</v>
      </c>
      <c r="W30" s="21"/>
      <c r="AD30" s="22"/>
    </row>
    <row r="31" spans="1:107" ht="15" customHeight="1">
      <c r="W31" s="22"/>
      <c r="X31" s="23"/>
      <c r="Y31" s="79">
        <v>16</v>
      </c>
      <c r="Z31" s="27" t="str">
        <f t="shared" ref="Z31:Z32" si="14">_xlfn.XLOOKUP(AA31,I:I,H:H,"",0)</f>
        <v/>
      </c>
      <c r="AA31" s="13" t="str" cm="1">
        <f t="array" ref="AA31">IF(COUNTA(V29:V30)&lt;2,"Winner of 7",INDEX(_xlfn.SORTBY(T29:T30,V29:V30,-1),1))</f>
        <v>KVD</v>
      </c>
      <c r="AB31" s="13" t="e" cm="1" vm="12">
        <f t="array" aca="1" ref="AB31" ca="1">_xlfn.XLOOKUP(AA31,Registration[Nickname],_FV(Registration[Country],"Image"))</f>
        <v>#VALUE!</v>
      </c>
      <c r="AC31" s="3">
        <v>4</v>
      </c>
      <c r="AD31" s="24"/>
    </row>
    <row r="32" spans="1:107" ht="15" customHeight="1">
      <c r="B32" s="20" t="s">
        <v>370</v>
      </c>
      <c r="W32" s="22"/>
      <c r="Y32" s="80"/>
      <c r="Z32" s="27" t="str">
        <f t="shared" si="14"/>
        <v/>
      </c>
      <c r="AA32" s="13" t="str" cm="1">
        <f t="array" ref="AA32">IF(COUNTA(V33:V34)&lt;2,"Winner of 8",INDEX(_xlfn.SORTBY(T33:T34,V33:V34,-1),1))</f>
        <v>Lafungo</v>
      </c>
      <c r="AB32" s="13" t="e" cm="1" vm="14">
        <f t="array" aca="1" ref="AB32" ca="1">_xlfn.XLOOKUP(AA32,Registration[Nickname],_FV(Registration[Country],"Image"))</f>
        <v>#VALUE!</v>
      </c>
      <c r="AC32" s="3">
        <v>5</v>
      </c>
    </row>
    <row r="33" spans="2:57" ht="15" customHeight="1">
      <c r="B33" s="20" t="e" cm="1">
        <f t="array" aca="1" ref="B33" ca="1">OFFSET(Parameters!$BQ$1,RANDBETWEEN(0,3),0,B32*2-1,1)</f>
        <v>#VALUE!</v>
      </c>
      <c r="R33" s="79">
        <v>8</v>
      </c>
      <c r="S33" s="27">
        <v>6</v>
      </c>
      <c r="T33" s="13" t="str">
        <f t="shared" ref="T33:T34" si="15">_xlfn.XLOOKUP(S33,A:A,B:B)</f>
        <v>Lafungo</v>
      </c>
      <c r="U33" s="13" t="e" cm="1" vm="14">
        <f t="array" aca="1" ref="U33" ca="1">_xlfn.XLOOKUP(T33,Registration[Nickname],_FV(Registration[Country],"Image"))</f>
        <v>#VALUE!</v>
      </c>
      <c r="V33" s="3">
        <v>5</v>
      </c>
      <c r="W33" s="24"/>
    </row>
    <row r="34" spans="2:57" ht="15" customHeight="1">
      <c r="R34" s="80"/>
      <c r="S34" s="27">
        <v>11</v>
      </c>
      <c r="T34" s="13" t="str">
        <f t="shared" si="15"/>
        <v>Moll</v>
      </c>
      <c r="U34" s="13" t="e" cm="1" vm="13">
        <f t="array" aca="1" ref="U34" ca="1">_xlfn.XLOOKUP(T34,Registration[Nickname],_FV(Registration[Country],"Image"))</f>
        <v>#VALUE!</v>
      </c>
      <c r="V34" s="3">
        <v>0</v>
      </c>
    </row>
    <row r="37" spans="2:57" ht="15" customHeight="1">
      <c r="R37" s="67" t="s">
        <v>371</v>
      </c>
      <c r="S37" s="68"/>
      <c r="T37" s="68"/>
      <c r="U37" s="68"/>
      <c r="V37" s="76"/>
      <c r="Y37" s="67" t="s">
        <v>372</v>
      </c>
      <c r="Z37" s="68"/>
      <c r="AA37" s="68"/>
      <c r="AB37" s="68"/>
      <c r="AC37" s="76"/>
      <c r="AF37" s="67" t="s">
        <v>373</v>
      </c>
      <c r="AG37" s="68"/>
      <c r="AH37" s="68"/>
      <c r="AI37" s="68"/>
      <c r="AJ37" s="76"/>
      <c r="AM37" s="67" t="s">
        <v>374</v>
      </c>
      <c r="AN37" s="68"/>
      <c r="AO37" s="68"/>
      <c r="AP37" s="68"/>
      <c r="AQ37" s="76"/>
      <c r="AT37" s="67" t="s">
        <v>375</v>
      </c>
      <c r="AU37" s="68"/>
      <c r="AV37" s="68"/>
      <c r="AW37" s="68"/>
      <c r="AX37" s="76"/>
      <c r="BA37" s="67" t="s">
        <v>376</v>
      </c>
      <c r="BB37" s="68"/>
      <c r="BC37" s="68"/>
      <c r="BD37" s="68"/>
      <c r="BE37" s="76"/>
    </row>
    <row r="38" spans="2:57" ht="15" customHeight="1">
      <c r="R38" s="28" t="s">
        <v>194</v>
      </c>
      <c r="S38" s="81" t="s">
        <v>356</v>
      </c>
      <c r="T38" s="82"/>
      <c r="U38" s="82"/>
      <c r="V38" s="83"/>
      <c r="Y38" s="28" t="s">
        <v>194</v>
      </c>
      <c r="Z38" s="81" t="s">
        <v>355</v>
      </c>
      <c r="AA38" s="82"/>
      <c r="AB38" s="82"/>
      <c r="AC38" s="83"/>
      <c r="AF38" s="28" t="s">
        <v>194</v>
      </c>
      <c r="AG38" s="81" t="s">
        <v>357</v>
      </c>
      <c r="AH38" s="82"/>
      <c r="AI38" s="82"/>
      <c r="AJ38" s="83"/>
      <c r="AM38" s="28" t="s">
        <v>194</v>
      </c>
      <c r="AN38" s="81" t="s">
        <v>357</v>
      </c>
      <c r="AO38" s="82"/>
      <c r="AP38" s="82"/>
      <c r="AQ38" s="83"/>
      <c r="AT38" s="28" t="s">
        <v>194</v>
      </c>
      <c r="AU38" s="81" t="s">
        <v>358</v>
      </c>
      <c r="AV38" s="82"/>
      <c r="AW38" s="82"/>
      <c r="AX38" s="83"/>
      <c r="BA38" s="28" t="s">
        <v>194</v>
      </c>
      <c r="BB38" s="81" t="s">
        <v>377</v>
      </c>
      <c r="BC38" s="82"/>
      <c r="BD38" s="82"/>
      <c r="BE38" s="83"/>
    </row>
    <row r="39" spans="2:57" ht="15" customHeight="1">
      <c r="R39" s="26">
        <v>5</v>
      </c>
      <c r="S39" s="84"/>
      <c r="T39" s="85"/>
      <c r="U39" s="85"/>
      <c r="V39" s="86"/>
      <c r="Y39" s="26">
        <v>5</v>
      </c>
      <c r="Z39" s="84"/>
      <c r="AA39" s="85"/>
      <c r="AB39" s="85"/>
      <c r="AC39" s="86"/>
      <c r="AF39" s="26">
        <v>7</v>
      </c>
      <c r="AG39" s="84"/>
      <c r="AH39" s="85"/>
      <c r="AI39" s="85"/>
      <c r="AJ39" s="86"/>
      <c r="AM39" s="26">
        <v>7</v>
      </c>
      <c r="AN39" s="84"/>
      <c r="AO39" s="85"/>
      <c r="AP39" s="85"/>
      <c r="AQ39" s="86"/>
      <c r="AT39" s="26">
        <v>7</v>
      </c>
      <c r="AU39" s="84"/>
      <c r="AV39" s="85"/>
      <c r="AW39" s="85"/>
      <c r="AX39" s="86"/>
      <c r="BA39" s="26">
        <v>7</v>
      </c>
      <c r="BB39" s="84"/>
      <c r="BC39" s="85"/>
      <c r="BD39" s="85"/>
      <c r="BE39" s="86"/>
    </row>
    <row r="41" spans="2:57" ht="15" customHeight="1">
      <c r="R41" s="79">
        <v>9</v>
      </c>
      <c r="S41" s="27">
        <f t="shared" ref="S41:S42" si="16">_xlfn.XLOOKUP(T41,B:B,A:A,"",0)</f>
        <v>17</v>
      </c>
      <c r="T41" s="13" t="str" cm="1">
        <f t="array" ref="T41">IF(COUNTA(V5:V6)&lt;2,"Loser of 1",INDEX(_xlfn.SORTBY(T5:T6,V5:V6,1),1))</f>
        <v>Patrick</v>
      </c>
      <c r="U41" s="13" t="e" cm="1" vm="12">
        <f t="array" aca="1" ref="U41" ca="1">_xlfn.XLOOKUP(T41,Registration[Nickname],_FV(Registration[Country],"Image"))</f>
        <v>#VALUE!</v>
      </c>
      <c r="V41" s="3">
        <v>2</v>
      </c>
      <c r="W41" s="23"/>
      <c r="X41" s="24"/>
      <c r="Y41" s="79">
        <v>20</v>
      </c>
      <c r="Z41" s="27" t="str">
        <f t="shared" ref="Z41:Z42" si="17">_xlfn.XLOOKUP(AA41,I:I,H:H,"",0)</f>
        <v/>
      </c>
      <c r="AA41" s="13" t="str" cm="1">
        <f t="array" ref="AA41">IF(COUNTA(AC31:AC32)&lt;2,"Loser of 16",INDEX(_xlfn.SORTBY(AA31:AA32,AC31:AC32,1),1))</f>
        <v>KVD</v>
      </c>
      <c r="AB41" s="13" t="e" cm="1" vm="12">
        <f t="array" aca="1" ref="AB41" ca="1">_xlfn.XLOOKUP(AA41,Registration[Nickname],_FV(Registration[Country],"Image"))</f>
        <v>#VALUE!</v>
      </c>
      <c r="AC41" s="3">
        <v>4</v>
      </c>
    </row>
    <row r="42" spans="2:57" ht="15" customHeight="1">
      <c r="R42" s="80"/>
      <c r="S42" s="27">
        <f t="shared" si="16"/>
        <v>9</v>
      </c>
      <c r="T42" s="13" t="str" cm="1">
        <f t="array" ref="T42">IF(COUNTA(V9:V10)&lt;2,"Loser of 2",INDEX(_xlfn.SORTBY(T9:T10,V9:V10,1),1))</f>
        <v>Kasmo</v>
      </c>
      <c r="U42" s="13" t="e" cm="1" vm="16">
        <f t="array" aca="1" ref="U42" ca="1">_xlfn.XLOOKUP(T42,Registration[Nickname],_FV(Registration[Country],"Image"))</f>
        <v>#VALUE!</v>
      </c>
      <c r="V42" s="3">
        <v>5</v>
      </c>
      <c r="Y42" s="80"/>
      <c r="Z42" s="27" t="str">
        <f t="shared" si="17"/>
        <v/>
      </c>
      <c r="AA42" s="13" t="str" cm="1">
        <f t="array" ref="AA42">IF(COUNTA(V41:V42)&lt;2,"Winner of 9",INDEX(_xlfn.SORTBY(T41:T42,V41:V42,-1),1))</f>
        <v>Kasmo</v>
      </c>
      <c r="AB42" s="13" t="e" cm="1" vm="16">
        <f t="array" aca="1" ref="AB42" ca="1">_xlfn.XLOOKUP(AA42,Registration[Nickname],_FV(Registration[Country],"Image"))</f>
        <v>#VALUE!</v>
      </c>
      <c r="AC42" s="3">
        <v>5</v>
      </c>
      <c r="AD42" s="21"/>
    </row>
    <row r="43" spans="2:57" ht="15" customHeight="1">
      <c r="AD43" s="22"/>
      <c r="AE43" s="23"/>
      <c r="AF43" s="79">
        <v>22</v>
      </c>
      <c r="AG43" s="27" t="str">
        <f t="shared" ref="AG43:AG44" si="18">_xlfn.XLOOKUP(AH43,P:P,O:O,"",0)</f>
        <v/>
      </c>
      <c r="AH43" s="13" t="str" cm="1">
        <f t="array" ref="AH43">IF(COUNTA(AC41:AC42)&lt;2,"Winner of 20",INDEX(_xlfn.SORTBY(AA41:AA42,AC41:AC42,-1),1))</f>
        <v>Kasmo</v>
      </c>
      <c r="AI43" s="13" t="e" cm="1" vm="16">
        <f t="array" aca="1" ref="AI43" ca="1">_xlfn.XLOOKUP(AH43,Registration[Nickname],_FV(Registration[Country],"Image"))</f>
        <v>#VALUE!</v>
      </c>
      <c r="AJ43" s="3">
        <v>7</v>
      </c>
      <c r="AK43" s="23"/>
      <c r="AL43" s="24"/>
      <c r="AM43" s="79">
        <v>25</v>
      </c>
      <c r="AN43" s="27" t="str">
        <f t="shared" ref="AN43:AN44" si="19">_xlfn.XLOOKUP(AO43,W:W,V:V,"",0)</f>
        <v/>
      </c>
      <c r="AO43" s="13" t="str" cm="1">
        <f t="array" ref="AO43">IF(COUNTA(AJ11:AJ12)&lt;2,"Loser of 23",INDEX(_xlfn.SORTBY(AH11:AH12,AJ11:AJ12,1),1))</f>
        <v>Drew</v>
      </c>
      <c r="AP43" s="13" t="e" cm="1" vm="14">
        <f t="array" aca="1" ref="AP43" ca="1">_xlfn.XLOOKUP(AO43,Registration[Nickname],_FV(Registration[Country],"Image"))</f>
        <v>#VALUE!</v>
      </c>
      <c r="AQ43" s="3">
        <v>7</v>
      </c>
    </row>
    <row r="44" spans="2:57" ht="15" customHeight="1">
      <c r="AD44" s="22"/>
      <c r="AF44" s="80"/>
      <c r="AG44" s="27" t="str">
        <f t="shared" si="18"/>
        <v/>
      </c>
      <c r="AH44" s="13" t="str" cm="1">
        <f t="array" ref="AH44">IF(COUNTA(AC45:AC46)&lt;2,"Winner of 19",INDEX(_xlfn.SORTBY(AA45:AA46,AC45:AC46,-1),1))</f>
        <v>Antistar</v>
      </c>
      <c r="AI44" s="13" t="e" cm="1" vm="15">
        <f t="array" aca="1" ref="AI44" ca="1">_xlfn.XLOOKUP(AH44,Registration[Nickname],_FV(Registration[Country],"Image"))</f>
        <v>#VALUE!</v>
      </c>
      <c r="AJ44" s="3">
        <v>3</v>
      </c>
      <c r="AM44" s="80"/>
      <c r="AN44" s="27" t="str">
        <f t="shared" si="19"/>
        <v/>
      </c>
      <c r="AO44" s="13" t="str" cm="1">
        <f t="array" ref="AO44">IF(COUNTA(AJ43:AJ44)&lt;2,"Winner of 22",INDEX(_xlfn.SORTBY(AH43:AH44,AJ43:AJ44,-1),1))</f>
        <v>Kasmo</v>
      </c>
      <c r="AP44" s="13" t="e" cm="1" vm="16">
        <f t="array" aca="1" ref="AP44" ca="1">_xlfn.XLOOKUP(AO44,Registration[Nickname],_FV(Registration[Country],"Image"))</f>
        <v>#VALUE!</v>
      </c>
      <c r="AQ44" s="3">
        <v>3</v>
      </c>
      <c r="AR44" s="21"/>
    </row>
    <row r="45" spans="2:57" ht="15" customHeight="1">
      <c r="R45" s="79">
        <v>10</v>
      </c>
      <c r="S45" s="27">
        <f t="shared" ref="S45:S46" si="20">_xlfn.XLOOKUP(T45,B:B,A:A,"",0)</f>
        <v>13</v>
      </c>
      <c r="T45" s="13" t="str" cm="1">
        <f t="array" ref="T45">IF(COUNTA(V13:V14)&lt;2,"Loser of 3",INDEX(_xlfn.SORTBY(T13:T14,V13:V14,1),1))</f>
        <v>Jarmou</v>
      </c>
      <c r="U45" s="13" t="e" cm="1" vm="17">
        <f t="array" aca="1" ref="U45" ca="1">_xlfn.XLOOKUP(T45,Registration[Nickname],_FV(Registration[Country],"Image"))</f>
        <v>#VALUE!</v>
      </c>
      <c r="V45" s="3">
        <v>5</v>
      </c>
      <c r="W45" s="23"/>
      <c r="X45" s="24"/>
      <c r="Y45" s="79">
        <v>19</v>
      </c>
      <c r="Z45" s="27" t="str">
        <f t="shared" ref="Z45:Z46" si="21">_xlfn.XLOOKUP(AA45,I:I,H:H,"",0)</f>
        <v/>
      </c>
      <c r="AA45" s="13" t="str" cm="1">
        <f t="array" ref="AA45">IF(COUNTA(AC23:AC24)&lt;2,"Loser of 15",INDEX(_xlfn.SORTBY(AA23:AA24,AC23:AC24,1),1))</f>
        <v>Antistar</v>
      </c>
      <c r="AB45" s="13" t="e" cm="1" vm="15">
        <f t="array" aca="1" ref="AB45" ca="1">_xlfn.XLOOKUP(AA45,Registration[Nickname],_FV(Registration[Country],"Image"))</f>
        <v>#VALUE!</v>
      </c>
      <c r="AC45" s="3">
        <v>5</v>
      </c>
      <c r="AD45" s="24"/>
      <c r="AR45" s="22"/>
    </row>
    <row r="46" spans="2:57" ht="15" customHeight="1">
      <c r="R46" s="80"/>
      <c r="S46" s="27">
        <f t="shared" si="20"/>
        <v>12</v>
      </c>
      <c r="T46" s="13" t="str" cm="1">
        <f t="array" ref="T46">IF(COUNTA(V17:V18)&lt;2,"Loser of 4",INDEX(_xlfn.SORTBY(T17:T18,V17:V18,1),1))</f>
        <v>Zarkov</v>
      </c>
      <c r="U46" s="13" t="e" cm="1" vm="13">
        <f t="array" aca="1" ref="U46" ca="1">_xlfn.XLOOKUP(T46,Registration[Nickname],_FV(Registration[Country],"Image"))</f>
        <v>#VALUE!</v>
      </c>
      <c r="V46" s="3">
        <v>3</v>
      </c>
      <c r="Y46" s="80"/>
      <c r="Z46" s="27" t="str">
        <f t="shared" si="21"/>
        <v/>
      </c>
      <c r="AA46" s="13" t="str" cm="1">
        <f t="array" ref="AA46">IF(COUNTA(V45:V46)&lt;2,"Winner of 10",INDEX(_xlfn.SORTBY(T45:T46,V45:V46,-1),1))</f>
        <v>Jarmou</v>
      </c>
      <c r="AB46" s="13" t="e" cm="1" vm="17">
        <f t="array" aca="1" ref="AB46" ca="1">_xlfn.XLOOKUP(AA46,Registration[Nickname],_FV(Registration[Country],"Image"))</f>
        <v>#VALUE!</v>
      </c>
      <c r="AC46" s="3">
        <v>3</v>
      </c>
      <c r="AR46" s="22"/>
    </row>
    <row r="47" spans="2:57" ht="15" customHeight="1">
      <c r="AR47" s="22"/>
      <c r="AS47" s="23"/>
      <c r="AT47" s="79">
        <v>27</v>
      </c>
      <c r="AU47" s="27" t="str">
        <f t="shared" ref="AU47:AU48" si="22">_xlfn.XLOOKUP(AV47,AD:AD,AC:AC,"",0)</f>
        <v/>
      </c>
      <c r="AV47" s="13" t="str" cm="1">
        <f t="array" ref="AV47">IF(COUNTA(AQ43:AQ44)&lt;2,"Winner of 25",INDEX(_xlfn.SORTBY(AO43:AO44,AQ43:AQ44,-1),1))</f>
        <v>Drew</v>
      </c>
      <c r="AW47" s="13" t="e" cm="1" vm="14">
        <f t="array" aca="1" ref="AW47" ca="1">_xlfn.XLOOKUP(AV47,Registration[Nickname],_FV(Registration[Country],"Image"))</f>
        <v>#VALUE!</v>
      </c>
      <c r="AX47" s="3">
        <v>7</v>
      </c>
      <c r="AY47" s="23"/>
      <c r="AZ47" s="24"/>
      <c r="BA47" s="79">
        <v>29</v>
      </c>
      <c r="BB47" s="27" t="str">
        <f t="shared" ref="BB47:BB48" si="23">_xlfn.XLOOKUP(BC47,AK:AK,AJ:AJ,"",0)</f>
        <v/>
      </c>
      <c r="BC47" s="13" t="str" cm="1">
        <f t="array" ref="BC47">IF(COUNTA(AQ19:AQ20)&lt;2,"Loser of 28",INDEX(_xlfn.SORTBY(AO19:AO20,AQ19:AQ20,1),1))</f>
        <v>Geo</v>
      </c>
      <c r="BD47" s="13" t="e" cm="1" vm="15">
        <f t="array" aca="1" ref="BD47" ca="1">_xlfn.XLOOKUP(BC47,Registration[Nickname],_FV(Registration[Country],"Image"))</f>
        <v>#VALUE!</v>
      </c>
      <c r="BE47" s="3">
        <v>6</v>
      </c>
    </row>
    <row r="48" spans="2:57" ht="15" customHeight="1">
      <c r="AR48" s="22"/>
      <c r="AT48" s="80"/>
      <c r="AU48" s="27" t="str">
        <f t="shared" si="22"/>
        <v/>
      </c>
      <c r="AV48" s="13" t="str" cm="1">
        <f t="array" ref="AV48">IF(COUNTA(AQ51:AQ52)&lt;2,"Winner of 26",INDEX(_xlfn.SORTBY(AO51:AO52,AQ51:AQ52,-1),1))</f>
        <v>Takashi</v>
      </c>
      <c r="AW48" s="13" t="e" cm="1" vm="16">
        <f t="array" aca="1" ref="AW48" ca="1">_xlfn.XLOOKUP(AV48,Registration[Nickname],_FV(Registration[Country],"Image"))</f>
        <v>#VALUE!</v>
      </c>
      <c r="AX48" s="3">
        <v>2</v>
      </c>
      <c r="BA48" s="80"/>
      <c r="BB48" s="27" t="str">
        <f t="shared" si="23"/>
        <v/>
      </c>
      <c r="BC48" s="13" t="str" cm="1">
        <f t="array" ref="BC48">IF(COUNTA(AX47:AX48)&lt;2,"Winner of 27",INDEX(_xlfn.SORTBY(AV47:AV48,AX47:AX48,-1),1))</f>
        <v>Drew</v>
      </c>
      <c r="BD48" s="13" t="e" cm="1" vm="14">
        <f t="array" aca="1" ref="BD48" ca="1">_xlfn.XLOOKUP(BC48,Registration[Nickname],_FV(Registration[Country],"Image"))</f>
        <v>#VALUE!</v>
      </c>
      <c r="BE48" s="3">
        <v>7</v>
      </c>
    </row>
    <row r="49" spans="18:44" ht="15" customHeight="1">
      <c r="R49" s="79">
        <v>11</v>
      </c>
      <c r="S49" s="27">
        <f t="shared" ref="S49:S50" si="24">_xlfn.XLOOKUP(T49,B:B,A:A,"",0)</f>
        <v>18</v>
      </c>
      <c r="T49" s="13" t="str" cm="1">
        <f t="array" ref="T49">IF(COUNTA(V21:V22)&lt;2,"Loser of 5",INDEX(_xlfn.SORTBY(T21:T22,V21:V22,1),1))</f>
        <v>Rub</v>
      </c>
      <c r="U49" s="13" t="e" cm="1" vm="12">
        <f t="array" aca="1" ref="U49" ca="1">_xlfn.XLOOKUP(T49,Registration[Nickname],_FV(Registration[Country],"Image"))</f>
        <v>#VALUE!</v>
      </c>
      <c r="V49" s="3">
        <v>1</v>
      </c>
      <c r="W49" s="23"/>
      <c r="X49" s="24"/>
      <c r="Y49" s="79">
        <v>18</v>
      </c>
      <c r="Z49" s="27" t="str">
        <f t="shared" ref="Z49:Z50" si="25">_xlfn.XLOOKUP(AA49,I:I,H:H,"",0)</f>
        <v/>
      </c>
      <c r="AA49" s="13" t="str" cm="1">
        <f t="array" ref="AA49">IF(COUNTA(AC15:AC16)&lt;2,"Loser of 14",INDEX(_xlfn.SORTBY(AA15:AA16,AC15:AC16,1),1))</f>
        <v>Champix</v>
      </c>
      <c r="AB49" s="13" t="e" cm="1" vm="15">
        <f t="array" aca="1" ref="AB49" ca="1">_xlfn.XLOOKUP(AA49,Registration[Nickname],_FV(Registration[Country],"Image"))</f>
        <v>#VALUE!</v>
      </c>
      <c r="AC49" s="3">
        <v>5</v>
      </c>
      <c r="AR49" s="22"/>
    </row>
    <row r="50" spans="18:44" ht="15" customHeight="1">
      <c r="R50" s="80"/>
      <c r="S50" s="27">
        <f t="shared" si="24"/>
        <v>10</v>
      </c>
      <c r="T50" s="13" t="str" cm="1">
        <f t="array" ref="T50">IF(COUNTA(V25:V26)&lt;2,"Loser of 6",INDEX(_xlfn.SORTBY(T25:T26,V25:V26,1),1))</f>
        <v>Onwa</v>
      </c>
      <c r="U50" s="13" t="e" cm="1" vm="16">
        <f t="array" aca="1" ref="U50" ca="1">_xlfn.XLOOKUP(T50,Registration[Nickname],_FV(Registration[Country],"Image"))</f>
        <v>#VALUE!</v>
      </c>
      <c r="V50" s="3">
        <v>5</v>
      </c>
      <c r="Y50" s="80"/>
      <c r="Z50" s="27" t="str">
        <f t="shared" si="25"/>
        <v/>
      </c>
      <c r="AA50" s="13" t="str" cm="1">
        <f t="array" ref="AA50">IF(COUNTA(V49:V50)&lt;2,"Winner of 11",INDEX(_xlfn.SORTBY(T49:T50,V49:V50,-1),1))</f>
        <v>Onwa</v>
      </c>
      <c r="AB50" s="13" t="e" cm="1" vm="16">
        <f t="array" aca="1" ref="AB50" ca="1">_xlfn.XLOOKUP(AA50,Registration[Nickname],_FV(Registration[Country],"Image"))</f>
        <v>#VALUE!</v>
      </c>
      <c r="AC50" s="3">
        <v>3</v>
      </c>
      <c r="AD50" s="21"/>
      <c r="AR50" s="22"/>
    </row>
    <row r="51" spans="18:44" ht="15" customHeight="1">
      <c r="AD51" s="22"/>
      <c r="AE51" s="23"/>
      <c r="AF51" s="79">
        <v>21</v>
      </c>
      <c r="AG51" s="27" t="str">
        <f t="shared" ref="AG51:AG52" si="26">_xlfn.XLOOKUP(AH51,P:P,O:O,"",0)</f>
        <v/>
      </c>
      <c r="AH51" s="13" t="str" cm="1">
        <f t="array" ref="AH51">IF(COUNTA(AC49:AC50)&lt;2,"Winner of 18",INDEX(_xlfn.SORTBY(AA49:AA50,AC49:AC50,-1),1))</f>
        <v>Champix</v>
      </c>
      <c r="AI51" s="13" t="e" cm="1" vm="15">
        <f t="array" aca="1" ref="AI51" ca="1">_xlfn.XLOOKUP(AH51,Registration[Nickname],_FV(Registration[Country],"Image"))</f>
        <v>#VALUE!</v>
      </c>
      <c r="AJ51" s="3">
        <v>4</v>
      </c>
      <c r="AK51" s="23"/>
      <c r="AL51" s="24"/>
      <c r="AM51" s="79">
        <v>26</v>
      </c>
      <c r="AN51" s="27" t="str">
        <f t="shared" ref="AN51:AN52" si="27">_xlfn.XLOOKUP(AO51,W:W,V:V,"",0)</f>
        <v/>
      </c>
      <c r="AO51" s="13" t="str" cm="1">
        <f t="array" ref="AO51">IF(COUNTA(AJ27:AJ28)&lt;2,"Loser of 24",INDEX(_xlfn.SORTBY(AH27:AH28,AJ27:AJ28,1),1))</f>
        <v>Lafungo</v>
      </c>
      <c r="AP51" s="13" t="e" cm="1" vm="14">
        <f t="array" aca="1" ref="AP51" ca="1">_xlfn.XLOOKUP(AO51,Registration[Nickname],_FV(Registration[Country],"Image"))</f>
        <v>#VALUE!</v>
      </c>
      <c r="AQ51" s="3">
        <v>0</v>
      </c>
      <c r="AR51" s="24"/>
    </row>
    <row r="52" spans="18:44" ht="15" customHeight="1">
      <c r="AD52" s="22"/>
      <c r="AF52" s="80"/>
      <c r="AG52" s="27" t="str">
        <f t="shared" si="26"/>
        <v/>
      </c>
      <c r="AH52" s="13" t="str" cm="1">
        <f t="array" ref="AH52">IF(COUNTA(AC53:AC54)&lt;2,"Winner of 17",INDEX(_xlfn.SORTBY(AA53:AA54,AC53:AC54,-1),1))</f>
        <v>Takashi</v>
      </c>
      <c r="AI52" s="13" t="e" cm="1" vm="16">
        <f t="array" aca="1" ref="AI52" ca="1">_xlfn.XLOOKUP(AH52,Registration[Nickname],_FV(Registration[Country],"Image"))</f>
        <v>#VALUE!</v>
      </c>
      <c r="AJ52" s="3">
        <v>7</v>
      </c>
      <c r="AM52" s="80"/>
      <c r="AN52" s="27" t="str">
        <f t="shared" si="27"/>
        <v/>
      </c>
      <c r="AO52" s="13" t="str" cm="1">
        <f t="array" ref="AO52">IF(COUNTA(AJ51:AJ52)&lt;2,"Winner of 21",INDEX(_xlfn.SORTBY(AH51:AH52,AJ51:AJ52,-1),1))</f>
        <v>Takashi</v>
      </c>
      <c r="AP52" s="13" t="e" cm="1" vm="16">
        <f t="array" aca="1" ref="AP52" ca="1">_xlfn.XLOOKUP(AO52,Registration[Nickname],_FV(Registration[Country],"Image"))</f>
        <v>#VALUE!</v>
      </c>
      <c r="AQ52" s="3">
        <v>7</v>
      </c>
    </row>
    <row r="53" spans="18:44" ht="15" customHeight="1">
      <c r="R53" s="79">
        <v>12</v>
      </c>
      <c r="S53" s="27">
        <f t="shared" ref="S53:S54" si="28">_xlfn.XLOOKUP(T53,B:B,A:A,"",0)</f>
        <v>14</v>
      </c>
      <c r="T53" s="13" t="str" cm="1">
        <f t="array" ref="T53">IF(COUNTA(V29:V30)&lt;2,"Loser of 7",INDEX(_xlfn.SORTBY(T29:T30,V29:V30,1),1))</f>
        <v>Leyla</v>
      </c>
      <c r="U53" s="13" t="e" cm="1" vm="13">
        <f t="array" aca="1" ref="U53" ca="1">_xlfn.XLOOKUP(T53,Registration[Nickname],_FV(Registration[Country],"Image"))</f>
        <v>#VALUE!</v>
      </c>
      <c r="V53" s="3">
        <v>5</v>
      </c>
      <c r="W53" s="23"/>
      <c r="X53" s="24"/>
      <c r="Y53" s="79">
        <v>17</v>
      </c>
      <c r="Z53" s="27" t="str">
        <f t="shared" ref="Z53:Z54" si="29">_xlfn.XLOOKUP(AA53,I:I,H:H,"",0)</f>
        <v/>
      </c>
      <c r="AA53" s="13" t="str" cm="1">
        <f t="array" ref="AA53">IF(COUNTA(AC7:AC8)&lt;2,"Loser of 13",INDEX(_xlfn.SORTBY(AA7:AA8,AC7:AC8,1),1))</f>
        <v>Takashi</v>
      </c>
      <c r="AB53" s="13" t="e" cm="1" vm="16">
        <f t="array" aca="1" ref="AB53" ca="1">_xlfn.XLOOKUP(AA53,Registration[Nickname],_FV(Registration[Country],"Image"))</f>
        <v>#VALUE!</v>
      </c>
      <c r="AC53" s="3">
        <v>5</v>
      </c>
      <c r="AD53" s="24"/>
    </row>
    <row r="54" spans="18:44" ht="15" customHeight="1">
      <c r="R54" s="80"/>
      <c r="S54" s="27">
        <f t="shared" si="28"/>
        <v>11</v>
      </c>
      <c r="T54" s="13" t="str" cm="1">
        <f t="array" ref="T54">IF(COUNTA(V33:V34)&lt;2,"Loser of 8",INDEX(_xlfn.SORTBY(T33:T34,V33:V34,1),1))</f>
        <v>Moll</v>
      </c>
      <c r="U54" s="13" t="e" cm="1" vm="13">
        <f t="array" aca="1" ref="U54" ca="1">_xlfn.XLOOKUP(T54,Registration[Nickname],_FV(Registration[Country],"Image"))</f>
        <v>#VALUE!</v>
      </c>
      <c r="V54" s="3">
        <v>0</v>
      </c>
      <c r="Y54" s="80"/>
      <c r="Z54" s="27" t="str">
        <f t="shared" si="29"/>
        <v/>
      </c>
      <c r="AA54" s="13" t="str" cm="1">
        <f t="array" ref="AA54">IF(COUNTA(V53:V54)&lt;2,"Winner of B112",INDEX(_xlfn.SORTBY(T53:T54,V53:V54,-1),1))</f>
        <v>Leyla</v>
      </c>
      <c r="AB54" s="13" t="e" cm="1" vm="13">
        <f t="array" aca="1" ref="AB54" ca="1">_xlfn.XLOOKUP(AA54,Registration[Nickname],_FV(Registration[Country],"Image"))</f>
        <v>#VALUE!</v>
      </c>
      <c r="AC54" s="3">
        <v>0</v>
      </c>
    </row>
  </sheetData>
  <mergeCells count="75">
    <mergeCell ref="AM19:AM20"/>
    <mergeCell ref="Y23:Y24"/>
    <mergeCell ref="R25:R26"/>
    <mergeCell ref="D1:H1"/>
    <mergeCell ref="E2:H3"/>
    <mergeCell ref="K1:O1"/>
    <mergeCell ref="L2:O3"/>
    <mergeCell ref="S2:V3"/>
    <mergeCell ref="R5:R6"/>
    <mergeCell ref="R1:V1"/>
    <mergeCell ref="Y7:Y8"/>
    <mergeCell ref="R9:R10"/>
    <mergeCell ref="D13:D14"/>
    <mergeCell ref="D21:D22"/>
    <mergeCell ref="D5:D6"/>
    <mergeCell ref="K5:K6"/>
    <mergeCell ref="Z38:AC39"/>
    <mergeCell ref="AG38:AJ39"/>
    <mergeCell ref="Y15:Y16"/>
    <mergeCell ref="R29:R30"/>
    <mergeCell ref="AF27:AF28"/>
    <mergeCell ref="S38:V39"/>
    <mergeCell ref="K13:K14"/>
    <mergeCell ref="K21:K22"/>
    <mergeCell ref="R13:R14"/>
    <mergeCell ref="R17:R18"/>
    <mergeCell ref="R21:R22"/>
    <mergeCell ref="AT47:AT48"/>
    <mergeCell ref="BA47:BA48"/>
    <mergeCell ref="AN38:AQ39"/>
    <mergeCell ref="AU38:AX39"/>
    <mergeCell ref="BA1:BE1"/>
    <mergeCell ref="AM37:AQ37"/>
    <mergeCell ref="AT37:AX37"/>
    <mergeCell ref="BA37:BE37"/>
    <mergeCell ref="AT19:AT20"/>
    <mergeCell ref="BA19:BA20"/>
    <mergeCell ref="AM1:AQ1"/>
    <mergeCell ref="AT1:AX1"/>
    <mergeCell ref="AN2:AQ3"/>
    <mergeCell ref="AU2:AX3"/>
    <mergeCell ref="BB2:BE3"/>
    <mergeCell ref="BB38:BE39"/>
    <mergeCell ref="R53:R54"/>
    <mergeCell ref="Y53:Y54"/>
    <mergeCell ref="AF43:AF44"/>
    <mergeCell ref="AF51:AF52"/>
    <mergeCell ref="AM51:AM52"/>
    <mergeCell ref="R45:R46"/>
    <mergeCell ref="Y41:Y42"/>
    <mergeCell ref="Y45:Y46"/>
    <mergeCell ref="AM43:AM44"/>
    <mergeCell ref="R49:R50"/>
    <mergeCell ref="Y49:Y50"/>
    <mergeCell ref="Y1:AC1"/>
    <mergeCell ref="A1:B1"/>
    <mergeCell ref="BG1:BI1"/>
    <mergeCell ref="R41:R42"/>
    <mergeCell ref="R37:V37"/>
    <mergeCell ref="Y37:AC37"/>
    <mergeCell ref="AF37:AJ37"/>
    <mergeCell ref="AG2:AJ3"/>
    <mergeCell ref="Z2:AC3"/>
    <mergeCell ref="Y31:Y32"/>
    <mergeCell ref="R33:R34"/>
    <mergeCell ref="D29:D30"/>
    <mergeCell ref="K29:K30"/>
    <mergeCell ref="AF1:AJ1"/>
    <mergeCell ref="AF11:AF12"/>
    <mergeCell ref="BG23:BG26"/>
    <mergeCell ref="BG7:BG8"/>
    <mergeCell ref="BG9:BG10"/>
    <mergeCell ref="BG11:BG14"/>
    <mergeCell ref="BG15:BG18"/>
    <mergeCell ref="BG19:BG22"/>
  </mergeCells>
  <phoneticPr fontId="1" type="noConversion"/>
  <conditionalFormatting sqref="A28:Q28">
    <cfRule type="notContainsBlanks" dxfId="135" priority="60">
      <formula>LEN(TRIM(A28))&gt;0</formula>
    </cfRule>
  </conditionalFormatting>
  <conditionalFormatting sqref="B3:B26">
    <cfRule type="notContainsBlanks" dxfId="134" priority="19">
      <formula>LEN(TRIM(B3))&gt;0</formula>
    </cfRule>
  </conditionalFormatting>
  <conditionalFormatting sqref="B27 B29:B1048576">
    <cfRule type="notContainsBlanks" dxfId="133" priority="80">
      <formula>LEN(TRIM(B27))&gt;0</formula>
    </cfRule>
  </conditionalFormatting>
  <conditionalFormatting sqref="F5:G6 M5:N6">
    <cfRule type="notContainsBlanks" dxfId="132" priority="55">
      <formula>LEN(TRIM(F5))&gt;0</formula>
    </cfRule>
  </conditionalFormatting>
  <conditionalFormatting sqref="F13:G14">
    <cfRule type="notContainsBlanks" dxfId="131" priority="51">
      <formula>LEN(TRIM(F13))&gt;0</formula>
    </cfRule>
  </conditionalFormatting>
  <conditionalFormatting sqref="F21:G22">
    <cfRule type="notContainsBlanks" dxfId="130" priority="50">
      <formula>LEN(TRIM(F21))&gt;0</formula>
    </cfRule>
  </conditionalFormatting>
  <conditionalFormatting sqref="F29:G30">
    <cfRule type="notContainsBlanks" dxfId="129" priority="49">
      <formula>LEN(TRIM(F29))&gt;0</formula>
    </cfRule>
  </conditionalFormatting>
  <conditionalFormatting sqref="M13:N14">
    <cfRule type="notContainsBlanks" dxfId="128" priority="42">
      <formula>LEN(TRIM(M13))&gt;0</formula>
    </cfRule>
  </conditionalFormatting>
  <conditionalFormatting sqref="M21:N22">
    <cfRule type="notContainsBlanks" dxfId="127" priority="41">
      <formula>LEN(TRIM(M21))&gt;0</formula>
    </cfRule>
  </conditionalFormatting>
  <conditionalFormatting sqref="M29:N30">
    <cfRule type="notContainsBlanks" dxfId="126" priority="40">
      <formula>LEN(TRIM(M29))&gt;0</formula>
    </cfRule>
  </conditionalFormatting>
  <conditionalFormatting sqref="T5:U6">
    <cfRule type="notContainsBlanks" dxfId="125" priority="39">
      <formula>LEN(TRIM(T5))&gt;0</formula>
    </cfRule>
  </conditionalFormatting>
  <conditionalFormatting sqref="T9:U10 T17:U18 T25:U26 T33:U34">
    <cfRule type="notContainsBlanks" dxfId="124" priority="57">
      <formula>LEN(TRIM(T9))&gt;0</formula>
    </cfRule>
  </conditionalFormatting>
  <conditionalFormatting sqref="T13:U14">
    <cfRule type="notContainsBlanks" dxfId="123" priority="38">
      <formula>LEN(TRIM(T13))&gt;0</formula>
    </cfRule>
  </conditionalFormatting>
  <conditionalFormatting sqref="T21:U22">
    <cfRule type="notContainsBlanks" dxfId="122" priority="37">
      <formula>LEN(TRIM(T21))&gt;0</formula>
    </cfRule>
  </conditionalFormatting>
  <conditionalFormatting sqref="T29:U30">
    <cfRule type="notContainsBlanks" dxfId="121" priority="36">
      <formula>LEN(TRIM(T29))&gt;0</formula>
    </cfRule>
  </conditionalFormatting>
  <conditionalFormatting sqref="T41:U42">
    <cfRule type="notContainsBlanks" dxfId="120" priority="23">
      <formula>LEN(TRIM(T41))&gt;0</formula>
    </cfRule>
  </conditionalFormatting>
  <conditionalFormatting sqref="T45:U46">
    <cfRule type="notContainsBlanks" dxfId="119" priority="22">
      <formula>LEN(TRIM(T45))&gt;0</formula>
    </cfRule>
  </conditionalFormatting>
  <conditionalFormatting sqref="T49:U50">
    <cfRule type="notContainsBlanks" dxfId="118" priority="21">
      <formula>LEN(TRIM(T49))&gt;0</formula>
    </cfRule>
  </conditionalFormatting>
  <conditionalFormatting sqref="T53:U54">
    <cfRule type="notContainsBlanks" dxfId="117" priority="20">
      <formula>LEN(TRIM(T53))&gt;0</formula>
    </cfRule>
  </conditionalFormatting>
  <conditionalFormatting sqref="AA7:AB8">
    <cfRule type="notContainsBlanks" dxfId="116" priority="35">
      <formula>LEN(TRIM(AA7))&gt;0</formula>
    </cfRule>
  </conditionalFormatting>
  <conditionalFormatting sqref="AA15:AB16">
    <cfRule type="notContainsBlanks" dxfId="115" priority="34">
      <formula>LEN(TRIM(AA15))&gt;0</formula>
    </cfRule>
  </conditionalFormatting>
  <conditionalFormatting sqref="AA23:AB24">
    <cfRule type="notContainsBlanks" dxfId="114" priority="33">
      <formula>LEN(TRIM(AA23))&gt;0</formula>
    </cfRule>
  </conditionalFormatting>
  <conditionalFormatting sqref="AA31:AB32">
    <cfRule type="notContainsBlanks" dxfId="113" priority="32">
      <formula>LEN(TRIM(AA31))&gt;0</formula>
    </cfRule>
  </conditionalFormatting>
  <conditionalFormatting sqref="AA41:AB42">
    <cfRule type="notContainsBlanks" dxfId="112" priority="14">
      <formula>LEN(TRIM(AA41))&gt;0</formula>
    </cfRule>
  </conditionalFormatting>
  <conditionalFormatting sqref="AA45:AB46">
    <cfRule type="notContainsBlanks" dxfId="111" priority="13">
      <formula>LEN(TRIM(AA45))&gt;0</formula>
    </cfRule>
  </conditionalFormatting>
  <conditionalFormatting sqref="AA49:AB50">
    <cfRule type="notContainsBlanks" dxfId="110" priority="12">
      <formula>LEN(TRIM(AA49))&gt;0</formula>
    </cfRule>
  </conditionalFormatting>
  <conditionalFormatting sqref="AA53:AB54">
    <cfRule type="notContainsBlanks" dxfId="109" priority="11">
      <formula>LEN(TRIM(AA53))&gt;0</formula>
    </cfRule>
  </conditionalFormatting>
  <conditionalFormatting sqref="AH11:AI12">
    <cfRule type="notContainsBlanks" dxfId="108" priority="30">
      <formula>LEN(TRIM(AH11))&gt;0</formula>
    </cfRule>
  </conditionalFormatting>
  <conditionalFormatting sqref="AH27:AI28">
    <cfRule type="notContainsBlanks" dxfId="107" priority="28">
      <formula>LEN(TRIM(AH27))&gt;0</formula>
    </cfRule>
  </conditionalFormatting>
  <conditionalFormatting sqref="AH43:AI44">
    <cfRule type="notContainsBlanks" dxfId="106" priority="10">
      <formula>LEN(TRIM(AH43))&gt;0</formula>
    </cfRule>
  </conditionalFormatting>
  <conditionalFormatting sqref="AH51:AI52">
    <cfRule type="notContainsBlanks" dxfId="105" priority="8">
      <formula>LEN(TRIM(AH51))&gt;0</formula>
    </cfRule>
  </conditionalFormatting>
  <conditionalFormatting sqref="AO19:AP20">
    <cfRule type="notContainsBlanks" dxfId="104" priority="27">
      <formula>LEN(TRIM(AO19))&gt;0</formula>
    </cfRule>
  </conditionalFormatting>
  <conditionalFormatting sqref="AO43:AP44">
    <cfRule type="notContainsBlanks" dxfId="103" priority="7">
      <formula>LEN(TRIM(AO43))&gt;0</formula>
    </cfRule>
  </conditionalFormatting>
  <conditionalFormatting sqref="AO51:AP52">
    <cfRule type="notContainsBlanks" dxfId="102" priority="5">
      <formula>LEN(TRIM(AO51))&gt;0</formula>
    </cfRule>
  </conditionalFormatting>
  <conditionalFormatting sqref="AV19:AW20">
    <cfRule type="notContainsBlanks" dxfId="101" priority="26">
      <formula>LEN(TRIM(AV19))&gt;0</formula>
    </cfRule>
  </conditionalFormatting>
  <conditionalFormatting sqref="AV47:AW48">
    <cfRule type="notContainsBlanks" dxfId="100" priority="4">
      <formula>LEN(TRIM(AV47))&gt;0</formula>
    </cfRule>
  </conditionalFormatting>
  <conditionalFormatting sqref="BC19:BD20">
    <cfRule type="notContainsBlanks" dxfId="99" priority="25">
      <formula>LEN(TRIM(BC19))&gt;0</formula>
    </cfRule>
  </conditionalFormatting>
  <conditionalFormatting sqref="BC47:BD48">
    <cfRule type="notContainsBlanks" dxfId="98" priority="2">
      <formula>LEN(TRIM(BC47))&gt;0</formula>
    </cfRule>
  </conditionalFormatting>
  <conditionalFormatting sqref="BH3:BI26">
    <cfRule type="notContainsBlanks" dxfId="97" priority="1">
      <formula>LEN(TRIM(BH3))&gt;0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F6EE3-8E78-483E-B88E-819C1577EACE}">
  <sheetPr codeName="Sheet14">
    <tabColor rgb="FF0070C0"/>
  </sheetPr>
  <dimension ref="A1:AT768"/>
  <sheetViews>
    <sheetView zoomScaleNormal="100" workbookViewId="0">
      <selection activeCell="Y2" sqref="Y2"/>
    </sheetView>
  </sheetViews>
  <sheetFormatPr defaultColWidth="5.5703125" defaultRowHeight="12.75"/>
  <cols>
    <col min="1" max="1" width="3.28515625" style="1" bestFit="1" customWidth="1"/>
    <col min="2" max="2" width="12.42578125" style="1" bestFit="1" customWidth="1"/>
    <col min="3" max="3" width="8.28515625" style="1" bestFit="1" customWidth="1"/>
    <col min="4" max="4" width="5.7109375" style="1" customWidth="1"/>
    <col min="5" max="5" width="6.42578125" style="1" bestFit="1" customWidth="1"/>
    <col min="6" max="6" width="8.28515625" style="1" bestFit="1" customWidth="1"/>
    <col min="7" max="7" width="15.7109375" style="1" customWidth="1"/>
    <col min="8" max="8" width="8.42578125" style="1" bestFit="1" customWidth="1"/>
    <col min="9" max="14" width="4.7109375" style="1" customWidth="1"/>
    <col min="15" max="15" width="6.7109375" style="1" bestFit="1" customWidth="1"/>
    <col min="16" max="16" width="4.42578125" style="1" bestFit="1" customWidth="1"/>
    <col min="17" max="17" width="6.28515625" style="1" bestFit="1" customWidth="1"/>
    <col min="18" max="18" width="1" style="1" customWidth="1"/>
    <col min="19" max="19" width="6.7109375" style="4" bestFit="1" customWidth="1"/>
    <col min="20" max="20" width="5.28515625" style="4" bestFit="1" customWidth="1"/>
    <col min="21" max="21" width="6.85546875" style="4" bestFit="1" customWidth="1"/>
    <col min="22" max="22" width="12.42578125" style="4" bestFit="1" customWidth="1"/>
    <col min="23" max="23" width="5.7109375" style="4" customWidth="1"/>
    <col min="24" max="24" width="1.85546875" style="4" bestFit="1" customWidth="1"/>
    <col min="25" max="25" width="5.7109375" style="4" customWidth="1"/>
    <col min="26" max="26" width="12.42578125" style="4" bestFit="1" customWidth="1"/>
    <col min="27" max="27" width="6.85546875" style="4" bestFit="1" customWidth="1"/>
    <col min="28" max="31" width="8.5703125" style="4" bestFit="1" customWidth="1"/>
    <col min="32" max="32" width="2.7109375" style="1" hidden="1" customWidth="1"/>
    <col min="33" max="34" width="2" style="1" hidden="1" customWidth="1"/>
    <col min="35" max="35" width="1.28515625" style="1" customWidth="1"/>
    <col min="36" max="36" width="3.28515625" style="1" bestFit="1" customWidth="1"/>
    <col min="37" max="37" width="12.42578125" style="1" bestFit="1" customWidth="1"/>
    <col min="38" max="38" width="6.7109375" style="1" bestFit="1" customWidth="1"/>
    <col min="39" max="39" width="6.28515625" style="1" bestFit="1" customWidth="1"/>
    <col min="40" max="40" width="1.42578125" style="1" customWidth="1"/>
    <col min="41" max="41" width="5.5703125" style="1"/>
    <col min="42" max="42" width="12.42578125" style="1" bestFit="1" customWidth="1"/>
    <col min="43" max="43" width="6.5703125" style="1" bestFit="1" customWidth="1"/>
    <col min="44" max="16384" width="5.5703125" style="1"/>
  </cols>
  <sheetData>
    <row r="1" spans="1:44">
      <c r="A1" s="59" t="s">
        <v>0</v>
      </c>
      <c r="B1" s="59" t="s">
        <v>330</v>
      </c>
      <c r="C1" s="59" t="s">
        <v>219</v>
      </c>
      <c r="E1" s="59" t="s">
        <v>331</v>
      </c>
      <c r="F1" s="59" t="s">
        <v>219</v>
      </c>
      <c r="G1" s="59" t="s">
        <v>1</v>
      </c>
      <c r="H1" s="59" t="s">
        <v>3</v>
      </c>
      <c r="I1" s="59" t="s">
        <v>332</v>
      </c>
      <c r="J1" s="59" t="s">
        <v>333</v>
      </c>
      <c r="K1" s="59" t="s">
        <v>334</v>
      </c>
      <c r="L1" s="59" t="s">
        <v>335</v>
      </c>
      <c r="M1" s="59" t="s">
        <v>336</v>
      </c>
      <c r="N1" s="59" t="s">
        <v>337</v>
      </c>
      <c r="O1" s="59" t="s">
        <v>224</v>
      </c>
      <c r="P1" s="59" t="s">
        <v>338</v>
      </c>
      <c r="Q1" s="59" t="s">
        <v>220</v>
      </c>
      <c r="S1" s="58" t="s">
        <v>339</v>
      </c>
      <c r="T1" s="58" t="s">
        <v>340</v>
      </c>
      <c r="U1" s="58" t="s">
        <v>341</v>
      </c>
      <c r="V1" s="58" t="s">
        <v>1</v>
      </c>
      <c r="W1" s="69" t="s">
        <v>220</v>
      </c>
      <c r="X1" s="70"/>
      <c r="Y1" s="71"/>
      <c r="Z1" s="58" t="s">
        <v>1</v>
      </c>
      <c r="AA1" s="58" t="s">
        <v>341</v>
      </c>
      <c r="AB1" s="58" t="s">
        <v>225</v>
      </c>
      <c r="AC1" s="58" t="s">
        <v>228</v>
      </c>
      <c r="AD1" s="58" t="s">
        <v>230</v>
      </c>
      <c r="AE1" s="58" t="s">
        <v>232</v>
      </c>
      <c r="AF1" s="1" t="s">
        <v>333</v>
      </c>
      <c r="AG1" s="1" t="s">
        <v>334</v>
      </c>
      <c r="AH1" s="1" t="s">
        <v>335</v>
      </c>
      <c r="AJ1" s="59" t="s">
        <v>0</v>
      </c>
      <c r="AK1" s="59" t="s">
        <v>1</v>
      </c>
      <c r="AL1" s="59" t="s">
        <v>224</v>
      </c>
      <c r="AM1" s="59" t="s">
        <v>220</v>
      </c>
      <c r="AO1" s="59" t="s">
        <v>0</v>
      </c>
      <c r="AP1" s="59" t="s">
        <v>1</v>
      </c>
    </row>
    <row r="2" spans="1:44">
      <c r="A2" s="17" cm="1">
        <f t="array" ref="A2:A46">_xlfn.SEQUENCE(ROWS(_xlfn.ANCHORARRAY(B2)))</f>
        <v>1</v>
      </c>
      <c r="B2" s="13" t="str" cm="1">
        <f t="array" ref="B2:B46">_xlfn._xlws.FILTER(Registration[Nickname],Registration[MR]="Yes")</f>
        <v>Ale</v>
      </c>
      <c r="C2" s="13" cm="1">
        <f t="array" ref="C2:C46">_xlfn.XLOOKUP(_xlfn.ANCHORARRAY(B2),Registration[Nickname],Registration[MR Order])</f>
        <v>42</v>
      </c>
      <c r="D2" s="13"/>
      <c r="E2" s="13" t="str" cm="1">
        <f t="array" ref="E2:E47">_xlfn.VSTACK(IF('Main Hub'!Q4&gt;0,IF(_xlfn.SEQUENCE('Main Hub'!Q2/'Main Hub'!Q4),"A"),"X"),IF('Main Hub'!Q4&gt;1,IF(_xlfn.SEQUENCE('Main Hub'!Q2/'Main Hub'!Q4),"B"),"X"),IF('Main Hub'!Q4&gt;2,IF(_xlfn.SEQUENCE('Main Hub'!Q2/'Main Hub'!Q4),"C"),"X"),IF('Main Hub'!Q4&gt;3,IF(_xlfn.SEQUENCE('Main Hub'!Q2/'Main Hub'!Q4),"D"),"X"))</f>
        <v>A</v>
      </c>
      <c r="F2" s="13" cm="1">
        <f t="array" ref="F2:F47">_xlfn.VSTACK(IF('Main Hub'!Q4&gt;0,_xlfn.SEQUENCE('Main Hub'!Q2/'Main Hub'!Q4,1,1,'Main Hub'!Q4),""),IF('Main Hub'!Q4&gt;1,_xlfn.SEQUENCE('Main Hub'!Q2/'Main Hub'!Q4,1,2,'Main Hub'!Q4),""),IF('Main Hub'!Q4&gt;2,_xlfn.SEQUENCE('Main Hub'!Q2/'Main Hub'!Q4,1,3,'Main Hub'!Q4),""),IF('Main Hub'!Q4&gt;3,_xlfn.SEQUENCE('Main Hub'!Q2/'Main Hub'!Q4,1,4,'Main Hub'!Q4),""))</f>
        <v>1</v>
      </c>
      <c r="G2" s="13" t="str" cm="1">
        <f t="array" ref="G2:G47">IFERROR(_xlfn.XLOOKUP(_xlfn.ANCHORARRAY(F2),$C:$C,$B:$B),"")</f>
        <v>Sami</v>
      </c>
      <c r="H2" s="13" t="e" cm="1" vm="13">
        <f t="array" aca="1" ref="H2:H47" ca="1">IFERROR(_xlfn.XLOOKUP(_xlfn.ANCHORARRAY(G2),Registration[Nickname],_FV(Registration[Country],"Image")),"")</f>
        <v>#VALUE!</v>
      </c>
      <c r="I2" s="13" cm="1">
        <f t="array" ref="I2:I47">_xlfn.ANCHORARRAY(J2)+_xlfn.ANCHORARRAY(K2)+_xlfn.ANCHORARRAY(L2)</f>
        <v>15</v>
      </c>
      <c r="J2" s="13" cm="1">
        <f t="array" ref="J2:J47">SUMIF(V:V,_xlfn.ANCHORARRAY(G2),AF:AF)</f>
        <v>15</v>
      </c>
      <c r="K2" s="13" cm="1">
        <f t="array" ref="K2:K47">SUMIF(V:V,_xlfn.ANCHORARRAY(G2),AG:AG)</f>
        <v>0</v>
      </c>
      <c r="L2" s="13" cm="1">
        <f t="array" ref="L2:L47">SUMIF(V:V,_xlfn.ANCHORARRAY(G2),AH:AH)</f>
        <v>0</v>
      </c>
      <c r="M2" s="13" cm="1">
        <f t="array" ref="M2:M47">SUMIF(V:V,_xlfn.ANCHORARRAY(G2),W:W)</f>
        <v>58</v>
      </c>
      <c r="N2" s="13" cm="1">
        <f t="array" ref="N2:N47">SUMIF(V:V,_xlfn.ANCHORARRAY(G2),Y:Y)</f>
        <v>2</v>
      </c>
      <c r="O2" s="13" cm="1">
        <f t="array" ref="O2:O47">_xlfn.ANCHORARRAY(M2)-_xlfn.ANCHORARRAY(N2)</f>
        <v>56</v>
      </c>
      <c r="P2" s="13">
        <v>0</v>
      </c>
      <c r="Q2" s="13" cm="1">
        <f t="array" ref="Q2:Q47">INT(IFERROR(1000*_xlfn.ANCHORARRAY(J2)/_xlfn.ANCHORARRAY(I2)+500*_xlfn.ANCHORARRAY(K2)/_xlfn.ANCHORARRAY(I2),0))</f>
        <v>1000</v>
      </c>
      <c r="S2" s="17">
        <v>1</v>
      </c>
      <c r="T2" s="18"/>
      <c r="U2" s="17">
        <v>2</v>
      </c>
      <c r="V2" s="17" t="s">
        <v>115</v>
      </c>
      <c r="W2" s="18">
        <v>4</v>
      </c>
      <c r="X2" s="18" t="s">
        <v>342</v>
      </c>
      <c r="Y2" s="18">
        <f>IF(W2="","",4-W2)</f>
        <v>0</v>
      </c>
      <c r="Z2" s="17" t="s">
        <v>343</v>
      </c>
      <c r="AA2" s="17">
        <v>1</v>
      </c>
      <c r="AB2" s="17" t="s">
        <v>191</v>
      </c>
      <c r="AC2" s="17" t="s">
        <v>185</v>
      </c>
      <c r="AD2" s="17" t="s">
        <v>206</v>
      </c>
      <c r="AE2" s="17" t="s">
        <v>202</v>
      </c>
      <c r="AF2" s="1">
        <f>IF(W2="",0,IF(W2&gt;Y2,1,0))</f>
        <v>1</v>
      </c>
      <c r="AG2" s="1">
        <f>IF(W2="",0,IF(W2=Y2,1,0))</f>
        <v>0</v>
      </c>
      <c r="AH2" s="1">
        <f>IF(W2="",0,IF(W2&lt;Y2,1,0))</f>
        <v>0</v>
      </c>
      <c r="AJ2" s="17" cm="1">
        <f t="array" ref="AJ2:AJ47">_xlfn.VSTACK(IF('Main Hub'!Q4&gt;0,_xlfn.SEQUENCE('Main Hub'!Q2/'Main Hub'!Q4),""),IF('Main Hub'!Q4&gt;1,_xlfn.SEQUENCE('Main Hub'!Q2/'Main Hub'!Q4),""),IF('Main Hub'!Q4&gt;2,_xlfn.SEQUENCE('Main Hub'!Q2/'Main Hub'!Q4),""),IF('Main Hub'!Q4&gt;3,_xlfn.SEQUENCE('Main Hub'!Q2/'Main Hub'!Q4),""))</f>
        <v>1</v>
      </c>
      <c r="AK2" s="13" t="str" cm="1">
        <f t="array" ref="AK2:AK47">_xlfn.SORTBY(_xlfn.ANCHORARRAY(G2),_xlfn.ANCHORARRAY(E2),1,_xlfn.ANCHORARRAY(Q2),-1,_xlfn.ANCHORARRAY(O2),-1)</f>
        <v>Sami</v>
      </c>
      <c r="AL2" s="13" cm="1">
        <f t="array" ref="AL2:AL47">_xlfn.XLOOKUP(_xlfn.ANCHORARRAY(AK2),_xlfn.ANCHORARRAY(G2),_xlfn.ANCHORARRAY(O2))</f>
        <v>56</v>
      </c>
      <c r="AM2" s="13" cm="1">
        <f t="array" ref="AM2:AM47">_xlfn.XLOOKUP(_xlfn.ANCHORARRAY(AK2),_xlfn.ANCHORARRAY(G2),_xlfn.ANCHORARRAY(Q2))</f>
        <v>1000</v>
      </c>
      <c r="AO2" s="17" cm="1">
        <f t="array" ref="AO2:AO46">_xlfn.SEQUENCE('Main Hub'!Q2)</f>
        <v>1</v>
      </c>
      <c r="AP2" s="13" t="str" cm="1">
        <f t="array" ref="AP2:AP47">IF('Main Hub'!Q4=3,_xlfn.SORTBY(_xlfn.ANCHORARRAY(AK2),_xlfn.ANCHORARRAY(AJ2),1,_xlfn.ANCHORARRAY(AM2),-1,_xlfn.ANCHORARRAY(AL2),-1),_xlfn.SORTBY(_xlfn.ANCHORARRAY(AK2),_xlfn.ANCHORARRAY(AJ2),1))</f>
        <v>Sami</v>
      </c>
      <c r="AQ2" s="13" cm="1">
        <f t="array" ref="AQ2:AQ47">_xlfn.XLOOKUP(_xlfn.ANCHORARRAY(AP2),_xlfn.ANCHORARRAY(G2),_xlfn.ANCHORARRAY(O2))</f>
        <v>56</v>
      </c>
      <c r="AR2" s="13" cm="1">
        <f t="array" ref="AR2:AR47">_xlfn.XLOOKUP(_xlfn.ANCHORARRAY(AP2),_xlfn.ANCHORARRAY(G2),_xlfn.ANCHORARRAY(Q2))</f>
        <v>1000</v>
      </c>
    </row>
    <row r="3" spans="1:44">
      <c r="A3" s="17">
        <v>2</v>
      </c>
      <c r="B3" s="13" t="str">
        <v>Ashley</v>
      </c>
      <c r="C3" s="13">
        <v>29</v>
      </c>
      <c r="D3" s="13"/>
      <c r="E3" s="13" t="str">
        <v>A</v>
      </c>
      <c r="F3" s="13">
        <v>4</v>
      </c>
      <c r="G3" s="13" t="str">
        <v>Jarmou</v>
      </c>
      <c r="H3" s="13" t="e" vm="17">
        <f ca="1"/>
        <v>#VALUE!</v>
      </c>
      <c r="I3" s="13">
        <v>15</v>
      </c>
      <c r="J3" s="13">
        <v>13</v>
      </c>
      <c r="K3" s="13">
        <v>0</v>
      </c>
      <c r="L3" s="13">
        <v>2</v>
      </c>
      <c r="M3" s="13">
        <v>52</v>
      </c>
      <c r="N3" s="13">
        <v>8</v>
      </c>
      <c r="O3" s="13">
        <v>44</v>
      </c>
      <c r="P3" s="13">
        <v>0</v>
      </c>
      <c r="Q3" s="13">
        <v>866</v>
      </c>
      <c r="S3" s="17">
        <v>2</v>
      </c>
      <c r="T3" s="18"/>
      <c r="U3" s="17">
        <v>1</v>
      </c>
      <c r="V3" s="17" t="s">
        <v>115</v>
      </c>
      <c r="W3" s="18">
        <v>4</v>
      </c>
      <c r="X3" s="18" t="s">
        <v>342</v>
      </c>
      <c r="Y3" s="18">
        <f t="shared" ref="Y3:Y16" si="0">IF(W3="","",4-W3)</f>
        <v>0</v>
      </c>
      <c r="Z3" s="17" t="s">
        <v>85</v>
      </c>
      <c r="AA3" s="17">
        <v>2</v>
      </c>
      <c r="AB3" s="17" t="s">
        <v>180</v>
      </c>
      <c r="AC3" s="17" t="s">
        <v>172</v>
      </c>
      <c r="AD3" s="17" t="s">
        <v>200</v>
      </c>
      <c r="AE3" s="17" t="s">
        <v>198</v>
      </c>
      <c r="AF3" s="1">
        <f t="shared" ref="AF3:AF66" si="1">IF(W3="",0,IF(W3&gt;Y3,1,0))</f>
        <v>1</v>
      </c>
      <c r="AG3" s="1">
        <f t="shared" ref="AG3:AG66" si="2">IF(W3="",0,IF(W3=Y3,1,0))</f>
        <v>0</v>
      </c>
      <c r="AH3" s="1">
        <f t="shared" ref="AH3:AH66" si="3">IF(W3="",0,IF(W3&lt;Y3,1,0))</f>
        <v>0</v>
      </c>
      <c r="AJ3" s="17">
        <v>2</v>
      </c>
      <c r="AK3" s="13" t="str">
        <v>Jarmou</v>
      </c>
      <c r="AL3" s="13">
        <v>44</v>
      </c>
      <c r="AM3" s="13">
        <v>866</v>
      </c>
      <c r="AO3" s="17">
        <v>2</v>
      </c>
      <c r="AP3" s="13" t="str">
        <v>Antistar</v>
      </c>
      <c r="AQ3" s="1">
        <v>52</v>
      </c>
      <c r="AR3" s="1">
        <v>1000</v>
      </c>
    </row>
    <row r="4" spans="1:44">
      <c r="A4" s="17">
        <v>3</v>
      </c>
      <c r="B4" s="13" t="str">
        <v>Bluh</v>
      </c>
      <c r="C4" s="13">
        <v>35</v>
      </c>
      <c r="D4" s="13"/>
      <c r="E4" s="13" t="str">
        <v>A</v>
      </c>
      <c r="F4" s="13">
        <v>7</v>
      </c>
      <c r="G4" s="13" t="str">
        <v>JDR</v>
      </c>
      <c r="H4" s="13" t="e" vm="15">
        <f ca="1"/>
        <v>#VALUE!</v>
      </c>
      <c r="I4" s="13">
        <v>15</v>
      </c>
      <c r="J4" s="13">
        <v>13</v>
      </c>
      <c r="K4" s="13">
        <v>0</v>
      </c>
      <c r="L4" s="13">
        <v>2</v>
      </c>
      <c r="M4" s="13">
        <v>49</v>
      </c>
      <c r="N4" s="13">
        <v>11</v>
      </c>
      <c r="O4" s="13">
        <v>38</v>
      </c>
      <c r="P4" s="13">
        <v>0</v>
      </c>
      <c r="Q4" s="13">
        <v>866</v>
      </c>
      <c r="S4" s="17">
        <v>3</v>
      </c>
      <c r="T4" s="18"/>
      <c r="U4" s="17">
        <v>2</v>
      </c>
      <c r="V4" s="17" t="s">
        <v>115</v>
      </c>
      <c r="W4" s="18">
        <v>4</v>
      </c>
      <c r="X4" s="18" t="s">
        <v>342</v>
      </c>
      <c r="Y4" s="18">
        <f t="shared" si="0"/>
        <v>0</v>
      </c>
      <c r="Z4" s="17" t="s">
        <v>33</v>
      </c>
      <c r="AA4" s="17">
        <v>1</v>
      </c>
      <c r="AB4" s="17" t="s">
        <v>176</v>
      </c>
      <c r="AC4" s="17" t="s">
        <v>183</v>
      </c>
      <c r="AD4" s="17" t="s">
        <v>204</v>
      </c>
      <c r="AE4" s="17" t="s">
        <v>212</v>
      </c>
      <c r="AF4" s="1">
        <f t="shared" si="1"/>
        <v>1</v>
      </c>
      <c r="AG4" s="1">
        <f t="shared" si="2"/>
        <v>0</v>
      </c>
      <c r="AH4" s="1">
        <f t="shared" si="3"/>
        <v>0</v>
      </c>
      <c r="AJ4" s="17">
        <v>3</v>
      </c>
      <c r="AK4" s="13" t="str">
        <v>JDR</v>
      </c>
      <c r="AL4" s="13">
        <v>38</v>
      </c>
      <c r="AM4" s="13">
        <v>866</v>
      </c>
      <c r="AO4" s="17">
        <v>3</v>
      </c>
      <c r="AP4" s="13" t="str">
        <v>Takashi</v>
      </c>
      <c r="AQ4" s="1">
        <v>48</v>
      </c>
      <c r="AR4" s="1">
        <v>966</v>
      </c>
    </row>
    <row r="5" spans="1:44">
      <c r="A5" s="17">
        <v>4</v>
      </c>
      <c r="B5" s="13" t="str">
        <v>Zarkov</v>
      </c>
      <c r="C5" s="13">
        <v>18</v>
      </c>
      <c r="D5" s="13"/>
      <c r="E5" s="13" t="str">
        <v>A</v>
      </c>
      <c r="F5" s="13">
        <v>10</v>
      </c>
      <c r="G5" s="13" t="str">
        <v>Onwa</v>
      </c>
      <c r="H5" s="13" t="e" vm="16">
        <f ca="1"/>
        <v>#VALUE!</v>
      </c>
      <c r="I5" s="13">
        <v>15</v>
      </c>
      <c r="J5" s="13">
        <v>13</v>
      </c>
      <c r="K5" s="13">
        <v>0</v>
      </c>
      <c r="L5" s="13">
        <v>2</v>
      </c>
      <c r="M5" s="13">
        <v>48</v>
      </c>
      <c r="N5" s="13">
        <v>12</v>
      </c>
      <c r="O5" s="13">
        <v>36</v>
      </c>
      <c r="P5" s="13">
        <v>0</v>
      </c>
      <c r="Q5" s="13">
        <v>866</v>
      </c>
      <c r="S5" s="17">
        <v>4</v>
      </c>
      <c r="T5" s="18"/>
      <c r="U5" s="17">
        <v>1</v>
      </c>
      <c r="V5" s="17" t="s">
        <v>115</v>
      </c>
      <c r="W5" s="18">
        <v>4</v>
      </c>
      <c r="X5" s="18" t="s">
        <v>342</v>
      </c>
      <c r="Y5" s="18">
        <f t="shared" si="0"/>
        <v>0</v>
      </c>
      <c r="Z5" s="17" t="s">
        <v>109</v>
      </c>
      <c r="AA5" s="17">
        <v>2</v>
      </c>
      <c r="AB5" s="17" t="s">
        <v>196</v>
      </c>
      <c r="AC5" s="17" t="s">
        <v>193</v>
      </c>
      <c r="AD5" s="17" t="s">
        <v>208</v>
      </c>
      <c r="AE5" s="17" t="s">
        <v>164</v>
      </c>
      <c r="AF5" s="1">
        <f t="shared" si="1"/>
        <v>1</v>
      </c>
      <c r="AG5" s="1">
        <f t="shared" si="2"/>
        <v>0</v>
      </c>
      <c r="AH5" s="1">
        <f t="shared" si="3"/>
        <v>0</v>
      </c>
      <c r="AJ5" s="17">
        <v>4</v>
      </c>
      <c r="AK5" s="13" t="str">
        <v>Onwa</v>
      </c>
      <c r="AL5" s="13">
        <v>36</v>
      </c>
      <c r="AM5" s="13">
        <v>866</v>
      </c>
      <c r="AO5" s="17">
        <v>4</v>
      </c>
      <c r="AP5" s="13" t="str">
        <v>Lafungo</v>
      </c>
      <c r="AQ5" s="1">
        <v>50</v>
      </c>
      <c r="AR5" s="1">
        <v>933</v>
      </c>
    </row>
    <row r="6" spans="1:44">
      <c r="A6" s="17">
        <v>5</v>
      </c>
      <c r="B6" s="13" t="str">
        <v>Kasmo</v>
      </c>
      <c r="C6" s="13">
        <v>20</v>
      </c>
      <c r="D6" s="13"/>
      <c r="E6" s="13" t="str">
        <v>A</v>
      </c>
      <c r="F6" s="13">
        <v>13</v>
      </c>
      <c r="G6" s="13" t="str">
        <v>Sumz</v>
      </c>
      <c r="H6" s="13" t="e" vm="18">
        <f ca="1"/>
        <v>#VALUE!</v>
      </c>
      <c r="I6" s="13">
        <v>15</v>
      </c>
      <c r="J6" s="13">
        <v>8</v>
      </c>
      <c r="K6" s="13">
        <v>3</v>
      </c>
      <c r="L6" s="13">
        <v>4</v>
      </c>
      <c r="M6" s="13">
        <v>38</v>
      </c>
      <c r="N6" s="13">
        <v>22</v>
      </c>
      <c r="O6" s="13">
        <v>16</v>
      </c>
      <c r="P6" s="13">
        <v>0</v>
      </c>
      <c r="Q6" s="13">
        <v>633</v>
      </c>
      <c r="S6" s="17">
        <v>5</v>
      </c>
      <c r="T6" s="18"/>
      <c r="U6" s="17">
        <v>1</v>
      </c>
      <c r="V6" s="17" t="s">
        <v>115</v>
      </c>
      <c r="W6" s="18">
        <v>4</v>
      </c>
      <c r="X6" s="18" t="s">
        <v>342</v>
      </c>
      <c r="Y6" s="18">
        <f t="shared" si="0"/>
        <v>0</v>
      </c>
      <c r="Z6" s="17" t="s">
        <v>95</v>
      </c>
      <c r="AA6" s="17">
        <v>2</v>
      </c>
      <c r="AB6" s="17" t="s">
        <v>214</v>
      </c>
      <c r="AC6" s="17" t="s">
        <v>210</v>
      </c>
      <c r="AD6" s="17" t="s">
        <v>187</v>
      </c>
      <c r="AE6" s="17" t="s">
        <v>189</v>
      </c>
      <c r="AF6" s="1">
        <f t="shared" si="1"/>
        <v>1</v>
      </c>
      <c r="AG6" s="1">
        <f t="shared" si="2"/>
        <v>0</v>
      </c>
      <c r="AH6" s="1">
        <f t="shared" si="3"/>
        <v>0</v>
      </c>
      <c r="AJ6" s="17">
        <v>5</v>
      </c>
      <c r="AK6" s="13" t="str">
        <v>Sumz</v>
      </c>
      <c r="AL6" s="13">
        <v>16</v>
      </c>
      <c r="AM6" s="13">
        <v>633</v>
      </c>
      <c r="AO6" s="17">
        <v>5</v>
      </c>
      <c r="AP6" s="13" t="str">
        <v>KVD</v>
      </c>
      <c r="AQ6" s="1">
        <v>48</v>
      </c>
      <c r="AR6" s="1">
        <v>900</v>
      </c>
    </row>
    <row r="7" spans="1:44">
      <c r="A7" s="17">
        <v>6</v>
      </c>
      <c r="B7" s="13" t="str">
        <v>FF</v>
      </c>
      <c r="C7" s="13">
        <v>30</v>
      </c>
      <c r="D7" s="13"/>
      <c r="E7" s="13" t="str">
        <v>A</v>
      </c>
      <c r="F7" s="13">
        <v>16</v>
      </c>
      <c r="G7" s="13" t="str">
        <v>Rub</v>
      </c>
      <c r="H7" s="13" t="e" vm="12">
        <f ca="1"/>
        <v>#VALUE!</v>
      </c>
      <c r="I7" s="13">
        <v>15</v>
      </c>
      <c r="J7" s="13">
        <v>7</v>
      </c>
      <c r="K7" s="13">
        <v>3</v>
      </c>
      <c r="L7" s="13">
        <v>5</v>
      </c>
      <c r="M7" s="13">
        <v>35</v>
      </c>
      <c r="N7" s="13">
        <v>25</v>
      </c>
      <c r="O7" s="13">
        <v>10</v>
      </c>
      <c r="P7" s="13">
        <v>0</v>
      </c>
      <c r="Q7" s="13">
        <v>566</v>
      </c>
      <c r="S7" s="17">
        <v>6</v>
      </c>
      <c r="T7" s="18"/>
      <c r="U7" s="17">
        <v>1</v>
      </c>
      <c r="V7" s="17" t="s">
        <v>115</v>
      </c>
      <c r="W7" s="18">
        <v>4</v>
      </c>
      <c r="X7" s="18" t="s">
        <v>342</v>
      </c>
      <c r="Y7" s="18">
        <f t="shared" si="0"/>
        <v>0</v>
      </c>
      <c r="Z7" s="17" t="s">
        <v>43</v>
      </c>
      <c r="AA7" s="17">
        <v>2</v>
      </c>
      <c r="AB7" s="17" t="s">
        <v>204</v>
      </c>
      <c r="AC7" s="17" t="s">
        <v>210</v>
      </c>
      <c r="AD7" s="17" t="s">
        <v>180</v>
      </c>
      <c r="AE7" s="17" t="s">
        <v>189</v>
      </c>
      <c r="AF7" s="1">
        <f t="shared" si="1"/>
        <v>1</v>
      </c>
      <c r="AG7" s="1">
        <f t="shared" si="2"/>
        <v>0</v>
      </c>
      <c r="AH7" s="1">
        <f t="shared" si="3"/>
        <v>0</v>
      </c>
      <c r="AJ7" s="17">
        <v>6</v>
      </c>
      <c r="AK7" s="13" t="str">
        <v>Narnet</v>
      </c>
      <c r="AL7" s="13">
        <v>12</v>
      </c>
      <c r="AM7" s="13">
        <v>600</v>
      </c>
      <c r="AO7" s="17">
        <v>6</v>
      </c>
      <c r="AP7" s="13" t="str">
        <v>Jarmou</v>
      </c>
      <c r="AQ7" s="1">
        <v>44</v>
      </c>
      <c r="AR7" s="1">
        <v>866</v>
      </c>
    </row>
    <row r="8" spans="1:44">
      <c r="A8" s="17">
        <v>7</v>
      </c>
      <c r="B8" s="13" t="str">
        <v>Danny</v>
      </c>
      <c r="C8" s="13">
        <v>40</v>
      </c>
      <c r="D8" s="13"/>
      <c r="E8" s="13" t="str">
        <v>A</v>
      </c>
      <c r="F8" s="13">
        <v>19</v>
      </c>
      <c r="G8" s="13" t="str">
        <v>Narnet</v>
      </c>
      <c r="H8" s="13" t="e" vm="19">
        <f ca="1"/>
        <v>#VALUE!</v>
      </c>
      <c r="I8" s="13">
        <v>15</v>
      </c>
      <c r="J8" s="13">
        <v>8</v>
      </c>
      <c r="K8" s="13">
        <v>2</v>
      </c>
      <c r="L8" s="13">
        <v>5</v>
      </c>
      <c r="M8" s="13">
        <v>36</v>
      </c>
      <c r="N8" s="13">
        <v>24</v>
      </c>
      <c r="O8" s="13">
        <v>12</v>
      </c>
      <c r="P8" s="13">
        <v>0</v>
      </c>
      <c r="Q8" s="13">
        <v>600</v>
      </c>
      <c r="S8" s="17">
        <v>7</v>
      </c>
      <c r="T8" s="18"/>
      <c r="U8" s="17">
        <v>1</v>
      </c>
      <c r="V8" s="17" t="s">
        <v>115</v>
      </c>
      <c r="W8" s="18">
        <v>4</v>
      </c>
      <c r="X8" s="18" t="s">
        <v>342</v>
      </c>
      <c r="Y8" s="18">
        <f t="shared" si="0"/>
        <v>0</v>
      </c>
      <c r="Z8" s="17" t="s">
        <v>45</v>
      </c>
      <c r="AA8" s="17">
        <v>2</v>
      </c>
      <c r="AB8" s="17" t="s">
        <v>187</v>
      </c>
      <c r="AC8" s="17" t="s">
        <v>206</v>
      </c>
      <c r="AD8" s="17" t="s">
        <v>183</v>
      </c>
      <c r="AE8" s="17" t="s">
        <v>196</v>
      </c>
      <c r="AF8" s="1">
        <f t="shared" si="1"/>
        <v>1</v>
      </c>
      <c r="AG8" s="1">
        <f t="shared" si="2"/>
        <v>0</v>
      </c>
      <c r="AH8" s="1">
        <f t="shared" si="3"/>
        <v>0</v>
      </c>
      <c r="AJ8" s="17">
        <v>7</v>
      </c>
      <c r="AK8" s="13" t="str">
        <v>Rub</v>
      </c>
      <c r="AL8" s="13">
        <v>10</v>
      </c>
      <c r="AM8" s="13">
        <v>566</v>
      </c>
      <c r="AO8" s="17">
        <v>7</v>
      </c>
      <c r="AP8" s="13" t="str">
        <v>Leyla</v>
      </c>
      <c r="AQ8" s="1">
        <v>42</v>
      </c>
      <c r="AR8" s="1">
        <v>866</v>
      </c>
    </row>
    <row r="9" spans="1:44">
      <c r="A9" s="17">
        <v>8</v>
      </c>
      <c r="B9" s="13" t="str">
        <v>Moll</v>
      </c>
      <c r="C9" s="13">
        <v>14</v>
      </c>
      <c r="D9" s="13"/>
      <c r="E9" s="13" t="str">
        <v>A</v>
      </c>
      <c r="F9" s="13">
        <v>22</v>
      </c>
      <c r="G9" s="13" t="str">
        <v>Banana</v>
      </c>
      <c r="H9" s="13" t="e" vm="15">
        <f ca="1"/>
        <v>#VALUE!</v>
      </c>
      <c r="I9" s="13">
        <v>15</v>
      </c>
      <c r="J9" s="13">
        <v>6</v>
      </c>
      <c r="K9" s="13">
        <v>4</v>
      </c>
      <c r="L9" s="13">
        <v>5</v>
      </c>
      <c r="M9" s="13">
        <v>35</v>
      </c>
      <c r="N9" s="13">
        <v>25</v>
      </c>
      <c r="O9" s="13">
        <v>10</v>
      </c>
      <c r="P9" s="13">
        <v>0</v>
      </c>
      <c r="Q9" s="13">
        <v>533</v>
      </c>
      <c r="S9" s="17">
        <v>8</v>
      </c>
      <c r="T9" s="18"/>
      <c r="U9" s="17">
        <v>1</v>
      </c>
      <c r="V9" s="17" t="s">
        <v>115</v>
      </c>
      <c r="W9" s="18">
        <v>4</v>
      </c>
      <c r="X9" s="18" t="s">
        <v>342</v>
      </c>
      <c r="Y9" s="18">
        <f t="shared" si="0"/>
        <v>0</v>
      </c>
      <c r="Z9" s="17" t="s">
        <v>37</v>
      </c>
      <c r="AA9" s="17">
        <v>2</v>
      </c>
      <c r="AB9" s="17" t="s">
        <v>200</v>
      </c>
      <c r="AC9" s="17" t="s">
        <v>198</v>
      </c>
      <c r="AD9" s="17" t="s">
        <v>212</v>
      </c>
      <c r="AE9" s="17" t="s">
        <v>185</v>
      </c>
      <c r="AF9" s="1">
        <f t="shared" si="1"/>
        <v>1</v>
      </c>
      <c r="AG9" s="1">
        <f t="shared" si="2"/>
        <v>0</v>
      </c>
      <c r="AH9" s="1">
        <f t="shared" si="3"/>
        <v>0</v>
      </c>
      <c r="AJ9" s="17">
        <v>8</v>
      </c>
      <c r="AK9" s="13" t="str">
        <v>tif</v>
      </c>
      <c r="AL9" s="13">
        <v>4</v>
      </c>
      <c r="AM9" s="13">
        <v>566</v>
      </c>
      <c r="AO9" s="17">
        <v>8</v>
      </c>
      <c r="AP9" s="13" t="str">
        <v>JDR</v>
      </c>
      <c r="AQ9" s="1">
        <v>38</v>
      </c>
      <c r="AR9" s="1">
        <v>866</v>
      </c>
    </row>
    <row r="10" spans="1:44">
      <c r="A10" s="17">
        <v>9</v>
      </c>
      <c r="B10" s="13" t="str">
        <v>tif</v>
      </c>
      <c r="C10" s="13">
        <v>25</v>
      </c>
      <c r="D10" s="13"/>
      <c r="E10" s="13" t="str">
        <v>A</v>
      </c>
      <c r="F10" s="13">
        <v>25</v>
      </c>
      <c r="G10" s="13" t="str">
        <v>tif</v>
      </c>
      <c r="H10" s="13" t="e" vm="15">
        <f ca="1"/>
        <v>#VALUE!</v>
      </c>
      <c r="I10" s="13">
        <v>15</v>
      </c>
      <c r="J10" s="13">
        <v>8</v>
      </c>
      <c r="K10" s="13">
        <v>1</v>
      </c>
      <c r="L10" s="13">
        <v>6</v>
      </c>
      <c r="M10" s="13">
        <v>32</v>
      </c>
      <c r="N10" s="13">
        <v>28</v>
      </c>
      <c r="O10" s="13">
        <v>4</v>
      </c>
      <c r="P10" s="13">
        <v>0</v>
      </c>
      <c r="Q10" s="13">
        <v>566</v>
      </c>
      <c r="S10" s="17">
        <v>9</v>
      </c>
      <c r="T10" s="18"/>
      <c r="U10" s="17">
        <v>1</v>
      </c>
      <c r="V10" s="17" t="s">
        <v>115</v>
      </c>
      <c r="W10" s="18">
        <v>4</v>
      </c>
      <c r="X10" s="18" t="s">
        <v>342</v>
      </c>
      <c r="Y10" s="18">
        <f t="shared" si="0"/>
        <v>0</v>
      </c>
      <c r="Z10" s="17" t="s">
        <v>101</v>
      </c>
      <c r="AA10" s="17">
        <v>2</v>
      </c>
      <c r="AB10" s="17" t="s">
        <v>202</v>
      </c>
      <c r="AC10" s="17" t="s">
        <v>164</v>
      </c>
      <c r="AD10" s="17" t="s">
        <v>191</v>
      </c>
      <c r="AE10" s="17" t="s">
        <v>176</v>
      </c>
      <c r="AF10" s="1">
        <f t="shared" si="1"/>
        <v>1</v>
      </c>
      <c r="AG10" s="1">
        <f t="shared" si="2"/>
        <v>0</v>
      </c>
      <c r="AH10" s="1">
        <f t="shared" si="3"/>
        <v>0</v>
      </c>
      <c r="AJ10" s="17">
        <v>9</v>
      </c>
      <c r="AK10" s="13" t="str">
        <v>Banana</v>
      </c>
      <c r="AL10" s="13">
        <v>10</v>
      </c>
      <c r="AM10" s="13">
        <v>533</v>
      </c>
      <c r="AO10" s="17">
        <v>9</v>
      </c>
      <c r="AP10" s="13" t="str">
        <v>Geo</v>
      </c>
      <c r="AQ10" s="1">
        <v>36</v>
      </c>
      <c r="AR10" s="1">
        <v>833</v>
      </c>
    </row>
    <row r="11" spans="1:44">
      <c r="A11" s="17">
        <v>10</v>
      </c>
      <c r="B11" s="13" t="str">
        <v>Drew</v>
      </c>
      <c r="C11" s="13">
        <v>9</v>
      </c>
      <c r="D11" s="13"/>
      <c r="E11" s="13" t="str">
        <v>A</v>
      </c>
      <c r="F11" s="13">
        <v>28</v>
      </c>
      <c r="G11" s="13" t="str">
        <v>Lenain</v>
      </c>
      <c r="H11" s="13" t="e" vm="15">
        <f ca="1"/>
        <v>#VALUE!</v>
      </c>
      <c r="I11" s="13">
        <v>15</v>
      </c>
      <c r="J11" s="13">
        <v>6</v>
      </c>
      <c r="K11" s="13">
        <v>3</v>
      </c>
      <c r="L11" s="13">
        <v>6</v>
      </c>
      <c r="M11" s="13">
        <v>30</v>
      </c>
      <c r="N11" s="13">
        <v>30</v>
      </c>
      <c r="O11" s="13">
        <v>0</v>
      </c>
      <c r="P11" s="13">
        <v>0</v>
      </c>
      <c r="Q11" s="13">
        <v>500</v>
      </c>
      <c r="S11" s="17">
        <v>10</v>
      </c>
      <c r="T11" s="18"/>
      <c r="U11" s="17">
        <v>2</v>
      </c>
      <c r="V11" s="17" t="s">
        <v>115</v>
      </c>
      <c r="W11" s="18">
        <v>3</v>
      </c>
      <c r="X11" s="18" t="s">
        <v>342</v>
      </c>
      <c r="Y11" s="18">
        <f t="shared" si="0"/>
        <v>1</v>
      </c>
      <c r="Z11" s="17" t="s">
        <v>117</v>
      </c>
      <c r="AA11" s="17">
        <v>1</v>
      </c>
      <c r="AB11" s="17" t="s">
        <v>172</v>
      </c>
      <c r="AC11" s="17" t="s">
        <v>208</v>
      </c>
      <c r="AD11" s="17" t="s">
        <v>214</v>
      </c>
      <c r="AE11" s="17" t="s">
        <v>193</v>
      </c>
      <c r="AF11" s="1">
        <f t="shared" si="1"/>
        <v>1</v>
      </c>
      <c r="AG11" s="1">
        <f t="shared" si="2"/>
        <v>0</v>
      </c>
      <c r="AH11" s="1">
        <f t="shared" si="3"/>
        <v>0</v>
      </c>
      <c r="AJ11" s="17">
        <v>10</v>
      </c>
      <c r="AK11" s="13" t="str">
        <v>Lenain</v>
      </c>
      <c r="AL11" s="13">
        <v>0</v>
      </c>
      <c r="AM11" s="13">
        <v>500</v>
      </c>
      <c r="AO11" s="17">
        <v>10</v>
      </c>
      <c r="AP11" s="13" t="str">
        <v>Onwa</v>
      </c>
      <c r="AQ11" s="1">
        <v>36</v>
      </c>
      <c r="AR11" s="1">
        <v>866</v>
      </c>
    </row>
    <row r="12" spans="1:44">
      <c r="A12" s="17">
        <v>11</v>
      </c>
      <c r="B12" s="13" t="str">
        <v>Zip</v>
      </c>
      <c r="C12" s="13">
        <v>31</v>
      </c>
      <c r="D12" s="13"/>
      <c r="E12" s="13" t="str">
        <v>A</v>
      </c>
      <c r="F12" s="13">
        <v>31</v>
      </c>
      <c r="G12" s="13" t="str">
        <v>Zip</v>
      </c>
      <c r="H12" s="13" t="e" vm="15">
        <f ca="1"/>
        <v>#VALUE!</v>
      </c>
      <c r="I12" s="13">
        <v>15</v>
      </c>
      <c r="J12" s="13">
        <v>5</v>
      </c>
      <c r="K12" s="13">
        <v>0</v>
      </c>
      <c r="L12" s="13">
        <v>10</v>
      </c>
      <c r="M12" s="13">
        <v>25</v>
      </c>
      <c r="N12" s="13">
        <v>35</v>
      </c>
      <c r="O12" s="13">
        <v>-10</v>
      </c>
      <c r="P12" s="13">
        <v>0</v>
      </c>
      <c r="Q12" s="13">
        <v>333</v>
      </c>
      <c r="S12" s="17">
        <v>11</v>
      </c>
      <c r="T12" s="18"/>
      <c r="U12" s="17">
        <v>2</v>
      </c>
      <c r="V12" s="17" t="s">
        <v>115</v>
      </c>
      <c r="W12" s="18">
        <v>4</v>
      </c>
      <c r="X12" s="18" t="s">
        <v>342</v>
      </c>
      <c r="Y12" s="18">
        <f t="shared" si="0"/>
        <v>0</v>
      </c>
      <c r="Z12" s="17" t="s">
        <v>59</v>
      </c>
      <c r="AA12" s="17">
        <v>1</v>
      </c>
      <c r="AB12" s="17" t="s">
        <v>193</v>
      </c>
      <c r="AC12" s="17" t="s">
        <v>206</v>
      </c>
      <c r="AD12" s="17" t="s">
        <v>172</v>
      </c>
      <c r="AE12" s="17" t="s">
        <v>210</v>
      </c>
      <c r="AF12" s="1">
        <f t="shared" si="1"/>
        <v>1</v>
      </c>
      <c r="AG12" s="1">
        <f t="shared" si="2"/>
        <v>0</v>
      </c>
      <c r="AH12" s="1">
        <f t="shared" si="3"/>
        <v>0</v>
      </c>
      <c r="AJ12" s="17">
        <v>11</v>
      </c>
      <c r="AK12" s="13" t="str">
        <v>Zip</v>
      </c>
      <c r="AL12" s="13">
        <v>-10</v>
      </c>
      <c r="AM12" s="13">
        <v>333</v>
      </c>
      <c r="AO12" s="17">
        <v>11</v>
      </c>
      <c r="AP12" s="13" t="str">
        <v>Moll</v>
      </c>
      <c r="AQ12" s="1">
        <v>32</v>
      </c>
      <c r="AR12" s="1">
        <v>766</v>
      </c>
    </row>
    <row r="13" spans="1:44">
      <c r="A13" s="17">
        <v>12</v>
      </c>
      <c r="B13" s="13" t="str">
        <v>Lenain</v>
      </c>
      <c r="C13" s="13">
        <v>28</v>
      </c>
      <c r="D13" s="13"/>
      <c r="E13" s="13" t="str">
        <v>A</v>
      </c>
      <c r="F13" s="13">
        <v>34</v>
      </c>
      <c r="G13" s="13" t="str">
        <v>Miku</v>
      </c>
      <c r="H13" s="13" t="e" vm="15">
        <f ca="1"/>
        <v>#VALUE!</v>
      </c>
      <c r="I13" s="13">
        <v>15</v>
      </c>
      <c r="J13" s="13">
        <v>3</v>
      </c>
      <c r="K13" s="13">
        <v>1</v>
      </c>
      <c r="L13" s="13">
        <v>11</v>
      </c>
      <c r="M13" s="13">
        <v>14</v>
      </c>
      <c r="N13" s="13">
        <v>46</v>
      </c>
      <c r="O13" s="13">
        <v>-32</v>
      </c>
      <c r="P13" s="13">
        <v>0</v>
      </c>
      <c r="Q13" s="13">
        <v>233</v>
      </c>
      <c r="S13" s="17">
        <v>12</v>
      </c>
      <c r="T13" s="18"/>
      <c r="U13" s="17">
        <v>2</v>
      </c>
      <c r="V13" s="17" t="s">
        <v>115</v>
      </c>
      <c r="W13" s="18">
        <v>4</v>
      </c>
      <c r="X13" s="18" t="s">
        <v>342</v>
      </c>
      <c r="Y13" s="18">
        <f t="shared" si="0"/>
        <v>0</v>
      </c>
      <c r="Z13" s="17" t="s">
        <v>103</v>
      </c>
      <c r="AA13" s="17">
        <v>1</v>
      </c>
      <c r="AB13" s="17" t="s">
        <v>214</v>
      </c>
      <c r="AC13" s="17" t="s">
        <v>180</v>
      </c>
      <c r="AD13" s="17" t="s">
        <v>176</v>
      </c>
      <c r="AE13" s="17" t="s">
        <v>202</v>
      </c>
      <c r="AF13" s="1">
        <f t="shared" si="1"/>
        <v>1</v>
      </c>
      <c r="AG13" s="1">
        <f t="shared" si="2"/>
        <v>0</v>
      </c>
      <c r="AH13" s="1">
        <f t="shared" si="3"/>
        <v>0</v>
      </c>
      <c r="AJ13" s="17">
        <v>12</v>
      </c>
      <c r="AK13" s="13" t="str">
        <v>Miku</v>
      </c>
      <c r="AL13" s="13">
        <v>-32</v>
      </c>
      <c r="AM13" s="13">
        <v>233</v>
      </c>
      <c r="AO13" s="17">
        <v>12</v>
      </c>
      <c r="AP13" s="13" t="str">
        <v>Drew</v>
      </c>
      <c r="AQ13" s="1">
        <v>26</v>
      </c>
      <c r="AR13" s="1">
        <v>700</v>
      </c>
    </row>
    <row r="14" spans="1:44">
      <c r="A14" s="17">
        <v>13</v>
      </c>
      <c r="B14" s="13" t="str">
        <v>Flo</v>
      </c>
      <c r="C14" s="13">
        <v>11</v>
      </c>
      <c r="D14" s="13"/>
      <c r="E14" s="13" t="str">
        <v>A</v>
      </c>
      <c r="F14" s="13">
        <v>37</v>
      </c>
      <c r="G14" s="13" t="str">
        <v>Pie999</v>
      </c>
      <c r="H14" s="13" t="e" vm="15">
        <f ca="1"/>
        <v>#VALUE!</v>
      </c>
      <c r="I14" s="13">
        <v>15</v>
      </c>
      <c r="J14" s="13">
        <v>1</v>
      </c>
      <c r="K14" s="13">
        <v>0</v>
      </c>
      <c r="L14" s="13">
        <v>14</v>
      </c>
      <c r="M14" s="13">
        <v>5</v>
      </c>
      <c r="N14" s="13">
        <v>55</v>
      </c>
      <c r="O14" s="13">
        <v>-50</v>
      </c>
      <c r="P14" s="13">
        <v>0</v>
      </c>
      <c r="Q14" s="13">
        <v>66</v>
      </c>
      <c r="S14" s="17">
        <v>13</v>
      </c>
      <c r="T14" s="18"/>
      <c r="U14" s="17">
        <v>1</v>
      </c>
      <c r="V14" s="17" t="s">
        <v>115</v>
      </c>
      <c r="W14" s="18">
        <v>4</v>
      </c>
      <c r="X14" s="18" t="s">
        <v>342</v>
      </c>
      <c r="Y14" s="18">
        <f t="shared" si="0"/>
        <v>0</v>
      </c>
      <c r="Z14" s="17" t="s">
        <v>67</v>
      </c>
      <c r="AA14" s="17">
        <v>2</v>
      </c>
      <c r="AB14" s="17" t="s">
        <v>183</v>
      </c>
      <c r="AC14" s="17" t="s">
        <v>208</v>
      </c>
      <c r="AD14" s="17" t="s">
        <v>189</v>
      </c>
      <c r="AE14" s="17" t="s">
        <v>196</v>
      </c>
      <c r="AF14" s="1">
        <f t="shared" si="1"/>
        <v>1</v>
      </c>
      <c r="AG14" s="1">
        <f t="shared" si="2"/>
        <v>0</v>
      </c>
      <c r="AH14" s="1">
        <f t="shared" si="3"/>
        <v>0</v>
      </c>
      <c r="AJ14" s="17">
        <v>13</v>
      </c>
      <c r="AK14" s="13" t="str">
        <v>Danny</v>
      </c>
      <c r="AL14" s="13">
        <v>-32</v>
      </c>
      <c r="AM14" s="13">
        <v>233</v>
      </c>
      <c r="AO14" s="17">
        <v>13</v>
      </c>
      <c r="AP14" s="13" t="str">
        <v>Kasmo</v>
      </c>
      <c r="AQ14" s="1">
        <v>28</v>
      </c>
      <c r="AR14" s="1">
        <v>733</v>
      </c>
    </row>
    <row r="15" spans="1:44">
      <c r="A15" s="17">
        <v>14</v>
      </c>
      <c r="B15" s="13" t="str">
        <v>Champix</v>
      </c>
      <c r="C15" s="13">
        <v>15</v>
      </c>
      <c r="D15" s="13"/>
      <c r="E15" s="13" t="str">
        <v>A</v>
      </c>
      <c r="F15" s="13">
        <v>40</v>
      </c>
      <c r="G15" s="13" t="str">
        <v>Danny</v>
      </c>
      <c r="H15" s="13" t="e" vm="21">
        <f ca="1"/>
        <v>#VALUE!</v>
      </c>
      <c r="I15" s="13">
        <v>15</v>
      </c>
      <c r="J15" s="13">
        <v>3</v>
      </c>
      <c r="K15" s="13">
        <v>1</v>
      </c>
      <c r="L15" s="13">
        <v>11</v>
      </c>
      <c r="M15" s="13">
        <v>14</v>
      </c>
      <c r="N15" s="13">
        <v>46</v>
      </c>
      <c r="O15" s="13">
        <v>-32</v>
      </c>
      <c r="P15" s="13">
        <v>0</v>
      </c>
      <c r="Q15" s="13">
        <v>233</v>
      </c>
      <c r="S15" s="17">
        <v>14</v>
      </c>
      <c r="T15" s="18"/>
      <c r="U15" s="17">
        <v>2</v>
      </c>
      <c r="V15" s="17" t="s">
        <v>115</v>
      </c>
      <c r="W15" s="18">
        <v>4</v>
      </c>
      <c r="X15" s="18" t="s">
        <v>342</v>
      </c>
      <c r="Y15" s="18">
        <f t="shared" si="0"/>
        <v>0</v>
      </c>
      <c r="Z15" s="17" t="s">
        <v>71</v>
      </c>
      <c r="AA15" s="17">
        <v>1</v>
      </c>
      <c r="AB15" s="17" t="s">
        <v>204</v>
      </c>
      <c r="AC15" s="17" t="s">
        <v>185</v>
      </c>
      <c r="AD15" s="17" t="s">
        <v>164</v>
      </c>
      <c r="AE15" s="17" t="s">
        <v>187</v>
      </c>
      <c r="AF15" s="1">
        <f t="shared" si="1"/>
        <v>1</v>
      </c>
      <c r="AG15" s="1">
        <f t="shared" si="2"/>
        <v>0</v>
      </c>
      <c r="AH15" s="1">
        <f t="shared" si="3"/>
        <v>0</v>
      </c>
      <c r="AJ15" s="17">
        <v>14</v>
      </c>
      <c r="AK15" s="13" t="str">
        <v>Lio</v>
      </c>
      <c r="AL15" s="13">
        <v>-42</v>
      </c>
      <c r="AM15" s="13">
        <v>133</v>
      </c>
      <c r="AO15" s="17">
        <v>14</v>
      </c>
      <c r="AP15" s="13" t="str">
        <v>Champix</v>
      </c>
      <c r="AQ15" s="1">
        <v>22</v>
      </c>
      <c r="AR15" s="1">
        <v>700</v>
      </c>
    </row>
    <row r="16" spans="1:44">
      <c r="A16" s="17">
        <v>15</v>
      </c>
      <c r="B16" s="13" t="str">
        <v>Franck</v>
      </c>
      <c r="C16" s="13">
        <v>17</v>
      </c>
      <c r="D16" s="13"/>
      <c r="E16" s="13" t="str">
        <v>A</v>
      </c>
      <c r="F16" s="13">
        <v>43</v>
      </c>
      <c r="G16" s="13" t="str">
        <v>Lio</v>
      </c>
      <c r="H16" s="13" t="e" vm="17">
        <f ca="1"/>
        <v>#VALUE!</v>
      </c>
      <c r="I16" s="13">
        <v>15</v>
      </c>
      <c r="J16" s="13">
        <v>2</v>
      </c>
      <c r="K16" s="13">
        <v>0</v>
      </c>
      <c r="L16" s="13">
        <v>13</v>
      </c>
      <c r="M16" s="13">
        <v>9</v>
      </c>
      <c r="N16" s="13">
        <v>51</v>
      </c>
      <c r="O16" s="13">
        <v>-42</v>
      </c>
      <c r="P16" s="13">
        <v>0</v>
      </c>
      <c r="Q16" s="13">
        <v>133</v>
      </c>
      <c r="S16" s="17">
        <v>15</v>
      </c>
      <c r="T16" s="18"/>
      <c r="U16" s="17">
        <v>1</v>
      </c>
      <c r="V16" s="17" t="s">
        <v>115</v>
      </c>
      <c r="W16" s="18">
        <v>3</v>
      </c>
      <c r="X16" s="18" t="s">
        <v>342</v>
      </c>
      <c r="Y16" s="18">
        <f t="shared" si="0"/>
        <v>1</v>
      </c>
      <c r="Z16" s="17" t="s">
        <v>121</v>
      </c>
      <c r="AA16" s="17">
        <v>2</v>
      </c>
      <c r="AB16" s="17" t="s">
        <v>198</v>
      </c>
      <c r="AC16" s="17" t="s">
        <v>212</v>
      </c>
      <c r="AD16" s="17" t="s">
        <v>200</v>
      </c>
      <c r="AE16" s="17" t="s">
        <v>191</v>
      </c>
      <c r="AF16" s="1">
        <f t="shared" si="1"/>
        <v>1</v>
      </c>
      <c r="AG16" s="1">
        <f t="shared" si="2"/>
        <v>0</v>
      </c>
      <c r="AH16" s="1">
        <f t="shared" si="3"/>
        <v>0</v>
      </c>
      <c r="AJ16" s="17">
        <v>15</v>
      </c>
      <c r="AK16" s="13" t="str">
        <v>Pie999</v>
      </c>
      <c r="AL16" s="13">
        <v>-50</v>
      </c>
      <c r="AM16" s="13">
        <v>66</v>
      </c>
      <c r="AO16" s="17">
        <v>15</v>
      </c>
      <c r="AP16" s="13" t="str">
        <v>Sumz</v>
      </c>
      <c r="AQ16" s="1">
        <v>16</v>
      </c>
      <c r="AR16" s="1">
        <v>633</v>
      </c>
    </row>
    <row r="17" spans="1:46">
      <c r="A17" s="17">
        <v>16</v>
      </c>
      <c r="B17" s="13" t="str">
        <v>L'escargot</v>
      </c>
      <c r="C17" s="13">
        <v>38</v>
      </c>
      <c r="D17" s="13"/>
      <c r="E17" s="13" t="str">
        <v>B</v>
      </c>
      <c r="F17" s="13">
        <v>2</v>
      </c>
      <c r="G17" s="13" t="str">
        <v>Lafungo</v>
      </c>
      <c r="H17" s="13" t="e" vm="14">
        <f ca="1"/>
        <v>#VALUE!</v>
      </c>
      <c r="I17" s="13">
        <v>15</v>
      </c>
      <c r="J17" s="13">
        <v>14</v>
      </c>
      <c r="K17" s="13">
        <v>0</v>
      </c>
      <c r="L17" s="13">
        <v>1</v>
      </c>
      <c r="M17" s="13">
        <v>55</v>
      </c>
      <c r="N17" s="13">
        <v>5</v>
      </c>
      <c r="O17" s="13">
        <v>50</v>
      </c>
      <c r="P17" s="13">
        <v>0</v>
      </c>
      <c r="Q17" s="13">
        <v>933</v>
      </c>
      <c r="S17" s="58" t="s">
        <v>339</v>
      </c>
      <c r="T17" s="58" t="s">
        <v>340</v>
      </c>
      <c r="U17" s="58" t="s">
        <v>341</v>
      </c>
      <c r="V17" s="58" t="s">
        <v>1</v>
      </c>
      <c r="W17" s="69" t="s">
        <v>220</v>
      </c>
      <c r="X17" s="70"/>
      <c r="Y17" s="71"/>
      <c r="Z17" s="58" t="s">
        <v>1</v>
      </c>
      <c r="AA17" s="58" t="s">
        <v>341</v>
      </c>
      <c r="AB17" s="58" t="s">
        <v>225</v>
      </c>
      <c r="AC17" s="58" t="s">
        <v>228</v>
      </c>
      <c r="AD17" s="58" t="s">
        <v>230</v>
      </c>
      <c r="AE17" s="58" t="s">
        <v>232</v>
      </c>
      <c r="AF17" s="1">
        <f t="shared" si="1"/>
        <v>1</v>
      </c>
      <c r="AG17" s="1">
        <f t="shared" si="2"/>
        <v>0</v>
      </c>
      <c r="AH17" s="1">
        <f t="shared" si="3"/>
        <v>0</v>
      </c>
      <c r="AJ17" s="17">
        <v>1</v>
      </c>
      <c r="AK17" s="13" t="str">
        <v>Antistar</v>
      </c>
      <c r="AL17" s="13">
        <v>52</v>
      </c>
      <c r="AM17" s="13">
        <v>1000</v>
      </c>
      <c r="AO17" s="17">
        <v>16</v>
      </c>
      <c r="AP17" s="13" t="str">
        <v>Flo</v>
      </c>
      <c r="AQ17" s="1">
        <v>22</v>
      </c>
      <c r="AR17" s="1">
        <v>666</v>
      </c>
    </row>
    <row r="18" spans="1:46">
      <c r="A18" s="17">
        <v>17</v>
      </c>
      <c r="B18" s="13" t="str">
        <v>Geo</v>
      </c>
      <c r="C18" s="13">
        <v>8</v>
      </c>
      <c r="D18" s="13"/>
      <c r="E18" s="13" t="str">
        <v>B</v>
      </c>
      <c r="F18" s="13">
        <v>5</v>
      </c>
      <c r="G18" s="13" t="str">
        <v>Antistar</v>
      </c>
      <c r="H18" s="13" t="e" vm="15">
        <f ca="1"/>
        <v>#VALUE!</v>
      </c>
      <c r="I18" s="13">
        <v>15</v>
      </c>
      <c r="J18" s="13">
        <v>15</v>
      </c>
      <c r="K18" s="13">
        <v>0</v>
      </c>
      <c r="L18" s="13">
        <v>0</v>
      </c>
      <c r="M18" s="13">
        <v>56</v>
      </c>
      <c r="N18" s="13">
        <v>4</v>
      </c>
      <c r="O18" s="13">
        <v>52</v>
      </c>
      <c r="P18" s="13">
        <v>0</v>
      </c>
      <c r="Q18" s="13">
        <v>1000</v>
      </c>
      <c r="S18" s="17">
        <v>1</v>
      </c>
      <c r="T18" s="18"/>
      <c r="U18" s="17">
        <v>1</v>
      </c>
      <c r="V18" s="17" t="s">
        <v>121</v>
      </c>
      <c r="W18" s="18">
        <v>4</v>
      </c>
      <c r="X18" s="18" t="s">
        <v>342</v>
      </c>
      <c r="Y18" s="18">
        <f t="shared" ref="Y18:Y32" si="4">IF(W18="","",4-W18)</f>
        <v>0</v>
      </c>
      <c r="Z18" s="17" t="s">
        <v>85</v>
      </c>
      <c r="AA18" s="17">
        <v>2</v>
      </c>
      <c r="AB18" s="17" t="s">
        <v>191</v>
      </c>
      <c r="AC18" s="17" t="s">
        <v>185</v>
      </c>
      <c r="AD18" s="17" t="s">
        <v>206</v>
      </c>
      <c r="AE18" s="17" t="s">
        <v>202</v>
      </c>
      <c r="AF18" s="1">
        <f t="shared" si="1"/>
        <v>1</v>
      </c>
      <c r="AG18" s="1">
        <f t="shared" si="2"/>
        <v>0</v>
      </c>
      <c r="AH18" s="1">
        <f t="shared" si="3"/>
        <v>0</v>
      </c>
      <c r="AJ18" s="17">
        <v>2</v>
      </c>
      <c r="AK18" s="13" t="str">
        <v>Lafungo</v>
      </c>
      <c r="AL18" s="13">
        <v>50</v>
      </c>
      <c r="AM18" s="13">
        <v>933</v>
      </c>
      <c r="AO18" s="17">
        <v>17</v>
      </c>
      <c r="AP18" s="13" t="str">
        <v>Zarkov</v>
      </c>
      <c r="AQ18" s="1">
        <v>18</v>
      </c>
      <c r="AR18" s="1">
        <v>633</v>
      </c>
    </row>
    <row r="19" spans="1:46">
      <c r="A19" s="17">
        <v>18</v>
      </c>
      <c r="B19" s="13" t="str">
        <v>BigMountain</v>
      </c>
      <c r="C19" s="13">
        <v>41</v>
      </c>
      <c r="D19" s="13"/>
      <c r="E19" s="13" t="str">
        <v>B</v>
      </c>
      <c r="F19" s="13">
        <v>8</v>
      </c>
      <c r="G19" s="13" t="str">
        <v>Geo</v>
      </c>
      <c r="H19" s="13" t="e" vm="15">
        <f ca="1"/>
        <v>#VALUE!</v>
      </c>
      <c r="I19" s="13">
        <v>15</v>
      </c>
      <c r="J19" s="13">
        <v>12</v>
      </c>
      <c r="K19" s="13">
        <v>1</v>
      </c>
      <c r="L19" s="13">
        <v>2</v>
      </c>
      <c r="M19" s="13">
        <v>48</v>
      </c>
      <c r="N19" s="13">
        <v>12</v>
      </c>
      <c r="O19" s="13">
        <v>36</v>
      </c>
      <c r="P19" s="13">
        <v>0</v>
      </c>
      <c r="Q19" s="13">
        <v>833</v>
      </c>
      <c r="S19" s="17">
        <v>2</v>
      </c>
      <c r="T19" s="18"/>
      <c r="U19" s="17">
        <v>2</v>
      </c>
      <c r="V19" s="17" t="s">
        <v>121</v>
      </c>
      <c r="W19" s="18">
        <v>4</v>
      </c>
      <c r="X19" s="18" t="s">
        <v>342</v>
      </c>
      <c r="Y19" s="18">
        <f t="shared" si="4"/>
        <v>0</v>
      </c>
      <c r="Z19" s="17" t="s">
        <v>343</v>
      </c>
      <c r="AA19" s="17">
        <v>1</v>
      </c>
      <c r="AB19" s="17" t="s">
        <v>180</v>
      </c>
      <c r="AC19" s="17" t="s">
        <v>172</v>
      </c>
      <c r="AD19" s="17" t="s">
        <v>200</v>
      </c>
      <c r="AE19" s="17" t="s">
        <v>198</v>
      </c>
      <c r="AF19" s="1">
        <f t="shared" si="1"/>
        <v>1</v>
      </c>
      <c r="AG19" s="1">
        <f t="shared" si="2"/>
        <v>0</v>
      </c>
      <c r="AH19" s="1">
        <f t="shared" si="3"/>
        <v>0</v>
      </c>
      <c r="AJ19" s="17">
        <v>3</v>
      </c>
      <c r="AK19" s="13" t="str">
        <v>Geo</v>
      </c>
      <c r="AL19" s="13">
        <v>36</v>
      </c>
      <c r="AM19" s="13">
        <v>833</v>
      </c>
      <c r="AO19" s="17">
        <v>18</v>
      </c>
      <c r="AP19" s="13" t="str">
        <v>Narnet</v>
      </c>
      <c r="AQ19" s="1">
        <v>12</v>
      </c>
      <c r="AR19" s="1">
        <v>600</v>
      </c>
    </row>
    <row r="20" spans="1:46">
      <c r="A20" s="17">
        <v>19</v>
      </c>
      <c r="B20" s="13" t="str">
        <v>Rub</v>
      </c>
      <c r="C20" s="13">
        <v>16</v>
      </c>
      <c r="D20" s="13"/>
      <c r="E20" s="13" t="str">
        <v>B</v>
      </c>
      <c r="F20" s="13">
        <v>11</v>
      </c>
      <c r="G20" s="13" t="str">
        <v>Flo</v>
      </c>
      <c r="H20" s="13" t="e" vm="15">
        <f ca="1"/>
        <v>#VALUE!</v>
      </c>
      <c r="I20" s="13">
        <v>15</v>
      </c>
      <c r="J20" s="13">
        <v>9</v>
      </c>
      <c r="K20" s="13">
        <v>2</v>
      </c>
      <c r="L20" s="13">
        <v>4</v>
      </c>
      <c r="M20" s="13">
        <v>41</v>
      </c>
      <c r="N20" s="13">
        <v>19</v>
      </c>
      <c r="O20" s="13">
        <v>22</v>
      </c>
      <c r="P20" s="13">
        <v>0</v>
      </c>
      <c r="Q20" s="13">
        <v>666</v>
      </c>
      <c r="S20" s="17">
        <v>3</v>
      </c>
      <c r="T20" s="18"/>
      <c r="U20" s="17">
        <v>2</v>
      </c>
      <c r="V20" s="17" t="s">
        <v>121</v>
      </c>
      <c r="W20" s="18">
        <v>4</v>
      </c>
      <c r="X20" s="18" t="s">
        <v>342</v>
      </c>
      <c r="Y20" s="18">
        <f t="shared" si="4"/>
        <v>0</v>
      </c>
      <c r="Z20" s="17" t="s">
        <v>109</v>
      </c>
      <c r="AA20" s="17">
        <v>1</v>
      </c>
      <c r="AB20" s="17" t="s">
        <v>176</v>
      </c>
      <c r="AC20" s="17" t="s">
        <v>183</v>
      </c>
      <c r="AD20" s="17" t="s">
        <v>204</v>
      </c>
      <c r="AE20" s="17" t="s">
        <v>212</v>
      </c>
      <c r="AF20" s="1">
        <f t="shared" si="1"/>
        <v>1</v>
      </c>
      <c r="AG20" s="1">
        <f t="shared" si="2"/>
        <v>0</v>
      </c>
      <c r="AH20" s="1">
        <f t="shared" si="3"/>
        <v>0</v>
      </c>
      <c r="AJ20" s="17">
        <v>4</v>
      </c>
      <c r="AK20" s="13" t="str">
        <v>Moll</v>
      </c>
      <c r="AL20" s="13">
        <v>32</v>
      </c>
      <c r="AM20" s="13">
        <v>766</v>
      </c>
      <c r="AO20" s="17">
        <v>19</v>
      </c>
      <c r="AP20" s="13" t="str">
        <v>Thibault</v>
      </c>
      <c r="AQ20" s="1">
        <v>12</v>
      </c>
      <c r="AR20" s="1">
        <v>633</v>
      </c>
    </row>
    <row r="21" spans="1:46">
      <c r="A21" s="17">
        <v>20</v>
      </c>
      <c r="B21" s="13" t="str">
        <v>Getarez</v>
      </c>
      <c r="C21" s="13">
        <v>36</v>
      </c>
      <c r="D21" s="13"/>
      <c r="E21" s="13" t="str">
        <v>B</v>
      </c>
      <c r="F21" s="13">
        <v>14</v>
      </c>
      <c r="G21" s="13" t="str">
        <v>Moll</v>
      </c>
      <c r="H21" s="13" t="e" vm="13">
        <f ca="1"/>
        <v>#VALUE!</v>
      </c>
      <c r="I21" s="13">
        <v>15</v>
      </c>
      <c r="J21" s="13">
        <v>11</v>
      </c>
      <c r="K21" s="13">
        <v>1</v>
      </c>
      <c r="L21" s="13">
        <v>3</v>
      </c>
      <c r="M21" s="13">
        <v>46</v>
      </c>
      <c r="N21" s="13">
        <v>14</v>
      </c>
      <c r="O21" s="13">
        <v>32</v>
      </c>
      <c r="P21" s="13">
        <v>0</v>
      </c>
      <c r="Q21" s="13">
        <v>766</v>
      </c>
      <c r="S21" s="17">
        <v>4</v>
      </c>
      <c r="T21" s="18"/>
      <c r="U21" s="17">
        <v>2</v>
      </c>
      <c r="V21" s="17" t="s">
        <v>121</v>
      </c>
      <c r="W21" s="18">
        <v>4</v>
      </c>
      <c r="X21" s="18" t="s">
        <v>342</v>
      </c>
      <c r="Y21" s="18">
        <f t="shared" si="4"/>
        <v>0</v>
      </c>
      <c r="Z21" s="17" t="s">
        <v>33</v>
      </c>
      <c r="AA21" s="17">
        <v>1</v>
      </c>
      <c r="AB21" s="17" t="s">
        <v>196</v>
      </c>
      <c r="AC21" s="17" t="s">
        <v>193</v>
      </c>
      <c r="AD21" s="17" t="s">
        <v>208</v>
      </c>
      <c r="AE21" s="17" t="s">
        <v>164</v>
      </c>
      <c r="AF21" s="1">
        <f t="shared" si="1"/>
        <v>1</v>
      </c>
      <c r="AG21" s="1">
        <f t="shared" si="2"/>
        <v>0</v>
      </c>
      <c r="AH21" s="1">
        <f t="shared" si="3"/>
        <v>0</v>
      </c>
      <c r="AJ21" s="17">
        <v>5</v>
      </c>
      <c r="AK21" s="13" t="str">
        <v>Kasmo</v>
      </c>
      <c r="AL21" s="13">
        <v>28</v>
      </c>
      <c r="AM21" s="13">
        <v>733</v>
      </c>
      <c r="AO21" s="17">
        <v>20</v>
      </c>
      <c r="AP21" s="13" t="str">
        <v>Rub</v>
      </c>
      <c r="AQ21" s="1">
        <v>10</v>
      </c>
      <c r="AR21" s="1">
        <v>566</v>
      </c>
    </row>
    <row r="22" spans="1:46">
      <c r="A22" s="17">
        <v>21</v>
      </c>
      <c r="B22" s="13" t="str">
        <v>Antistar</v>
      </c>
      <c r="C22" s="13">
        <v>5</v>
      </c>
      <c r="D22" s="13"/>
      <c r="E22" s="13" t="str">
        <v>B</v>
      </c>
      <c r="F22" s="13">
        <v>17</v>
      </c>
      <c r="G22" s="13" t="str">
        <v>Franck</v>
      </c>
      <c r="H22" s="13" t="e" vm="15">
        <f ca="1"/>
        <v>#VALUE!</v>
      </c>
      <c r="I22" s="13">
        <v>15</v>
      </c>
      <c r="J22" s="13">
        <v>6</v>
      </c>
      <c r="K22" s="13">
        <v>1</v>
      </c>
      <c r="L22" s="13">
        <v>8</v>
      </c>
      <c r="M22" s="13">
        <v>28</v>
      </c>
      <c r="N22" s="13">
        <v>32</v>
      </c>
      <c r="O22" s="13">
        <v>-4</v>
      </c>
      <c r="P22" s="13">
        <v>0</v>
      </c>
      <c r="Q22" s="13">
        <v>433</v>
      </c>
      <c r="S22" s="17">
        <v>5</v>
      </c>
      <c r="T22" s="18"/>
      <c r="U22" s="17">
        <v>1</v>
      </c>
      <c r="V22" s="17" t="s">
        <v>121</v>
      </c>
      <c r="W22" s="18">
        <v>4</v>
      </c>
      <c r="X22" s="18" t="s">
        <v>342</v>
      </c>
      <c r="Y22" s="18">
        <f t="shared" si="4"/>
        <v>0</v>
      </c>
      <c r="Z22" s="17" t="s">
        <v>43</v>
      </c>
      <c r="AA22" s="17">
        <v>2</v>
      </c>
      <c r="AB22" s="17" t="s">
        <v>214</v>
      </c>
      <c r="AC22" s="17" t="s">
        <v>210</v>
      </c>
      <c r="AD22" s="17" t="s">
        <v>187</v>
      </c>
      <c r="AE22" s="17" t="s">
        <v>189</v>
      </c>
      <c r="AF22" s="1">
        <f t="shared" si="1"/>
        <v>1</v>
      </c>
      <c r="AG22" s="1">
        <f t="shared" si="2"/>
        <v>0</v>
      </c>
      <c r="AH22" s="1">
        <f t="shared" si="3"/>
        <v>0</v>
      </c>
      <c r="AJ22" s="17">
        <v>6</v>
      </c>
      <c r="AK22" s="13" t="str">
        <v>Flo</v>
      </c>
      <c r="AL22" s="13">
        <v>22</v>
      </c>
      <c r="AM22" s="13">
        <v>666</v>
      </c>
      <c r="AO22" s="17">
        <v>21</v>
      </c>
      <c r="AP22" s="13" t="str">
        <v>Ashley</v>
      </c>
      <c r="AQ22" s="1">
        <v>6</v>
      </c>
      <c r="AR22" s="1">
        <v>566</v>
      </c>
    </row>
    <row r="23" spans="1:46">
      <c r="A23" s="17">
        <v>22</v>
      </c>
      <c r="B23" s="13" t="str">
        <v>Cap</v>
      </c>
      <c r="C23" s="13">
        <v>45</v>
      </c>
      <c r="D23" s="13"/>
      <c r="E23" s="13" t="str">
        <v>B</v>
      </c>
      <c r="F23" s="13">
        <v>20</v>
      </c>
      <c r="G23" s="13" t="str">
        <v>Kasmo</v>
      </c>
      <c r="H23" s="13" t="e" vm="16">
        <f ca="1"/>
        <v>#VALUE!</v>
      </c>
      <c r="I23" s="13">
        <v>15</v>
      </c>
      <c r="J23" s="13">
        <v>11</v>
      </c>
      <c r="K23" s="13">
        <v>0</v>
      </c>
      <c r="L23" s="13">
        <v>4</v>
      </c>
      <c r="M23" s="13">
        <v>44</v>
      </c>
      <c r="N23" s="13">
        <v>16</v>
      </c>
      <c r="O23" s="13">
        <v>28</v>
      </c>
      <c r="P23" s="13">
        <v>0</v>
      </c>
      <c r="Q23" s="13">
        <v>733</v>
      </c>
      <c r="S23" s="17">
        <v>6</v>
      </c>
      <c r="T23" s="18"/>
      <c r="U23" s="17">
        <v>2</v>
      </c>
      <c r="V23" s="17" t="s">
        <v>121</v>
      </c>
      <c r="W23" s="18">
        <v>4</v>
      </c>
      <c r="X23" s="18" t="s">
        <v>342</v>
      </c>
      <c r="Y23" s="18">
        <f t="shared" si="4"/>
        <v>0</v>
      </c>
      <c r="Z23" s="17" t="s">
        <v>95</v>
      </c>
      <c r="AA23" s="17">
        <v>1</v>
      </c>
      <c r="AB23" s="17" t="s">
        <v>204</v>
      </c>
      <c r="AC23" s="17" t="s">
        <v>210</v>
      </c>
      <c r="AD23" s="17" t="s">
        <v>180</v>
      </c>
      <c r="AE23" s="17" t="s">
        <v>189</v>
      </c>
      <c r="AF23" s="1">
        <f t="shared" si="1"/>
        <v>1</v>
      </c>
      <c r="AG23" s="1">
        <f t="shared" si="2"/>
        <v>0</v>
      </c>
      <c r="AH23" s="1">
        <f t="shared" si="3"/>
        <v>0</v>
      </c>
      <c r="AJ23" s="17">
        <v>7</v>
      </c>
      <c r="AK23" s="13" t="str">
        <v>Ashley</v>
      </c>
      <c r="AL23" s="13">
        <v>6</v>
      </c>
      <c r="AM23" s="13">
        <v>566</v>
      </c>
      <c r="AO23" s="17">
        <v>22</v>
      </c>
      <c r="AP23" s="13" t="str">
        <v>Patrick</v>
      </c>
      <c r="AQ23" s="1">
        <v>16</v>
      </c>
      <c r="AR23" s="1">
        <v>600</v>
      </c>
    </row>
    <row r="24" spans="1:46">
      <c r="A24" s="17">
        <v>23</v>
      </c>
      <c r="B24" s="13" t="str">
        <v>Onwa</v>
      </c>
      <c r="C24" s="13">
        <v>10</v>
      </c>
      <c r="D24" s="13"/>
      <c r="E24" s="13" t="str">
        <v>B</v>
      </c>
      <c r="F24" s="13">
        <v>23</v>
      </c>
      <c r="G24" s="13" t="str">
        <v>Sjors</v>
      </c>
      <c r="H24" s="13" t="e" vm="12">
        <f ca="1"/>
        <v>#VALUE!</v>
      </c>
      <c r="I24" s="13">
        <v>15</v>
      </c>
      <c r="J24" s="13">
        <v>8</v>
      </c>
      <c r="K24" s="13">
        <v>1</v>
      </c>
      <c r="L24" s="13">
        <v>6</v>
      </c>
      <c r="M24" s="13">
        <v>32</v>
      </c>
      <c r="N24" s="13">
        <v>28</v>
      </c>
      <c r="O24" s="13">
        <v>4</v>
      </c>
      <c r="P24" s="13">
        <v>0</v>
      </c>
      <c r="Q24" s="13">
        <v>566</v>
      </c>
      <c r="S24" s="17">
        <v>7</v>
      </c>
      <c r="T24" s="18"/>
      <c r="U24" s="17">
        <v>1</v>
      </c>
      <c r="V24" s="17" t="s">
        <v>121</v>
      </c>
      <c r="W24" s="18">
        <v>4</v>
      </c>
      <c r="X24" s="18" t="s">
        <v>342</v>
      </c>
      <c r="Y24" s="18">
        <f t="shared" si="4"/>
        <v>0</v>
      </c>
      <c r="Z24" s="17" t="s">
        <v>37</v>
      </c>
      <c r="AA24" s="17">
        <v>2</v>
      </c>
      <c r="AB24" s="17" t="s">
        <v>187</v>
      </c>
      <c r="AC24" s="17" t="s">
        <v>206</v>
      </c>
      <c r="AD24" s="17" t="s">
        <v>183</v>
      </c>
      <c r="AE24" s="17" t="s">
        <v>196</v>
      </c>
      <c r="AF24" s="1">
        <f t="shared" si="1"/>
        <v>1</v>
      </c>
      <c r="AG24" s="1">
        <f t="shared" si="2"/>
        <v>0</v>
      </c>
      <c r="AH24" s="1">
        <f t="shared" si="3"/>
        <v>0</v>
      </c>
      <c r="AJ24" s="17">
        <v>8</v>
      </c>
      <c r="AK24" s="13" t="str">
        <v>Sjors</v>
      </c>
      <c r="AL24" s="13">
        <v>4</v>
      </c>
      <c r="AM24" s="13">
        <v>566</v>
      </c>
      <c r="AO24" s="17">
        <v>23</v>
      </c>
      <c r="AP24" s="13" t="str">
        <v>tif</v>
      </c>
      <c r="AQ24" s="1">
        <v>4</v>
      </c>
      <c r="AR24" s="1">
        <v>566</v>
      </c>
      <c r="AS24" s="1" t="s">
        <v>344</v>
      </c>
    </row>
    <row r="25" spans="1:46">
      <c r="A25" s="17">
        <v>24</v>
      </c>
      <c r="B25" s="13" t="str">
        <v>Rejemy</v>
      </c>
      <c r="C25" s="13">
        <v>26</v>
      </c>
      <c r="D25" s="13"/>
      <c r="E25" s="13" t="str">
        <v>B</v>
      </c>
      <c r="F25" s="13">
        <v>26</v>
      </c>
      <c r="G25" s="13" t="str">
        <v>Rejemy</v>
      </c>
      <c r="H25" s="13" t="e" vm="15">
        <f ca="1"/>
        <v>#VALUE!</v>
      </c>
      <c r="I25" s="13">
        <v>15</v>
      </c>
      <c r="J25" s="13">
        <v>5</v>
      </c>
      <c r="K25" s="13">
        <v>2</v>
      </c>
      <c r="L25" s="13">
        <v>8</v>
      </c>
      <c r="M25" s="13">
        <v>26</v>
      </c>
      <c r="N25" s="13">
        <v>34</v>
      </c>
      <c r="O25" s="13">
        <v>-8</v>
      </c>
      <c r="P25" s="13">
        <v>0</v>
      </c>
      <c r="Q25" s="13">
        <v>400</v>
      </c>
      <c r="S25" s="17">
        <v>8</v>
      </c>
      <c r="T25" s="18"/>
      <c r="U25" s="17">
        <v>1</v>
      </c>
      <c r="V25" s="17" t="s">
        <v>121</v>
      </c>
      <c r="W25" s="18">
        <v>4</v>
      </c>
      <c r="X25" s="18" t="s">
        <v>342</v>
      </c>
      <c r="Y25" s="18">
        <f t="shared" si="4"/>
        <v>0</v>
      </c>
      <c r="Z25" s="17" t="s">
        <v>45</v>
      </c>
      <c r="AA25" s="17">
        <v>2</v>
      </c>
      <c r="AB25" s="17" t="s">
        <v>200</v>
      </c>
      <c r="AC25" s="17" t="s">
        <v>198</v>
      </c>
      <c r="AD25" s="17" t="s">
        <v>212</v>
      </c>
      <c r="AE25" s="17" t="s">
        <v>185</v>
      </c>
      <c r="AF25" s="1">
        <f t="shared" si="1"/>
        <v>1</v>
      </c>
      <c r="AG25" s="1">
        <f t="shared" si="2"/>
        <v>0</v>
      </c>
      <c r="AH25" s="1">
        <f t="shared" si="3"/>
        <v>0</v>
      </c>
      <c r="AJ25" s="17">
        <v>9</v>
      </c>
      <c r="AK25" s="13" t="str">
        <v>Franck</v>
      </c>
      <c r="AL25" s="13">
        <v>-4</v>
      </c>
      <c r="AM25" s="13">
        <v>433</v>
      </c>
      <c r="AO25" s="17">
        <v>24</v>
      </c>
      <c r="AP25" s="13" t="str">
        <v>Sjors</v>
      </c>
      <c r="AQ25" s="1">
        <v>4</v>
      </c>
      <c r="AR25" s="1">
        <v>566</v>
      </c>
      <c r="AS25" s="1" t="s">
        <v>344</v>
      </c>
      <c r="AT25" s="1">
        <v>1</v>
      </c>
    </row>
    <row r="26" spans="1:46">
      <c r="A26" s="17">
        <v>25</v>
      </c>
      <c r="B26" s="13" t="str">
        <v>JDR</v>
      </c>
      <c r="C26" s="13">
        <v>7</v>
      </c>
      <c r="D26" s="13"/>
      <c r="E26" s="13" t="str">
        <v>B</v>
      </c>
      <c r="F26" s="13">
        <v>29</v>
      </c>
      <c r="G26" s="13" t="str">
        <v>Ashley</v>
      </c>
      <c r="H26" s="13" t="e" vm="13">
        <f ca="1"/>
        <v>#VALUE!</v>
      </c>
      <c r="I26" s="13">
        <v>15</v>
      </c>
      <c r="J26" s="13">
        <v>8</v>
      </c>
      <c r="K26" s="13">
        <v>1</v>
      </c>
      <c r="L26" s="13">
        <v>6</v>
      </c>
      <c r="M26" s="13">
        <v>33</v>
      </c>
      <c r="N26" s="13">
        <v>27</v>
      </c>
      <c r="O26" s="13">
        <v>6</v>
      </c>
      <c r="P26" s="13">
        <v>0</v>
      </c>
      <c r="Q26" s="13">
        <v>566</v>
      </c>
      <c r="S26" s="17">
        <v>9</v>
      </c>
      <c r="T26" s="18"/>
      <c r="U26" s="17">
        <v>2</v>
      </c>
      <c r="V26" s="17" t="s">
        <v>121</v>
      </c>
      <c r="W26" s="18">
        <v>4</v>
      </c>
      <c r="X26" s="18" t="s">
        <v>342</v>
      </c>
      <c r="Y26" s="18">
        <f t="shared" si="4"/>
        <v>0</v>
      </c>
      <c r="Z26" s="17" t="s">
        <v>117</v>
      </c>
      <c r="AA26" s="17">
        <v>1</v>
      </c>
      <c r="AB26" s="17" t="s">
        <v>202</v>
      </c>
      <c r="AC26" s="17" t="s">
        <v>164</v>
      </c>
      <c r="AD26" s="17" t="s">
        <v>191</v>
      </c>
      <c r="AE26" s="17" t="s">
        <v>176</v>
      </c>
      <c r="AF26" s="1">
        <f t="shared" si="1"/>
        <v>1</v>
      </c>
      <c r="AG26" s="1">
        <f t="shared" si="2"/>
        <v>0</v>
      </c>
      <c r="AH26" s="1">
        <f t="shared" si="3"/>
        <v>0</v>
      </c>
      <c r="AJ26" s="17">
        <v>10</v>
      </c>
      <c r="AK26" s="13" t="str">
        <v>Rejemy</v>
      </c>
      <c r="AL26" s="13">
        <v>-8</v>
      </c>
      <c r="AM26" s="13">
        <v>400</v>
      </c>
      <c r="AO26" s="17">
        <v>25</v>
      </c>
      <c r="AP26" s="13" t="str">
        <v>Banana</v>
      </c>
      <c r="AQ26" s="1">
        <v>10</v>
      </c>
      <c r="AR26" s="1">
        <v>533</v>
      </c>
    </row>
    <row r="27" spans="1:46">
      <c r="A27" s="17">
        <v>26</v>
      </c>
      <c r="B27" s="13" t="str">
        <v>Lafungo</v>
      </c>
      <c r="C27" s="13">
        <v>2</v>
      </c>
      <c r="D27" s="13"/>
      <c r="E27" s="13" t="str">
        <v>B</v>
      </c>
      <c r="F27" s="13">
        <v>32</v>
      </c>
      <c r="G27" s="13" t="str">
        <v>Ours</v>
      </c>
      <c r="H27" s="13" t="e" vm="15">
        <f ca="1"/>
        <v>#VALUE!</v>
      </c>
      <c r="I27" s="13">
        <v>15</v>
      </c>
      <c r="J27" s="13">
        <v>5</v>
      </c>
      <c r="K27" s="13">
        <v>1</v>
      </c>
      <c r="L27" s="13">
        <v>9</v>
      </c>
      <c r="M27" s="13">
        <v>22</v>
      </c>
      <c r="N27" s="13">
        <v>38</v>
      </c>
      <c r="O27" s="13">
        <v>-16</v>
      </c>
      <c r="P27" s="13">
        <v>0</v>
      </c>
      <c r="Q27" s="13">
        <v>366</v>
      </c>
      <c r="S27" s="17">
        <v>10</v>
      </c>
      <c r="T27" s="18"/>
      <c r="U27" s="17">
        <v>2</v>
      </c>
      <c r="V27" s="17" t="s">
        <v>121</v>
      </c>
      <c r="W27" s="18">
        <v>3</v>
      </c>
      <c r="X27" s="18" t="s">
        <v>342</v>
      </c>
      <c r="Y27" s="18">
        <f t="shared" si="4"/>
        <v>1</v>
      </c>
      <c r="Z27" s="17" t="s">
        <v>101</v>
      </c>
      <c r="AA27" s="17">
        <v>1</v>
      </c>
      <c r="AB27" s="17" t="s">
        <v>172</v>
      </c>
      <c r="AC27" s="17" t="s">
        <v>208</v>
      </c>
      <c r="AD27" s="17" t="s">
        <v>214</v>
      </c>
      <c r="AE27" s="17" t="s">
        <v>193</v>
      </c>
      <c r="AF27" s="1">
        <f t="shared" si="1"/>
        <v>1</v>
      </c>
      <c r="AG27" s="1">
        <f t="shared" si="2"/>
        <v>0</v>
      </c>
      <c r="AH27" s="1">
        <f t="shared" si="3"/>
        <v>0</v>
      </c>
      <c r="AJ27" s="17">
        <v>11</v>
      </c>
      <c r="AK27" s="13" t="str">
        <v>Ours</v>
      </c>
      <c r="AL27" s="13">
        <v>-16</v>
      </c>
      <c r="AM27" s="13">
        <v>366</v>
      </c>
      <c r="AO27" s="17">
        <v>26</v>
      </c>
      <c r="AP27" s="13" t="str">
        <v>Rune</v>
      </c>
      <c r="AQ27" s="1">
        <v>-8</v>
      </c>
      <c r="AR27" s="1">
        <v>466</v>
      </c>
    </row>
    <row r="28" spans="1:46">
      <c r="A28" s="17">
        <v>27</v>
      </c>
      <c r="B28" s="13" t="str">
        <v>Oni</v>
      </c>
      <c r="C28" s="13">
        <v>39</v>
      </c>
      <c r="D28" s="13"/>
      <c r="E28" s="13" t="str">
        <v>B</v>
      </c>
      <c r="F28" s="13">
        <v>35</v>
      </c>
      <c r="G28" s="13" t="str">
        <v>Bluh</v>
      </c>
      <c r="H28" s="13" t="e" vm="15">
        <f ca="1"/>
        <v>#VALUE!</v>
      </c>
      <c r="I28" s="13">
        <v>15</v>
      </c>
      <c r="J28" s="13">
        <v>3</v>
      </c>
      <c r="K28" s="13">
        <v>0</v>
      </c>
      <c r="L28" s="13">
        <v>12</v>
      </c>
      <c r="M28" s="13">
        <v>11</v>
      </c>
      <c r="N28" s="13">
        <v>49</v>
      </c>
      <c r="O28" s="13">
        <v>-38</v>
      </c>
      <c r="P28" s="13">
        <v>0</v>
      </c>
      <c r="Q28" s="13">
        <v>200</v>
      </c>
      <c r="S28" s="17">
        <v>11</v>
      </c>
      <c r="T28" s="18"/>
      <c r="U28" s="17">
        <v>1</v>
      </c>
      <c r="V28" s="17" t="s">
        <v>121</v>
      </c>
      <c r="W28" s="18">
        <v>4</v>
      </c>
      <c r="X28" s="18" t="s">
        <v>342</v>
      </c>
      <c r="Y28" s="18">
        <f t="shared" si="4"/>
        <v>0</v>
      </c>
      <c r="Z28" s="17" t="s">
        <v>103</v>
      </c>
      <c r="AA28" s="17">
        <v>2</v>
      </c>
      <c r="AB28" s="17" t="s">
        <v>193</v>
      </c>
      <c r="AC28" s="17" t="s">
        <v>206</v>
      </c>
      <c r="AD28" s="17" t="s">
        <v>172</v>
      </c>
      <c r="AE28" s="17" t="s">
        <v>210</v>
      </c>
      <c r="AF28" s="1">
        <f t="shared" si="1"/>
        <v>1</v>
      </c>
      <c r="AG28" s="1">
        <f t="shared" si="2"/>
        <v>0</v>
      </c>
      <c r="AH28" s="1">
        <f t="shared" si="3"/>
        <v>0</v>
      </c>
      <c r="AJ28" s="17">
        <v>12</v>
      </c>
      <c r="AK28" s="13" t="str">
        <v>L'escargot</v>
      </c>
      <c r="AL28" s="13">
        <v>-28</v>
      </c>
      <c r="AM28" s="13">
        <v>266</v>
      </c>
      <c r="AO28" s="17">
        <v>27</v>
      </c>
      <c r="AP28" s="13" t="str">
        <v>Franck</v>
      </c>
      <c r="AQ28" s="1">
        <v>-4</v>
      </c>
      <c r="AR28" s="1">
        <v>433</v>
      </c>
    </row>
    <row r="29" spans="1:46">
      <c r="A29" s="17">
        <v>28</v>
      </c>
      <c r="B29" s="13" t="str">
        <v>KVD</v>
      </c>
      <c r="C29" s="13">
        <v>3</v>
      </c>
      <c r="D29" s="13"/>
      <c r="E29" s="13" t="str">
        <v>B</v>
      </c>
      <c r="F29" s="13">
        <v>38</v>
      </c>
      <c r="G29" s="13" t="str">
        <v>L'escargot</v>
      </c>
      <c r="H29" s="13" t="e" vm="15">
        <f ca="1"/>
        <v>#VALUE!</v>
      </c>
      <c r="I29" s="13">
        <v>15</v>
      </c>
      <c r="J29" s="13">
        <v>4</v>
      </c>
      <c r="K29" s="13">
        <v>0</v>
      </c>
      <c r="L29" s="13">
        <v>11</v>
      </c>
      <c r="M29" s="13">
        <v>16</v>
      </c>
      <c r="N29" s="13">
        <v>44</v>
      </c>
      <c r="O29" s="13">
        <v>-28</v>
      </c>
      <c r="P29" s="13">
        <v>0</v>
      </c>
      <c r="Q29" s="13">
        <v>266</v>
      </c>
      <c r="S29" s="17">
        <v>12</v>
      </c>
      <c r="T29" s="18"/>
      <c r="U29" s="17">
        <v>2</v>
      </c>
      <c r="V29" s="17" t="s">
        <v>121</v>
      </c>
      <c r="W29" s="18">
        <v>4</v>
      </c>
      <c r="X29" s="18" t="s">
        <v>342</v>
      </c>
      <c r="Y29" s="18">
        <f t="shared" si="4"/>
        <v>0</v>
      </c>
      <c r="Z29" s="17" t="s">
        <v>59</v>
      </c>
      <c r="AA29" s="17">
        <v>1</v>
      </c>
      <c r="AB29" s="17" t="s">
        <v>214</v>
      </c>
      <c r="AC29" s="17" t="s">
        <v>180</v>
      </c>
      <c r="AD29" s="17" t="s">
        <v>176</v>
      </c>
      <c r="AE29" s="17" t="s">
        <v>202</v>
      </c>
      <c r="AF29" s="1">
        <f t="shared" si="1"/>
        <v>1</v>
      </c>
      <c r="AG29" s="1">
        <f t="shared" si="2"/>
        <v>0</v>
      </c>
      <c r="AH29" s="1">
        <f t="shared" si="3"/>
        <v>0</v>
      </c>
      <c r="AJ29" s="17">
        <v>13</v>
      </c>
      <c r="AK29" s="13" t="str">
        <v>Bluh</v>
      </c>
      <c r="AL29" s="13">
        <v>-38</v>
      </c>
      <c r="AM29" s="13">
        <v>200</v>
      </c>
      <c r="AO29" s="17">
        <v>28</v>
      </c>
      <c r="AP29" s="13" t="str">
        <v>Lenain</v>
      </c>
      <c r="AQ29" s="1">
        <v>0</v>
      </c>
      <c r="AR29" s="1">
        <v>500</v>
      </c>
    </row>
    <row r="30" spans="1:46">
      <c r="A30" s="17">
        <v>29</v>
      </c>
      <c r="B30" s="13" t="str">
        <v>Leyla</v>
      </c>
      <c r="C30" s="13">
        <v>12</v>
      </c>
      <c r="D30" s="13"/>
      <c r="E30" s="13" t="str">
        <v>B</v>
      </c>
      <c r="F30" s="13">
        <v>41</v>
      </c>
      <c r="G30" s="13" t="str">
        <v>BigMountain</v>
      </c>
      <c r="H30" s="13" t="e" vm="15">
        <f ca="1"/>
        <v>#VALUE!</v>
      </c>
      <c r="I30" s="13">
        <v>15</v>
      </c>
      <c r="J30" s="13">
        <v>1</v>
      </c>
      <c r="K30" s="13">
        <v>1</v>
      </c>
      <c r="L30" s="13">
        <v>13</v>
      </c>
      <c r="M30" s="13">
        <v>11</v>
      </c>
      <c r="N30" s="13">
        <v>49</v>
      </c>
      <c r="O30" s="13">
        <v>-38</v>
      </c>
      <c r="P30" s="13">
        <v>0</v>
      </c>
      <c r="Q30" s="13">
        <v>100</v>
      </c>
      <c r="S30" s="17">
        <v>13</v>
      </c>
      <c r="T30" s="18"/>
      <c r="U30" s="17">
        <v>1</v>
      </c>
      <c r="V30" s="17" t="s">
        <v>121</v>
      </c>
      <c r="W30" s="18">
        <v>1</v>
      </c>
      <c r="X30" s="18" t="s">
        <v>342</v>
      </c>
      <c r="Y30" s="18">
        <f t="shared" si="4"/>
        <v>3</v>
      </c>
      <c r="Z30" s="17" t="s">
        <v>71</v>
      </c>
      <c r="AA30" s="17">
        <v>2</v>
      </c>
      <c r="AB30" s="17" t="s">
        <v>183</v>
      </c>
      <c r="AC30" s="17" t="s">
        <v>208</v>
      </c>
      <c r="AD30" s="17" t="s">
        <v>189</v>
      </c>
      <c r="AE30" s="17" t="s">
        <v>196</v>
      </c>
      <c r="AF30" s="1">
        <f t="shared" si="1"/>
        <v>0</v>
      </c>
      <c r="AG30" s="1">
        <f t="shared" si="2"/>
        <v>0</v>
      </c>
      <c r="AH30" s="1">
        <f t="shared" si="3"/>
        <v>1</v>
      </c>
      <c r="AJ30" s="17">
        <v>14</v>
      </c>
      <c r="AK30" s="13" t="str">
        <v>BigMountain</v>
      </c>
      <c r="AL30" s="13">
        <v>-38</v>
      </c>
      <c r="AM30" s="13">
        <v>100</v>
      </c>
      <c r="AO30" s="17">
        <v>29</v>
      </c>
      <c r="AP30" s="13" t="str">
        <v>FF</v>
      </c>
      <c r="AQ30" s="1">
        <v>-4</v>
      </c>
      <c r="AR30" s="1">
        <v>433</v>
      </c>
    </row>
    <row r="31" spans="1:46">
      <c r="A31" s="17">
        <v>30</v>
      </c>
      <c r="B31" s="13" t="str">
        <v>Lio</v>
      </c>
      <c r="C31" s="13">
        <v>43</v>
      </c>
      <c r="D31" s="13"/>
      <c r="E31" s="13" t="str">
        <v>B</v>
      </c>
      <c r="F31" s="13">
        <v>44</v>
      </c>
      <c r="G31" s="13" t="str">
        <v>Mackie</v>
      </c>
      <c r="H31" s="13" t="e" vm="15">
        <f ca="1"/>
        <v>#VALUE!</v>
      </c>
      <c r="I31" s="13">
        <v>15</v>
      </c>
      <c r="J31" s="13">
        <v>1</v>
      </c>
      <c r="K31" s="13">
        <v>1</v>
      </c>
      <c r="L31" s="13">
        <v>13</v>
      </c>
      <c r="M31" s="13">
        <v>7</v>
      </c>
      <c r="N31" s="13">
        <v>53</v>
      </c>
      <c r="O31" s="13">
        <v>-46</v>
      </c>
      <c r="P31" s="13">
        <v>0</v>
      </c>
      <c r="Q31" s="13">
        <v>100</v>
      </c>
      <c r="S31" s="17">
        <v>14</v>
      </c>
      <c r="T31" s="18"/>
      <c r="U31" s="17">
        <v>1</v>
      </c>
      <c r="V31" s="17" t="s">
        <v>121</v>
      </c>
      <c r="W31" s="18">
        <v>3</v>
      </c>
      <c r="X31" s="18" t="s">
        <v>342</v>
      </c>
      <c r="Y31" s="18">
        <f t="shared" si="4"/>
        <v>1</v>
      </c>
      <c r="Z31" s="17" t="s">
        <v>67</v>
      </c>
      <c r="AA31" s="17">
        <v>2</v>
      </c>
      <c r="AB31" s="17" t="s">
        <v>204</v>
      </c>
      <c r="AC31" s="17" t="s">
        <v>185</v>
      </c>
      <c r="AD31" s="17" t="s">
        <v>164</v>
      </c>
      <c r="AE31" s="17" t="s">
        <v>187</v>
      </c>
      <c r="AF31" s="1">
        <f t="shared" si="1"/>
        <v>1</v>
      </c>
      <c r="AG31" s="1">
        <f t="shared" si="2"/>
        <v>0</v>
      </c>
      <c r="AH31" s="1">
        <f t="shared" si="3"/>
        <v>0</v>
      </c>
      <c r="AJ31" s="17">
        <v>15</v>
      </c>
      <c r="AK31" s="13" t="str">
        <v>Mackie</v>
      </c>
      <c r="AL31" s="13">
        <v>-46</v>
      </c>
      <c r="AM31" s="13">
        <v>100</v>
      </c>
      <c r="AO31" s="17">
        <v>30</v>
      </c>
      <c r="AP31" s="13" t="str">
        <v>Rejemy</v>
      </c>
      <c r="AQ31" s="1">
        <v>-8</v>
      </c>
      <c r="AR31" s="1">
        <v>400</v>
      </c>
    </row>
    <row r="32" spans="1:46">
      <c r="A32" s="17">
        <v>31</v>
      </c>
      <c r="B32" s="13" t="str">
        <v>Mackie</v>
      </c>
      <c r="C32" s="13">
        <v>44</v>
      </c>
      <c r="D32" s="13"/>
      <c r="E32" s="13" t="str">
        <v>C</v>
      </c>
      <c r="F32" s="13">
        <v>3</v>
      </c>
      <c r="G32" s="13" t="str">
        <v>KVD</v>
      </c>
      <c r="H32" s="13" t="e" vm="12">
        <f ca="1"/>
        <v>#VALUE!</v>
      </c>
      <c r="I32" s="13">
        <v>15</v>
      </c>
      <c r="J32" s="13">
        <v>13</v>
      </c>
      <c r="K32" s="13">
        <v>1</v>
      </c>
      <c r="L32" s="13">
        <v>1</v>
      </c>
      <c r="M32" s="13">
        <v>54</v>
      </c>
      <c r="N32" s="13">
        <v>6</v>
      </c>
      <c r="O32" s="13">
        <v>48</v>
      </c>
      <c r="P32" s="13">
        <v>0</v>
      </c>
      <c r="Q32" s="13">
        <v>900</v>
      </c>
      <c r="S32" s="17">
        <v>15</v>
      </c>
      <c r="T32" s="18"/>
      <c r="U32" s="17">
        <v>2</v>
      </c>
      <c r="V32" s="17" t="s">
        <v>121</v>
      </c>
      <c r="W32" s="18">
        <v>1</v>
      </c>
      <c r="X32" s="18" t="s">
        <v>342</v>
      </c>
      <c r="Y32" s="18">
        <f t="shared" si="4"/>
        <v>3</v>
      </c>
      <c r="Z32" s="17" t="s">
        <v>115</v>
      </c>
      <c r="AA32" s="17">
        <v>1</v>
      </c>
      <c r="AB32" s="17" t="s">
        <v>198</v>
      </c>
      <c r="AC32" s="17" t="s">
        <v>212</v>
      </c>
      <c r="AD32" s="17" t="s">
        <v>200</v>
      </c>
      <c r="AE32" s="17" t="s">
        <v>191</v>
      </c>
      <c r="AF32" s="1">
        <f t="shared" si="1"/>
        <v>0</v>
      </c>
      <c r="AG32" s="1">
        <f t="shared" si="2"/>
        <v>0</v>
      </c>
      <c r="AH32" s="1">
        <f t="shared" si="3"/>
        <v>1</v>
      </c>
      <c r="AJ32" s="17">
        <v>1</v>
      </c>
      <c r="AK32" s="13" t="str">
        <v>Takashi</v>
      </c>
      <c r="AL32" s="13">
        <v>48</v>
      </c>
      <c r="AM32" s="13">
        <v>966</v>
      </c>
      <c r="AO32" s="17">
        <v>31</v>
      </c>
      <c r="AP32" s="13" t="str">
        <v>Mark</v>
      </c>
      <c r="AQ32" s="1">
        <v>-6</v>
      </c>
      <c r="AR32" s="1">
        <v>433</v>
      </c>
    </row>
    <row r="33" spans="1:44">
      <c r="A33" s="17">
        <v>32</v>
      </c>
      <c r="B33" s="13" t="str">
        <v>Miku</v>
      </c>
      <c r="C33" s="13">
        <v>34</v>
      </c>
      <c r="D33" s="13"/>
      <c r="E33" s="13" t="str">
        <v>C</v>
      </c>
      <c r="F33" s="13">
        <v>6</v>
      </c>
      <c r="G33" s="13" t="str">
        <v>Takashi</v>
      </c>
      <c r="H33" s="13" t="e" vm="16">
        <f ca="1"/>
        <v>#VALUE!</v>
      </c>
      <c r="I33" s="13">
        <v>15</v>
      </c>
      <c r="J33" s="13">
        <v>14</v>
      </c>
      <c r="K33" s="13">
        <v>1</v>
      </c>
      <c r="L33" s="13">
        <v>0</v>
      </c>
      <c r="M33" s="13">
        <v>54</v>
      </c>
      <c r="N33" s="13">
        <v>6</v>
      </c>
      <c r="O33" s="13">
        <v>48</v>
      </c>
      <c r="P33" s="13">
        <v>0</v>
      </c>
      <c r="Q33" s="13">
        <v>966</v>
      </c>
      <c r="S33" s="58" t="s">
        <v>339</v>
      </c>
      <c r="T33" s="58" t="s">
        <v>340</v>
      </c>
      <c r="U33" s="58" t="s">
        <v>341</v>
      </c>
      <c r="V33" s="58" t="s">
        <v>1</v>
      </c>
      <c r="W33" s="69" t="s">
        <v>220</v>
      </c>
      <c r="X33" s="70"/>
      <c r="Y33" s="71"/>
      <c r="Z33" s="58" t="s">
        <v>1</v>
      </c>
      <c r="AA33" s="58" t="s">
        <v>341</v>
      </c>
      <c r="AB33" s="58" t="s">
        <v>225</v>
      </c>
      <c r="AC33" s="58" t="s">
        <v>228</v>
      </c>
      <c r="AD33" s="58" t="s">
        <v>230</v>
      </c>
      <c r="AE33" s="58" t="s">
        <v>232</v>
      </c>
      <c r="AF33" s="1">
        <f t="shared" si="1"/>
        <v>1</v>
      </c>
      <c r="AG33" s="1">
        <f t="shared" si="2"/>
        <v>0</v>
      </c>
      <c r="AH33" s="1">
        <f t="shared" si="3"/>
        <v>0</v>
      </c>
      <c r="AJ33" s="17">
        <v>2</v>
      </c>
      <c r="AK33" s="13" t="str">
        <v>KVD</v>
      </c>
      <c r="AL33" s="13">
        <v>48</v>
      </c>
      <c r="AM33" s="13">
        <v>900</v>
      </c>
      <c r="AO33" s="17">
        <v>32</v>
      </c>
      <c r="AP33" s="13" t="str">
        <v>Ours</v>
      </c>
      <c r="AQ33" s="1">
        <v>-16</v>
      </c>
      <c r="AR33" s="1">
        <v>366</v>
      </c>
    </row>
    <row r="34" spans="1:44">
      <c r="A34" s="17">
        <v>33</v>
      </c>
      <c r="B34" s="13" t="str">
        <v>Mark</v>
      </c>
      <c r="C34" s="13">
        <v>24</v>
      </c>
      <c r="D34" s="13"/>
      <c r="E34" s="13" t="str">
        <v>C</v>
      </c>
      <c r="F34" s="13">
        <v>9</v>
      </c>
      <c r="G34" s="13" t="str">
        <v>Drew</v>
      </c>
      <c r="H34" s="13" t="e" vm="14">
        <f ca="1"/>
        <v>#VALUE!</v>
      </c>
      <c r="I34" s="13">
        <v>15</v>
      </c>
      <c r="J34" s="13">
        <v>9</v>
      </c>
      <c r="K34" s="13">
        <v>3</v>
      </c>
      <c r="L34" s="13">
        <v>3</v>
      </c>
      <c r="M34" s="13">
        <v>43</v>
      </c>
      <c r="N34" s="13">
        <v>17</v>
      </c>
      <c r="O34" s="13">
        <v>26</v>
      </c>
      <c r="P34" s="13">
        <v>0</v>
      </c>
      <c r="Q34" s="13">
        <v>700</v>
      </c>
      <c r="S34" s="17">
        <v>1</v>
      </c>
      <c r="T34" s="18"/>
      <c r="U34" s="17">
        <v>2</v>
      </c>
      <c r="V34" s="17" t="s">
        <v>71</v>
      </c>
      <c r="W34" s="18">
        <v>4</v>
      </c>
      <c r="X34" s="18" t="s">
        <v>342</v>
      </c>
      <c r="Y34" s="18">
        <f t="shared" ref="Y34:Y48" si="5">IF(W34="","",4-W34)</f>
        <v>0</v>
      </c>
      <c r="Z34" s="17" t="s">
        <v>33</v>
      </c>
      <c r="AA34" s="17">
        <v>1</v>
      </c>
      <c r="AB34" s="17" t="s">
        <v>191</v>
      </c>
      <c r="AC34" s="17" t="s">
        <v>185</v>
      </c>
      <c r="AD34" s="17" t="s">
        <v>206</v>
      </c>
      <c r="AE34" s="17" t="s">
        <v>202</v>
      </c>
      <c r="AF34" s="1">
        <f t="shared" si="1"/>
        <v>1</v>
      </c>
      <c r="AG34" s="1">
        <f t="shared" si="2"/>
        <v>0</v>
      </c>
      <c r="AH34" s="1">
        <f t="shared" si="3"/>
        <v>0</v>
      </c>
      <c r="AJ34" s="17">
        <v>3</v>
      </c>
      <c r="AK34" s="13" t="str">
        <v>Leyla</v>
      </c>
      <c r="AL34" s="13">
        <v>42</v>
      </c>
      <c r="AM34" s="13">
        <v>866</v>
      </c>
      <c r="AO34" s="17">
        <v>33</v>
      </c>
      <c r="AP34" s="13" t="str">
        <v>Zip</v>
      </c>
      <c r="AQ34" s="1">
        <v>-10</v>
      </c>
      <c r="AR34" s="1">
        <v>333</v>
      </c>
    </row>
    <row r="35" spans="1:44">
      <c r="A35" s="17">
        <v>34</v>
      </c>
      <c r="B35" s="13" t="str">
        <v>Banana</v>
      </c>
      <c r="C35" s="13">
        <v>22</v>
      </c>
      <c r="D35" s="13"/>
      <c r="E35" s="13" t="str">
        <v>C</v>
      </c>
      <c r="F35" s="13">
        <v>12</v>
      </c>
      <c r="G35" s="13" t="str">
        <v>Leyla</v>
      </c>
      <c r="H35" s="13" t="e" vm="13">
        <f ca="1"/>
        <v>#VALUE!</v>
      </c>
      <c r="I35" s="13">
        <v>15</v>
      </c>
      <c r="J35" s="13">
        <v>12</v>
      </c>
      <c r="K35" s="13">
        <v>2</v>
      </c>
      <c r="L35" s="13">
        <v>1</v>
      </c>
      <c r="M35" s="13">
        <v>51</v>
      </c>
      <c r="N35" s="13">
        <v>9</v>
      </c>
      <c r="O35" s="13">
        <v>42</v>
      </c>
      <c r="P35" s="13">
        <v>0</v>
      </c>
      <c r="Q35" s="13">
        <v>866</v>
      </c>
      <c r="S35" s="17">
        <v>2</v>
      </c>
      <c r="T35" s="18"/>
      <c r="U35" s="17">
        <v>1</v>
      </c>
      <c r="V35" s="17" t="s">
        <v>71</v>
      </c>
      <c r="W35" s="18">
        <v>4</v>
      </c>
      <c r="X35" s="18" t="s">
        <v>342</v>
      </c>
      <c r="Y35" s="18">
        <f t="shared" si="5"/>
        <v>0</v>
      </c>
      <c r="Z35" s="17" t="s">
        <v>109</v>
      </c>
      <c r="AA35" s="17">
        <v>2</v>
      </c>
      <c r="AB35" s="17" t="s">
        <v>180</v>
      </c>
      <c r="AC35" s="17" t="s">
        <v>172</v>
      </c>
      <c r="AD35" s="17" t="s">
        <v>200</v>
      </c>
      <c r="AE35" s="17" t="s">
        <v>198</v>
      </c>
      <c r="AF35" s="1">
        <f t="shared" si="1"/>
        <v>1</v>
      </c>
      <c r="AG35" s="1">
        <f t="shared" si="2"/>
        <v>0</v>
      </c>
      <c r="AH35" s="1">
        <f t="shared" si="3"/>
        <v>0</v>
      </c>
      <c r="AJ35" s="17">
        <v>4</v>
      </c>
      <c r="AK35" s="13" t="str">
        <v>Drew</v>
      </c>
      <c r="AL35" s="13">
        <v>26</v>
      </c>
      <c r="AM35" s="13">
        <v>700</v>
      </c>
      <c r="AO35" s="17">
        <v>34</v>
      </c>
      <c r="AP35" s="13" t="str">
        <v>L'escargot</v>
      </c>
      <c r="AQ35" s="1">
        <v>-28</v>
      </c>
      <c r="AR35" s="1">
        <v>266</v>
      </c>
    </row>
    <row r="36" spans="1:44">
      <c r="A36" s="17">
        <v>35</v>
      </c>
      <c r="B36" s="13" t="str">
        <v>Sumz</v>
      </c>
      <c r="C36" s="13">
        <v>13</v>
      </c>
      <c r="D36" s="13"/>
      <c r="E36" s="13" t="str">
        <v>C</v>
      </c>
      <c r="F36" s="13">
        <v>15</v>
      </c>
      <c r="G36" s="13" t="str">
        <v>Champix</v>
      </c>
      <c r="H36" s="13" t="e" vm="15">
        <f ca="1"/>
        <v>#VALUE!</v>
      </c>
      <c r="I36" s="13">
        <v>15</v>
      </c>
      <c r="J36" s="13">
        <v>10</v>
      </c>
      <c r="K36" s="13">
        <v>1</v>
      </c>
      <c r="L36" s="13">
        <v>4</v>
      </c>
      <c r="M36" s="13">
        <v>41</v>
      </c>
      <c r="N36" s="13">
        <v>19</v>
      </c>
      <c r="O36" s="13">
        <v>22</v>
      </c>
      <c r="P36" s="13">
        <v>0</v>
      </c>
      <c r="Q36" s="13">
        <v>700</v>
      </c>
      <c r="S36" s="17">
        <v>3</v>
      </c>
      <c r="T36" s="18"/>
      <c r="U36" s="17">
        <v>1</v>
      </c>
      <c r="V36" s="17" t="s">
        <v>71</v>
      </c>
      <c r="W36" s="18">
        <v>4</v>
      </c>
      <c r="X36" s="18" t="s">
        <v>342</v>
      </c>
      <c r="Y36" s="18">
        <f t="shared" si="5"/>
        <v>0</v>
      </c>
      <c r="Z36" s="17" t="s">
        <v>343</v>
      </c>
      <c r="AA36" s="17">
        <v>2</v>
      </c>
      <c r="AB36" s="17" t="s">
        <v>176</v>
      </c>
      <c r="AC36" s="17" t="s">
        <v>183</v>
      </c>
      <c r="AD36" s="17" t="s">
        <v>204</v>
      </c>
      <c r="AE36" s="17" t="s">
        <v>212</v>
      </c>
      <c r="AF36" s="1">
        <f t="shared" si="1"/>
        <v>1</v>
      </c>
      <c r="AG36" s="1">
        <f t="shared" si="2"/>
        <v>0</v>
      </c>
      <c r="AH36" s="1">
        <f t="shared" si="3"/>
        <v>0</v>
      </c>
      <c r="AJ36" s="17">
        <v>5</v>
      </c>
      <c r="AK36" s="13" t="str">
        <v>Champix</v>
      </c>
      <c r="AL36" s="13">
        <v>22</v>
      </c>
      <c r="AM36" s="13">
        <v>700</v>
      </c>
      <c r="AO36" s="17">
        <v>35</v>
      </c>
      <c r="AP36" s="13" t="str">
        <v>Getarez</v>
      </c>
      <c r="AQ36" s="1">
        <v>-30</v>
      </c>
      <c r="AR36" s="1">
        <v>233</v>
      </c>
    </row>
    <row r="37" spans="1:44">
      <c r="A37" s="17">
        <v>36</v>
      </c>
      <c r="B37" s="13" t="str">
        <v>Patrick</v>
      </c>
      <c r="C37" s="13">
        <v>21</v>
      </c>
      <c r="D37" s="13"/>
      <c r="E37" s="13" t="str">
        <v>C</v>
      </c>
      <c r="F37" s="13">
        <v>18</v>
      </c>
      <c r="G37" s="13" t="str">
        <v>Zarkov</v>
      </c>
      <c r="H37" s="13" t="e" vm="13">
        <f ca="1"/>
        <v>#VALUE!</v>
      </c>
      <c r="I37" s="13">
        <v>15</v>
      </c>
      <c r="J37" s="13">
        <v>7</v>
      </c>
      <c r="K37" s="13">
        <v>5</v>
      </c>
      <c r="L37" s="13">
        <v>3</v>
      </c>
      <c r="M37" s="13">
        <v>39</v>
      </c>
      <c r="N37" s="13">
        <v>21</v>
      </c>
      <c r="O37" s="13">
        <v>18</v>
      </c>
      <c r="P37" s="13">
        <v>0</v>
      </c>
      <c r="Q37" s="13">
        <v>633</v>
      </c>
      <c r="S37" s="17">
        <v>4</v>
      </c>
      <c r="T37" s="18"/>
      <c r="U37" s="17">
        <v>1</v>
      </c>
      <c r="V37" s="17" t="s">
        <v>71</v>
      </c>
      <c r="W37" s="18">
        <v>4</v>
      </c>
      <c r="X37" s="18" t="s">
        <v>342</v>
      </c>
      <c r="Y37" s="18">
        <f t="shared" si="5"/>
        <v>0</v>
      </c>
      <c r="Z37" s="17" t="s">
        <v>85</v>
      </c>
      <c r="AA37" s="17">
        <v>2</v>
      </c>
      <c r="AB37" s="17" t="s">
        <v>196</v>
      </c>
      <c r="AC37" s="17" t="s">
        <v>193</v>
      </c>
      <c r="AD37" s="17" t="s">
        <v>208</v>
      </c>
      <c r="AE37" s="17" t="s">
        <v>164</v>
      </c>
      <c r="AF37" s="1">
        <f t="shared" si="1"/>
        <v>1</v>
      </c>
      <c r="AG37" s="1">
        <f t="shared" si="2"/>
        <v>0</v>
      </c>
      <c r="AH37" s="1">
        <f t="shared" si="3"/>
        <v>0</v>
      </c>
      <c r="AJ37" s="17">
        <v>6</v>
      </c>
      <c r="AK37" s="13" t="str">
        <v>Zarkov</v>
      </c>
      <c r="AL37" s="13">
        <v>18</v>
      </c>
      <c r="AM37" s="13">
        <v>633</v>
      </c>
      <c r="AO37" s="17">
        <v>36</v>
      </c>
      <c r="AP37" s="13" t="str">
        <v>Miku</v>
      </c>
      <c r="AQ37" s="1">
        <v>-32</v>
      </c>
      <c r="AR37" s="1">
        <v>233</v>
      </c>
    </row>
    <row r="38" spans="1:44">
      <c r="A38" s="17">
        <v>37</v>
      </c>
      <c r="B38" s="13" t="str">
        <v>Pie999</v>
      </c>
      <c r="C38" s="13">
        <v>37</v>
      </c>
      <c r="D38" s="13"/>
      <c r="E38" s="13" t="str">
        <v>C</v>
      </c>
      <c r="F38" s="13">
        <v>21</v>
      </c>
      <c r="G38" s="13" t="str">
        <v>Patrick</v>
      </c>
      <c r="H38" s="13" t="e" vm="12">
        <f ca="1"/>
        <v>#VALUE!</v>
      </c>
      <c r="I38" s="13">
        <v>15</v>
      </c>
      <c r="J38" s="13">
        <v>8</v>
      </c>
      <c r="K38" s="13">
        <v>2</v>
      </c>
      <c r="L38" s="13">
        <v>5</v>
      </c>
      <c r="M38" s="13">
        <v>38</v>
      </c>
      <c r="N38" s="13">
        <v>22</v>
      </c>
      <c r="O38" s="13">
        <v>16</v>
      </c>
      <c r="P38" s="13">
        <v>0</v>
      </c>
      <c r="Q38" s="13">
        <v>600</v>
      </c>
      <c r="S38" s="17">
        <v>5</v>
      </c>
      <c r="T38" s="18"/>
      <c r="U38" s="17">
        <v>1</v>
      </c>
      <c r="V38" s="17" t="s">
        <v>71</v>
      </c>
      <c r="W38" s="18">
        <v>4</v>
      </c>
      <c r="X38" s="18" t="s">
        <v>342</v>
      </c>
      <c r="Y38" s="18">
        <f t="shared" si="5"/>
        <v>0</v>
      </c>
      <c r="Z38" s="17" t="s">
        <v>45</v>
      </c>
      <c r="AA38" s="17">
        <v>2</v>
      </c>
      <c r="AB38" s="17" t="s">
        <v>214</v>
      </c>
      <c r="AC38" s="17" t="s">
        <v>210</v>
      </c>
      <c r="AD38" s="17" t="s">
        <v>187</v>
      </c>
      <c r="AE38" s="17" t="s">
        <v>189</v>
      </c>
      <c r="AF38" s="1">
        <f t="shared" si="1"/>
        <v>1</v>
      </c>
      <c r="AG38" s="1">
        <f t="shared" si="2"/>
        <v>0</v>
      </c>
      <c r="AH38" s="1">
        <f t="shared" si="3"/>
        <v>0</v>
      </c>
      <c r="AJ38" s="17">
        <v>7</v>
      </c>
      <c r="AK38" s="13" t="str">
        <v>Thibault</v>
      </c>
      <c r="AL38" s="13">
        <v>12</v>
      </c>
      <c r="AM38" s="13">
        <v>633</v>
      </c>
      <c r="AO38" s="17">
        <v>37</v>
      </c>
      <c r="AP38" s="13" t="str">
        <v>Danny</v>
      </c>
      <c r="AQ38" s="1">
        <v>-32</v>
      </c>
      <c r="AR38" s="1">
        <v>233</v>
      </c>
    </row>
    <row r="39" spans="1:44">
      <c r="A39" s="17">
        <v>38</v>
      </c>
      <c r="B39" s="13" t="str">
        <v>Rune</v>
      </c>
      <c r="C39" s="13">
        <v>33</v>
      </c>
      <c r="D39" s="13"/>
      <c r="E39" s="13" t="str">
        <v>C</v>
      </c>
      <c r="F39" s="13">
        <v>24</v>
      </c>
      <c r="G39" s="13" t="str">
        <v>Mark</v>
      </c>
      <c r="H39" s="13" t="e" vm="12">
        <f ca="1"/>
        <v>#VALUE!</v>
      </c>
      <c r="I39" s="13">
        <v>15</v>
      </c>
      <c r="J39" s="13">
        <v>6</v>
      </c>
      <c r="K39" s="13">
        <v>1</v>
      </c>
      <c r="L39" s="13">
        <v>8</v>
      </c>
      <c r="M39" s="13">
        <v>27</v>
      </c>
      <c r="N39" s="13">
        <v>33</v>
      </c>
      <c r="O39" s="13">
        <v>-6</v>
      </c>
      <c r="P39" s="13">
        <v>0</v>
      </c>
      <c r="Q39" s="13">
        <v>433</v>
      </c>
      <c r="S39" s="17">
        <v>6</v>
      </c>
      <c r="T39" s="18"/>
      <c r="U39" s="17">
        <v>2</v>
      </c>
      <c r="V39" s="17" t="s">
        <v>71</v>
      </c>
      <c r="W39" s="18">
        <v>3</v>
      </c>
      <c r="X39" s="18" t="s">
        <v>342</v>
      </c>
      <c r="Y39" s="18">
        <f t="shared" si="5"/>
        <v>1</v>
      </c>
      <c r="Z39" s="17" t="s">
        <v>37</v>
      </c>
      <c r="AA39" s="17">
        <v>1</v>
      </c>
      <c r="AB39" s="17" t="s">
        <v>204</v>
      </c>
      <c r="AC39" s="17" t="s">
        <v>210</v>
      </c>
      <c r="AD39" s="17" t="s">
        <v>180</v>
      </c>
      <c r="AE39" s="17" t="s">
        <v>189</v>
      </c>
      <c r="AF39" s="1">
        <f t="shared" si="1"/>
        <v>1</v>
      </c>
      <c r="AG39" s="1">
        <f t="shared" si="2"/>
        <v>0</v>
      </c>
      <c r="AH39" s="1">
        <f t="shared" si="3"/>
        <v>0</v>
      </c>
      <c r="AJ39" s="17">
        <v>8</v>
      </c>
      <c r="AK39" s="13" t="str">
        <v>Patrick</v>
      </c>
      <c r="AL39" s="13">
        <v>16</v>
      </c>
      <c r="AM39" s="13">
        <v>600</v>
      </c>
      <c r="AO39" s="17">
        <v>38</v>
      </c>
      <c r="AP39" s="13" t="str">
        <v>Cap</v>
      </c>
      <c r="AQ39" s="1">
        <v>-36</v>
      </c>
      <c r="AR39" s="1">
        <v>200</v>
      </c>
    </row>
    <row r="40" spans="1:44">
      <c r="A40" s="17">
        <v>39</v>
      </c>
      <c r="B40" s="13" t="str">
        <v>Sami</v>
      </c>
      <c r="C40" s="13">
        <v>1</v>
      </c>
      <c r="D40" s="13"/>
      <c r="E40" s="13" t="str">
        <v>C</v>
      </c>
      <c r="F40" s="13">
        <v>27</v>
      </c>
      <c r="G40" s="13" t="str">
        <v>Thibault</v>
      </c>
      <c r="H40" s="13" t="e" vm="15">
        <f ca="1"/>
        <v>#VALUE!</v>
      </c>
      <c r="I40" s="13">
        <v>15</v>
      </c>
      <c r="J40" s="13">
        <v>9</v>
      </c>
      <c r="K40" s="13">
        <v>1</v>
      </c>
      <c r="L40" s="13">
        <v>5</v>
      </c>
      <c r="M40" s="13">
        <v>36</v>
      </c>
      <c r="N40" s="13">
        <v>24</v>
      </c>
      <c r="O40" s="13">
        <v>12</v>
      </c>
      <c r="P40" s="13">
        <v>0</v>
      </c>
      <c r="Q40" s="13">
        <v>633</v>
      </c>
      <c r="S40" s="17">
        <v>7</v>
      </c>
      <c r="T40" s="18"/>
      <c r="U40" s="17">
        <v>2</v>
      </c>
      <c r="V40" s="17" t="s">
        <v>71</v>
      </c>
      <c r="W40" s="18">
        <v>4</v>
      </c>
      <c r="X40" s="18" t="s">
        <v>342</v>
      </c>
      <c r="Y40" s="18">
        <f t="shared" si="5"/>
        <v>0</v>
      </c>
      <c r="Z40" s="17" t="s">
        <v>95</v>
      </c>
      <c r="AA40" s="17">
        <v>1</v>
      </c>
      <c r="AB40" s="17" t="s">
        <v>187</v>
      </c>
      <c r="AC40" s="17" t="s">
        <v>206</v>
      </c>
      <c r="AD40" s="17" t="s">
        <v>183</v>
      </c>
      <c r="AE40" s="17" t="s">
        <v>196</v>
      </c>
      <c r="AF40" s="1">
        <f t="shared" si="1"/>
        <v>1</v>
      </c>
      <c r="AG40" s="1">
        <f t="shared" si="2"/>
        <v>0</v>
      </c>
      <c r="AH40" s="1">
        <f t="shared" si="3"/>
        <v>0</v>
      </c>
      <c r="AJ40" s="17">
        <v>9</v>
      </c>
      <c r="AK40" s="13" t="str">
        <v>Rune</v>
      </c>
      <c r="AL40" s="13">
        <v>-8</v>
      </c>
      <c r="AM40" s="13">
        <v>466</v>
      </c>
      <c r="AO40" s="17">
        <v>39</v>
      </c>
      <c r="AP40" s="13" t="str">
        <v>Bluh</v>
      </c>
      <c r="AQ40" s="1">
        <v>-38</v>
      </c>
      <c r="AR40" s="1">
        <v>200</v>
      </c>
    </row>
    <row r="41" spans="1:44">
      <c r="A41" s="17">
        <v>40</v>
      </c>
      <c r="B41" s="13" t="str">
        <v>Narnet</v>
      </c>
      <c r="C41" s="13">
        <v>19</v>
      </c>
      <c r="D41" s="13"/>
      <c r="E41" s="13" t="str">
        <v>C</v>
      </c>
      <c r="F41" s="13">
        <v>30</v>
      </c>
      <c r="G41" s="13" t="str">
        <v>FF</v>
      </c>
      <c r="H41" s="13" t="e" vm="15">
        <f ca="1"/>
        <v>#VALUE!</v>
      </c>
      <c r="I41" s="13">
        <v>15</v>
      </c>
      <c r="J41" s="13">
        <v>6</v>
      </c>
      <c r="K41" s="13">
        <v>1</v>
      </c>
      <c r="L41" s="13">
        <v>8</v>
      </c>
      <c r="M41" s="13">
        <v>28</v>
      </c>
      <c r="N41" s="13">
        <v>32</v>
      </c>
      <c r="O41" s="13">
        <v>-4</v>
      </c>
      <c r="P41" s="13">
        <v>0</v>
      </c>
      <c r="Q41" s="13">
        <v>433</v>
      </c>
      <c r="S41" s="17">
        <v>8</v>
      </c>
      <c r="T41" s="18"/>
      <c r="U41" s="17">
        <v>2</v>
      </c>
      <c r="V41" s="17" t="s">
        <v>71</v>
      </c>
      <c r="W41" s="18">
        <v>4</v>
      </c>
      <c r="X41" s="18" t="s">
        <v>342</v>
      </c>
      <c r="Y41" s="18">
        <f t="shared" si="5"/>
        <v>0</v>
      </c>
      <c r="Z41" s="17" t="s">
        <v>43</v>
      </c>
      <c r="AA41" s="17">
        <v>1</v>
      </c>
      <c r="AB41" s="17" t="s">
        <v>200</v>
      </c>
      <c r="AC41" s="17" t="s">
        <v>198</v>
      </c>
      <c r="AD41" s="17" t="s">
        <v>212</v>
      </c>
      <c r="AE41" s="17" t="s">
        <v>185</v>
      </c>
      <c r="AF41" s="1">
        <f t="shared" si="1"/>
        <v>1</v>
      </c>
      <c r="AG41" s="1">
        <f t="shared" si="2"/>
        <v>0</v>
      </c>
      <c r="AH41" s="1">
        <f t="shared" si="3"/>
        <v>0</v>
      </c>
      <c r="AJ41" s="17">
        <v>10</v>
      </c>
      <c r="AK41" s="13" t="str">
        <v>FF</v>
      </c>
      <c r="AL41" s="13">
        <v>-4</v>
      </c>
      <c r="AM41" s="13">
        <v>433</v>
      </c>
      <c r="AO41" s="17">
        <v>40</v>
      </c>
      <c r="AP41" s="13" t="str">
        <v>Oni</v>
      </c>
      <c r="AQ41" s="1">
        <v>-38</v>
      </c>
      <c r="AR41" s="1">
        <v>166</v>
      </c>
    </row>
    <row r="42" spans="1:44">
      <c r="A42" s="17">
        <v>41</v>
      </c>
      <c r="B42" s="13" t="str">
        <v>Sjors</v>
      </c>
      <c r="C42" s="13">
        <v>23</v>
      </c>
      <c r="D42" s="13"/>
      <c r="E42" s="13" t="str">
        <v>C</v>
      </c>
      <c r="F42" s="13">
        <v>33</v>
      </c>
      <c r="G42" s="13" t="str">
        <v>Rune</v>
      </c>
      <c r="H42" s="13" t="e" vm="12">
        <f ca="1"/>
        <v>#VALUE!</v>
      </c>
      <c r="I42" s="13">
        <v>15</v>
      </c>
      <c r="J42" s="13">
        <v>7</v>
      </c>
      <c r="K42" s="13">
        <v>0</v>
      </c>
      <c r="L42" s="13">
        <v>8</v>
      </c>
      <c r="M42" s="13">
        <v>26</v>
      </c>
      <c r="N42" s="13">
        <v>34</v>
      </c>
      <c r="O42" s="13">
        <v>-8</v>
      </c>
      <c r="P42" s="13">
        <v>0</v>
      </c>
      <c r="Q42" s="13">
        <v>466</v>
      </c>
      <c r="S42" s="17">
        <v>9</v>
      </c>
      <c r="T42" s="18"/>
      <c r="U42" s="17">
        <v>2</v>
      </c>
      <c r="V42" s="17" t="s">
        <v>71</v>
      </c>
      <c r="W42" s="18">
        <v>3</v>
      </c>
      <c r="X42" s="18" t="s">
        <v>342</v>
      </c>
      <c r="Y42" s="18">
        <f t="shared" si="5"/>
        <v>1</v>
      </c>
      <c r="Z42" s="17" t="s">
        <v>59</v>
      </c>
      <c r="AA42" s="17">
        <v>1</v>
      </c>
      <c r="AB42" s="17" t="s">
        <v>202</v>
      </c>
      <c r="AC42" s="17" t="s">
        <v>164</v>
      </c>
      <c r="AD42" s="17" t="s">
        <v>191</v>
      </c>
      <c r="AE42" s="17" t="s">
        <v>176</v>
      </c>
      <c r="AF42" s="1">
        <f t="shared" si="1"/>
        <v>1</v>
      </c>
      <c r="AG42" s="1">
        <f t="shared" si="2"/>
        <v>0</v>
      </c>
      <c r="AH42" s="1">
        <f t="shared" si="3"/>
        <v>0</v>
      </c>
      <c r="AJ42" s="17">
        <v>11</v>
      </c>
      <c r="AK42" s="13" t="str">
        <v>Mark</v>
      </c>
      <c r="AL42" s="13">
        <v>-6</v>
      </c>
      <c r="AM42" s="13">
        <v>433</v>
      </c>
      <c r="AO42" s="17">
        <v>41</v>
      </c>
      <c r="AP42" s="13" t="str">
        <v>Lio</v>
      </c>
      <c r="AQ42" s="1">
        <v>-42</v>
      </c>
      <c r="AR42" s="1">
        <v>133</v>
      </c>
    </row>
    <row r="43" spans="1:44">
      <c r="A43" s="17">
        <v>42</v>
      </c>
      <c r="B43" s="13" t="str">
        <v>Jarmou</v>
      </c>
      <c r="C43" s="13">
        <v>4</v>
      </c>
      <c r="D43" s="13"/>
      <c r="E43" s="13" t="str">
        <v>C</v>
      </c>
      <c r="F43" s="13">
        <v>36</v>
      </c>
      <c r="G43" s="13" t="str">
        <v>Getarez</v>
      </c>
      <c r="H43" s="13" t="e" vm="15">
        <f ca="1"/>
        <v>#VALUE!</v>
      </c>
      <c r="I43" s="13">
        <v>15</v>
      </c>
      <c r="J43" s="13">
        <v>3</v>
      </c>
      <c r="K43" s="13">
        <v>1</v>
      </c>
      <c r="L43" s="13">
        <v>11</v>
      </c>
      <c r="M43" s="13">
        <v>15</v>
      </c>
      <c r="N43" s="13">
        <v>45</v>
      </c>
      <c r="O43" s="13">
        <v>-30</v>
      </c>
      <c r="P43" s="13">
        <v>0</v>
      </c>
      <c r="Q43" s="13">
        <v>233</v>
      </c>
      <c r="S43" s="17">
        <v>10</v>
      </c>
      <c r="T43" s="18"/>
      <c r="U43" s="17">
        <v>1</v>
      </c>
      <c r="V43" s="17" t="s">
        <v>71</v>
      </c>
      <c r="W43" s="18">
        <v>3</v>
      </c>
      <c r="X43" s="18" t="s">
        <v>342</v>
      </c>
      <c r="Y43" s="18">
        <f t="shared" si="5"/>
        <v>1</v>
      </c>
      <c r="Z43" s="17" t="s">
        <v>103</v>
      </c>
      <c r="AA43" s="17">
        <v>2</v>
      </c>
      <c r="AB43" s="17" t="s">
        <v>172</v>
      </c>
      <c r="AC43" s="17" t="s">
        <v>208</v>
      </c>
      <c r="AD43" s="17" t="s">
        <v>214</v>
      </c>
      <c r="AE43" s="17" t="s">
        <v>193</v>
      </c>
      <c r="AF43" s="1">
        <f t="shared" si="1"/>
        <v>1</v>
      </c>
      <c r="AG43" s="1">
        <f t="shared" si="2"/>
        <v>0</v>
      </c>
      <c r="AH43" s="1">
        <f t="shared" si="3"/>
        <v>0</v>
      </c>
      <c r="AJ43" s="17">
        <v>12</v>
      </c>
      <c r="AK43" s="13" t="str">
        <v>Getarez</v>
      </c>
      <c r="AL43" s="13">
        <v>-30</v>
      </c>
      <c r="AM43" s="13">
        <v>233</v>
      </c>
      <c r="AO43" s="17">
        <v>42</v>
      </c>
      <c r="AP43" s="13" t="str">
        <v>BigMountain</v>
      </c>
      <c r="AQ43" s="1">
        <v>-38</v>
      </c>
      <c r="AR43" s="1">
        <v>100</v>
      </c>
    </row>
    <row r="44" spans="1:44">
      <c r="A44" s="17">
        <v>43</v>
      </c>
      <c r="B44" s="13" t="str">
        <v>Takashi</v>
      </c>
      <c r="C44" s="13">
        <v>6</v>
      </c>
      <c r="D44" s="13"/>
      <c r="E44" s="13" t="str">
        <v>C</v>
      </c>
      <c r="F44" s="13">
        <v>39</v>
      </c>
      <c r="G44" s="13" t="str">
        <v>Oni</v>
      </c>
      <c r="H44" s="13" t="e" vm="15">
        <f ca="1"/>
        <v>#VALUE!</v>
      </c>
      <c r="I44" s="13">
        <v>15</v>
      </c>
      <c r="J44" s="13">
        <v>2</v>
      </c>
      <c r="K44" s="13">
        <v>1</v>
      </c>
      <c r="L44" s="13">
        <v>12</v>
      </c>
      <c r="M44" s="13">
        <v>11</v>
      </c>
      <c r="N44" s="13">
        <v>49</v>
      </c>
      <c r="O44" s="13">
        <v>-38</v>
      </c>
      <c r="P44" s="13">
        <v>0</v>
      </c>
      <c r="Q44" s="13">
        <v>166</v>
      </c>
      <c r="S44" s="17">
        <v>11</v>
      </c>
      <c r="T44" s="18"/>
      <c r="U44" s="17">
        <v>2</v>
      </c>
      <c r="V44" s="17" t="s">
        <v>71</v>
      </c>
      <c r="W44" s="18">
        <v>4</v>
      </c>
      <c r="X44" s="18" t="s">
        <v>342</v>
      </c>
      <c r="Y44" s="18">
        <f t="shared" si="5"/>
        <v>0</v>
      </c>
      <c r="Z44" s="17" t="s">
        <v>101</v>
      </c>
      <c r="AA44" s="17">
        <v>1</v>
      </c>
      <c r="AB44" s="17" t="s">
        <v>193</v>
      </c>
      <c r="AC44" s="17" t="s">
        <v>206</v>
      </c>
      <c r="AD44" s="17" t="s">
        <v>172</v>
      </c>
      <c r="AE44" s="17" t="s">
        <v>210</v>
      </c>
      <c r="AF44" s="1">
        <f t="shared" si="1"/>
        <v>1</v>
      </c>
      <c r="AG44" s="1">
        <f t="shared" si="2"/>
        <v>0</v>
      </c>
      <c r="AH44" s="1">
        <f t="shared" si="3"/>
        <v>0</v>
      </c>
      <c r="AJ44" s="17">
        <v>13</v>
      </c>
      <c r="AK44" s="13" t="str">
        <v>Cap</v>
      </c>
      <c r="AL44" s="13">
        <v>-36</v>
      </c>
      <c r="AM44" s="13">
        <v>200</v>
      </c>
      <c r="AO44" s="17">
        <v>43</v>
      </c>
      <c r="AP44" s="13" t="str">
        <v>Mackie</v>
      </c>
      <c r="AQ44" s="1">
        <v>-46</v>
      </c>
      <c r="AR44" s="1">
        <v>100</v>
      </c>
    </row>
    <row r="45" spans="1:44">
      <c r="A45" s="17">
        <v>44</v>
      </c>
      <c r="B45" s="13" t="str">
        <v>Thibault</v>
      </c>
      <c r="C45" s="13">
        <v>27</v>
      </c>
      <c r="D45" s="13"/>
      <c r="E45" s="13" t="str">
        <v>C</v>
      </c>
      <c r="F45" s="13">
        <v>42</v>
      </c>
      <c r="G45" s="13" t="str">
        <v>Ale</v>
      </c>
      <c r="H45" s="13" t="e" vm="20">
        <f ca="1"/>
        <v>#VALUE!</v>
      </c>
      <c r="I45" s="13">
        <v>15</v>
      </c>
      <c r="J45" s="13">
        <v>1</v>
      </c>
      <c r="K45" s="13">
        <v>0</v>
      </c>
      <c r="L45" s="13">
        <v>14</v>
      </c>
      <c r="M45" s="13">
        <v>5</v>
      </c>
      <c r="N45" s="13">
        <v>55</v>
      </c>
      <c r="O45" s="13">
        <v>-50</v>
      </c>
      <c r="P45" s="13">
        <v>0</v>
      </c>
      <c r="Q45" s="13">
        <v>66</v>
      </c>
      <c r="S45" s="17">
        <v>12</v>
      </c>
      <c r="T45" s="18"/>
      <c r="U45" s="17">
        <v>2</v>
      </c>
      <c r="V45" s="17" t="s">
        <v>71</v>
      </c>
      <c r="W45" s="18">
        <v>4</v>
      </c>
      <c r="X45" s="18" t="s">
        <v>342</v>
      </c>
      <c r="Y45" s="18">
        <f t="shared" si="5"/>
        <v>0</v>
      </c>
      <c r="Z45" s="17" t="s">
        <v>117</v>
      </c>
      <c r="AA45" s="17">
        <v>1</v>
      </c>
      <c r="AB45" s="17" t="s">
        <v>214</v>
      </c>
      <c r="AC45" s="17" t="s">
        <v>180</v>
      </c>
      <c r="AD45" s="17" t="s">
        <v>176</v>
      </c>
      <c r="AE45" s="17" t="s">
        <v>202</v>
      </c>
      <c r="AF45" s="1">
        <f t="shared" si="1"/>
        <v>1</v>
      </c>
      <c r="AG45" s="1">
        <f t="shared" si="2"/>
        <v>0</v>
      </c>
      <c r="AH45" s="1">
        <f t="shared" si="3"/>
        <v>0</v>
      </c>
      <c r="AJ45" s="17">
        <v>14</v>
      </c>
      <c r="AK45" s="13" t="str">
        <v>Oni</v>
      </c>
      <c r="AL45" s="13">
        <v>-38</v>
      </c>
      <c r="AM45" s="13">
        <v>166</v>
      </c>
      <c r="AO45" s="17">
        <v>44</v>
      </c>
      <c r="AP45" s="13" t="str">
        <v>Pie999</v>
      </c>
      <c r="AQ45" s="1">
        <v>-50</v>
      </c>
      <c r="AR45" s="1">
        <v>66</v>
      </c>
    </row>
    <row r="46" spans="1:44">
      <c r="A46" s="17">
        <v>45</v>
      </c>
      <c r="B46" s="13" t="str">
        <v>Ours</v>
      </c>
      <c r="C46" s="13">
        <v>32</v>
      </c>
      <c r="D46" s="13"/>
      <c r="E46" s="13" t="str">
        <v>C</v>
      </c>
      <c r="F46" s="13">
        <v>45</v>
      </c>
      <c r="G46" s="13" t="str">
        <v>Cap</v>
      </c>
      <c r="H46" s="13" t="e" vm="15">
        <f ca="1"/>
        <v>#VALUE!</v>
      </c>
      <c r="I46" s="13">
        <v>15</v>
      </c>
      <c r="J46" s="13">
        <v>3</v>
      </c>
      <c r="K46" s="13">
        <v>0</v>
      </c>
      <c r="L46" s="13">
        <v>12</v>
      </c>
      <c r="M46" s="13">
        <v>12</v>
      </c>
      <c r="N46" s="13">
        <v>48</v>
      </c>
      <c r="O46" s="13">
        <v>-36</v>
      </c>
      <c r="P46" s="13">
        <v>0</v>
      </c>
      <c r="Q46" s="13">
        <v>200</v>
      </c>
      <c r="S46" s="17">
        <v>13</v>
      </c>
      <c r="T46" s="18"/>
      <c r="U46" s="17">
        <v>2</v>
      </c>
      <c r="V46" s="17" t="s">
        <v>71</v>
      </c>
      <c r="W46" s="18">
        <v>3</v>
      </c>
      <c r="X46" s="18" t="s">
        <v>342</v>
      </c>
      <c r="Y46" s="18">
        <f t="shared" si="5"/>
        <v>1</v>
      </c>
      <c r="Z46" s="17" t="s">
        <v>121</v>
      </c>
      <c r="AA46" s="17">
        <v>1</v>
      </c>
      <c r="AB46" s="17" t="s">
        <v>183</v>
      </c>
      <c r="AC46" s="17" t="s">
        <v>208</v>
      </c>
      <c r="AD46" s="17" t="s">
        <v>189</v>
      </c>
      <c r="AE46" s="17" t="s">
        <v>196</v>
      </c>
      <c r="AF46" s="1">
        <f t="shared" si="1"/>
        <v>1</v>
      </c>
      <c r="AG46" s="1">
        <f t="shared" si="2"/>
        <v>0</v>
      </c>
      <c r="AH46" s="1">
        <f t="shared" si="3"/>
        <v>0</v>
      </c>
      <c r="AJ46" s="17">
        <v>15</v>
      </c>
      <c r="AK46" s="13" t="str">
        <v>Ale</v>
      </c>
      <c r="AL46" s="13">
        <v>-50</v>
      </c>
      <c r="AM46" s="13">
        <v>66</v>
      </c>
      <c r="AO46" s="17">
        <v>45</v>
      </c>
      <c r="AP46" s="13" t="str">
        <v>Ale</v>
      </c>
      <c r="AQ46" s="1">
        <v>-50</v>
      </c>
      <c r="AR46" s="1">
        <v>66</v>
      </c>
    </row>
    <row r="47" spans="1:44">
      <c r="E47" s="1" t="str">
        <v>X</v>
      </c>
      <c r="F47" s="1" t="str">
        <v/>
      </c>
      <c r="G47" s="1" t="str">
        <v/>
      </c>
      <c r="H47" s="1" t="str">
        <f ca="1"/>
        <v/>
      </c>
      <c r="I47" s="1">
        <v>0</v>
      </c>
      <c r="J47" s="1">
        <v>0</v>
      </c>
      <c r="K47" s="1">
        <v>0</v>
      </c>
      <c r="L47" s="1">
        <v>0</v>
      </c>
      <c r="M47" s="1">
        <v>0</v>
      </c>
      <c r="N47" s="1">
        <v>0</v>
      </c>
      <c r="O47" s="1">
        <v>0</v>
      </c>
      <c r="P47" s="1">
        <v>0</v>
      </c>
      <c r="Q47" s="1">
        <v>0</v>
      </c>
      <c r="S47" s="17">
        <v>14</v>
      </c>
      <c r="T47" s="18"/>
      <c r="U47" s="17">
        <v>1</v>
      </c>
      <c r="V47" s="17" t="s">
        <v>71</v>
      </c>
      <c r="W47" s="18">
        <v>0</v>
      </c>
      <c r="X47" s="18" t="s">
        <v>342</v>
      </c>
      <c r="Y47" s="18">
        <f t="shared" si="5"/>
        <v>4</v>
      </c>
      <c r="Z47" s="17" t="s">
        <v>115</v>
      </c>
      <c r="AA47" s="17">
        <v>2</v>
      </c>
      <c r="AB47" s="17" t="s">
        <v>204</v>
      </c>
      <c r="AC47" s="17" t="s">
        <v>185</v>
      </c>
      <c r="AD47" s="17" t="s">
        <v>164</v>
      </c>
      <c r="AE47" s="17" t="s">
        <v>187</v>
      </c>
      <c r="AF47" s="1">
        <f t="shared" si="1"/>
        <v>0</v>
      </c>
      <c r="AG47" s="1">
        <f t="shared" si="2"/>
        <v>0</v>
      </c>
      <c r="AH47" s="1">
        <f t="shared" si="3"/>
        <v>1</v>
      </c>
      <c r="AJ47" s="1" t="str">
        <v/>
      </c>
      <c r="AK47" s="1" t="str">
        <v/>
      </c>
      <c r="AL47" s="1">
        <v>0</v>
      </c>
      <c r="AM47" s="1">
        <v>0</v>
      </c>
      <c r="AP47" s="1" t="str">
        <v/>
      </c>
      <c r="AQ47" s="1">
        <v>0</v>
      </c>
      <c r="AR47" s="1">
        <v>0</v>
      </c>
    </row>
    <row r="48" spans="1:44">
      <c r="S48" s="17">
        <v>15</v>
      </c>
      <c r="T48" s="18"/>
      <c r="U48" s="17">
        <v>1</v>
      </c>
      <c r="V48" s="17" t="s">
        <v>71</v>
      </c>
      <c r="W48" s="18">
        <v>1</v>
      </c>
      <c r="X48" s="18" t="s">
        <v>342</v>
      </c>
      <c r="Y48" s="18">
        <f t="shared" si="5"/>
        <v>3</v>
      </c>
      <c r="Z48" s="17" t="s">
        <v>67</v>
      </c>
      <c r="AA48" s="17">
        <v>2</v>
      </c>
      <c r="AB48" s="17" t="s">
        <v>198</v>
      </c>
      <c r="AC48" s="17" t="s">
        <v>212</v>
      </c>
      <c r="AD48" s="17" t="s">
        <v>200</v>
      </c>
      <c r="AE48" s="17" t="s">
        <v>191</v>
      </c>
      <c r="AF48" s="1">
        <f t="shared" si="1"/>
        <v>0</v>
      </c>
      <c r="AG48" s="1">
        <f t="shared" si="2"/>
        <v>0</v>
      </c>
      <c r="AH48" s="1">
        <f t="shared" si="3"/>
        <v>1</v>
      </c>
    </row>
    <row r="49" spans="19:34">
      <c r="S49" s="58" t="s">
        <v>339</v>
      </c>
      <c r="T49" s="58" t="s">
        <v>340</v>
      </c>
      <c r="U49" s="58" t="s">
        <v>341</v>
      </c>
      <c r="V49" s="58" t="s">
        <v>1</v>
      </c>
      <c r="W49" s="69" t="s">
        <v>220</v>
      </c>
      <c r="X49" s="70"/>
      <c r="Y49" s="71"/>
      <c r="Z49" s="58" t="s">
        <v>1</v>
      </c>
      <c r="AA49" s="58" t="s">
        <v>341</v>
      </c>
      <c r="AB49" s="58" t="s">
        <v>225</v>
      </c>
      <c r="AC49" s="58" t="s">
        <v>228</v>
      </c>
      <c r="AD49" s="58" t="s">
        <v>230</v>
      </c>
      <c r="AE49" s="58" t="s">
        <v>232</v>
      </c>
      <c r="AF49" s="1">
        <f t="shared" si="1"/>
        <v>1</v>
      </c>
      <c r="AG49" s="1">
        <f t="shared" si="2"/>
        <v>0</v>
      </c>
      <c r="AH49" s="1">
        <f t="shared" si="3"/>
        <v>0</v>
      </c>
    </row>
    <row r="50" spans="19:34">
      <c r="S50" s="17">
        <v>1</v>
      </c>
      <c r="T50" s="18"/>
      <c r="U50" s="17">
        <v>1</v>
      </c>
      <c r="V50" s="17" t="s">
        <v>67</v>
      </c>
      <c r="W50" s="18">
        <v>4</v>
      </c>
      <c r="X50" s="18" t="s">
        <v>342</v>
      </c>
      <c r="Y50" s="18">
        <f t="shared" ref="Y50:Y64" si="6">IF(W50="","",4-W50)</f>
        <v>0</v>
      </c>
      <c r="Z50" s="17" t="s">
        <v>109</v>
      </c>
      <c r="AA50" s="17">
        <v>2</v>
      </c>
      <c r="AB50" s="17" t="s">
        <v>191</v>
      </c>
      <c r="AC50" s="17" t="s">
        <v>185</v>
      </c>
      <c r="AD50" s="17" t="s">
        <v>206</v>
      </c>
      <c r="AE50" s="17" t="s">
        <v>202</v>
      </c>
      <c r="AF50" s="1">
        <f t="shared" si="1"/>
        <v>1</v>
      </c>
      <c r="AG50" s="1">
        <f t="shared" si="2"/>
        <v>0</v>
      </c>
      <c r="AH50" s="1">
        <f t="shared" si="3"/>
        <v>0</v>
      </c>
    </row>
    <row r="51" spans="19:34">
      <c r="S51" s="17">
        <v>2</v>
      </c>
      <c r="T51" s="18"/>
      <c r="U51" s="17">
        <v>2</v>
      </c>
      <c r="V51" s="17" t="s">
        <v>67</v>
      </c>
      <c r="W51" s="18">
        <v>4</v>
      </c>
      <c r="X51" s="18" t="s">
        <v>342</v>
      </c>
      <c r="Y51" s="18">
        <f t="shared" si="6"/>
        <v>0</v>
      </c>
      <c r="Z51" s="17" t="s">
        <v>33</v>
      </c>
      <c r="AA51" s="17">
        <v>1</v>
      </c>
      <c r="AB51" s="17" t="s">
        <v>180</v>
      </c>
      <c r="AC51" s="17" t="s">
        <v>172</v>
      </c>
      <c r="AD51" s="17" t="s">
        <v>200</v>
      </c>
      <c r="AE51" s="17" t="s">
        <v>198</v>
      </c>
      <c r="AF51" s="1">
        <f t="shared" si="1"/>
        <v>1</v>
      </c>
      <c r="AG51" s="1">
        <f t="shared" si="2"/>
        <v>0</v>
      </c>
      <c r="AH51" s="1">
        <f t="shared" si="3"/>
        <v>0</v>
      </c>
    </row>
    <row r="52" spans="19:34">
      <c r="S52" s="17">
        <v>3</v>
      </c>
      <c r="T52" s="18"/>
      <c r="U52" s="17">
        <v>2</v>
      </c>
      <c r="V52" s="17" t="s">
        <v>67</v>
      </c>
      <c r="W52" s="18">
        <v>4</v>
      </c>
      <c r="X52" s="18" t="s">
        <v>342</v>
      </c>
      <c r="Y52" s="18">
        <f t="shared" si="6"/>
        <v>0</v>
      </c>
      <c r="Z52" s="17" t="s">
        <v>85</v>
      </c>
      <c r="AA52" s="17">
        <v>1</v>
      </c>
      <c r="AB52" s="17" t="s">
        <v>176</v>
      </c>
      <c r="AC52" s="17" t="s">
        <v>183</v>
      </c>
      <c r="AD52" s="17" t="s">
        <v>204</v>
      </c>
      <c r="AE52" s="17" t="s">
        <v>212</v>
      </c>
      <c r="AF52" s="1">
        <f t="shared" si="1"/>
        <v>1</v>
      </c>
      <c r="AG52" s="1">
        <f t="shared" si="2"/>
        <v>0</v>
      </c>
      <c r="AH52" s="1">
        <f t="shared" si="3"/>
        <v>0</v>
      </c>
    </row>
    <row r="53" spans="19:34">
      <c r="S53" s="17">
        <v>4</v>
      </c>
      <c r="T53" s="18"/>
      <c r="U53" s="17">
        <v>1</v>
      </c>
      <c r="V53" s="17" t="s">
        <v>67</v>
      </c>
      <c r="W53" s="18">
        <v>4</v>
      </c>
      <c r="X53" s="18" t="s">
        <v>342</v>
      </c>
      <c r="Y53" s="18">
        <f t="shared" si="6"/>
        <v>0</v>
      </c>
      <c r="Z53" s="17" t="s">
        <v>343</v>
      </c>
      <c r="AA53" s="17">
        <v>2</v>
      </c>
      <c r="AB53" s="17" t="s">
        <v>196</v>
      </c>
      <c r="AC53" s="17" t="s">
        <v>193</v>
      </c>
      <c r="AD53" s="17" t="s">
        <v>208</v>
      </c>
      <c r="AE53" s="17" t="s">
        <v>164</v>
      </c>
      <c r="AF53" s="1">
        <f t="shared" si="1"/>
        <v>1</v>
      </c>
      <c r="AG53" s="1">
        <f t="shared" si="2"/>
        <v>0</v>
      </c>
      <c r="AH53" s="1">
        <f t="shared" si="3"/>
        <v>0</v>
      </c>
    </row>
    <row r="54" spans="19:34">
      <c r="S54" s="17">
        <v>5</v>
      </c>
      <c r="T54" s="18"/>
      <c r="U54" s="17">
        <v>2</v>
      </c>
      <c r="V54" s="17" t="s">
        <v>67</v>
      </c>
      <c r="W54" s="18">
        <v>4</v>
      </c>
      <c r="X54" s="18" t="s">
        <v>342</v>
      </c>
      <c r="Y54" s="18">
        <f t="shared" si="6"/>
        <v>0</v>
      </c>
      <c r="Z54" s="17" t="s">
        <v>37</v>
      </c>
      <c r="AA54" s="17">
        <v>1</v>
      </c>
      <c r="AB54" s="17" t="s">
        <v>214</v>
      </c>
      <c r="AC54" s="17" t="s">
        <v>210</v>
      </c>
      <c r="AD54" s="17" t="s">
        <v>187</v>
      </c>
      <c r="AE54" s="17" t="s">
        <v>189</v>
      </c>
      <c r="AF54" s="1">
        <f t="shared" si="1"/>
        <v>1</v>
      </c>
      <c r="AG54" s="1">
        <f t="shared" si="2"/>
        <v>0</v>
      </c>
      <c r="AH54" s="1">
        <f t="shared" si="3"/>
        <v>0</v>
      </c>
    </row>
    <row r="55" spans="19:34">
      <c r="S55" s="17">
        <v>6</v>
      </c>
      <c r="T55" s="18"/>
      <c r="U55" s="17">
        <v>2</v>
      </c>
      <c r="V55" s="17" t="s">
        <v>67</v>
      </c>
      <c r="W55" s="18">
        <v>4</v>
      </c>
      <c r="X55" s="18" t="s">
        <v>342</v>
      </c>
      <c r="Y55" s="18">
        <f t="shared" si="6"/>
        <v>0</v>
      </c>
      <c r="Z55" s="17" t="s">
        <v>45</v>
      </c>
      <c r="AA55" s="17">
        <v>1</v>
      </c>
      <c r="AB55" s="17" t="s">
        <v>204</v>
      </c>
      <c r="AC55" s="17" t="s">
        <v>210</v>
      </c>
      <c r="AD55" s="17" t="s">
        <v>180</v>
      </c>
      <c r="AE55" s="17" t="s">
        <v>189</v>
      </c>
      <c r="AF55" s="1">
        <f t="shared" si="1"/>
        <v>1</v>
      </c>
      <c r="AG55" s="1">
        <f t="shared" si="2"/>
        <v>0</v>
      </c>
      <c r="AH55" s="1">
        <f t="shared" si="3"/>
        <v>0</v>
      </c>
    </row>
    <row r="56" spans="19:34">
      <c r="S56" s="17">
        <v>7</v>
      </c>
      <c r="T56" s="18"/>
      <c r="U56" s="17">
        <v>1</v>
      </c>
      <c r="V56" s="17" t="s">
        <v>67</v>
      </c>
      <c r="W56" s="18">
        <v>3</v>
      </c>
      <c r="X56" s="18" t="s">
        <v>342</v>
      </c>
      <c r="Y56" s="18">
        <f t="shared" si="6"/>
        <v>1</v>
      </c>
      <c r="Z56" s="17" t="s">
        <v>43</v>
      </c>
      <c r="AA56" s="17">
        <v>2</v>
      </c>
      <c r="AB56" s="17" t="s">
        <v>187</v>
      </c>
      <c r="AC56" s="17" t="s">
        <v>206</v>
      </c>
      <c r="AD56" s="17" t="s">
        <v>183</v>
      </c>
      <c r="AE56" s="17" t="s">
        <v>196</v>
      </c>
      <c r="AF56" s="1">
        <f t="shared" si="1"/>
        <v>1</v>
      </c>
      <c r="AG56" s="1">
        <f t="shared" si="2"/>
        <v>0</v>
      </c>
      <c r="AH56" s="1">
        <f t="shared" si="3"/>
        <v>0</v>
      </c>
    </row>
    <row r="57" spans="19:34">
      <c r="S57" s="17">
        <v>8</v>
      </c>
      <c r="T57" s="18"/>
      <c r="U57" s="17">
        <v>2</v>
      </c>
      <c r="V57" s="17" t="s">
        <v>67</v>
      </c>
      <c r="W57" s="18">
        <v>4</v>
      </c>
      <c r="X57" s="18" t="s">
        <v>342</v>
      </c>
      <c r="Y57" s="18">
        <f t="shared" si="6"/>
        <v>0</v>
      </c>
      <c r="Z57" s="17" t="s">
        <v>95</v>
      </c>
      <c r="AA57" s="17">
        <v>1</v>
      </c>
      <c r="AB57" s="17" t="s">
        <v>200</v>
      </c>
      <c r="AC57" s="17" t="s">
        <v>198</v>
      </c>
      <c r="AD57" s="17" t="s">
        <v>212</v>
      </c>
      <c r="AE57" s="17" t="s">
        <v>185</v>
      </c>
      <c r="AF57" s="1">
        <f t="shared" si="1"/>
        <v>1</v>
      </c>
      <c r="AG57" s="1">
        <f t="shared" si="2"/>
        <v>0</v>
      </c>
      <c r="AH57" s="1">
        <f t="shared" si="3"/>
        <v>0</v>
      </c>
    </row>
    <row r="58" spans="19:34">
      <c r="S58" s="17">
        <v>9</v>
      </c>
      <c r="T58" s="18"/>
      <c r="U58" s="17">
        <v>1</v>
      </c>
      <c r="V58" s="17" t="s">
        <v>67</v>
      </c>
      <c r="W58" s="18">
        <v>3</v>
      </c>
      <c r="X58" s="18" t="s">
        <v>342</v>
      </c>
      <c r="Y58" s="18">
        <f t="shared" si="6"/>
        <v>1</v>
      </c>
      <c r="Z58" s="17" t="s">
        <v>103</v>
      </c>
      <c r="AA58" s="17">
        <v>2</v>
      </c>
      <c r="AB58" s="17" t="s">
        <v>202</v>
      </c>
      <c r="AC58" s="17" t="s">
        <v>164</v>
      </c>
      <c r="AD58" s="17" t="s">
        <v>191</v>
      </c>
      <c r="AE58" s="17" t="s">
        <v>176</v>
      </c>
      <c r="AF58" s="1">
        <f t="shared" si="1"/>
        <v>1</v>
      </c>
      <c r="AG58" s="1">
        <f t="shared" si="2"/>
        <v>0</v>
      </c>
      <c r="AH58" s="1">
        <f t="shared" si="3"/>
        <v>0</v>
      </c>
    </row>
    <row r="59" spans="19:34">
      <c r="S59" s="17">
        <v>10</v>
      </c>
      <c r="T59" s="18"/>
      <c r="U59" s="17">
        <v>2</v>
      </c>
      <c r="V59" s="17" t="s">
        <v>67</v>
      </c>
      <c r="W59" s="18">
        <v>3</v>
      </c>
      <c r="X59" s="18" t="s">
        <v>342</v>
      </c>
      <c r="Y59" s="18">
        <f t="shared" si="6"/>
        <v>1</v>
      </c>
      <c r="Z59" s="17" t="s">
        <v>59</v>
      </c>
      <c r="AA59" s="17">
        <v>1</v>
      </c>
      <c r="AB59" s="17" t="s">
        <v>172</v>
      </c>
      <c r="AC59" s="17" t="s">
        <v>208</v>
      </c>
      <c r="AD59" s="17" t="s">
        <v>214</v>
      </c>
      <c r="AE59" s="17" t="s">
        <v>193</v>
      </c>
      <c r="AF59" s="1">
        <f t="shared" si="1"/>
        <v>1</v>
      </c>
      <c r="AG59" s="1">
        <f t="shared" si="2"/>
        <v>0</v>
      </c>
      <c r="AH59" s="1">
        <f t="shared" si="3"/>
        <v>0</v>
      </c>
    </row>
    <row r="60" spans="19:34">
      <c r="S60" s="17">
        <v>11</v>
      </c>
      <c r="T60" s="18"/>
      <c r="U60" s="17">
        <v>1</v>
      </c>
      <c r="V60" s="17" t="s">
        <v>67</v>
      </c>
      <c r="W60" s="18">
        <v>4</v>
      </c>
      <c r="X60" s="18" t="s">
        <v>342</v>
      </c>
      <c r="Y60" s="18">
        <f t="shared" si="6"/>
        <v>0</v>
      </c>
      <c r="Z60" s="17" t="s">
        <v>117</v>
      </c>
      <c r="AA60" s="17">
        <v>2</v>
      </c>
      <c r="AB60" s="17" t="s">
        <v>193</v>
      </c>
      <c r="AC60" s="17" t="s">
        <v>206</v>
      </c>
      <c r="AD60" s="17" t="s">
        <v>172</v>
      </c>
      <c r="AE60" s="17" t="s">
        <v>210</v>
      </c>
      <c r="AF60" s="1">
        <f t="shared" si="1"/>
        <v>1</v>
      </c>
      <c r="AG60" s="1">
        <f t="shared" si="2"/>
        <v>0</v>
      </c>
      <c r="AH60" s="1">
        <f t="shared" si="3"/>
        <v>0</v>
      </c>
    </row>
    <row r="61" spans="19:34">
      <c r="S61" s="17">
        <v>12</v>
      </c>
      <c r="T61" s="18"/>
      <c r="U61" s="17">
        <v>2</v>
      </c>
      <c r="V61" s="17" t="s">
        <v>67</v>
      </c>
      <c r="W61" s="18">
        <v>3</v>
      </c>
      <c r="X61" s="18" t="s">
        <v>342</v>
      </c>
      <c r="Y61" s="18">
        <f t="shared" si="6"/>
        <v>1</v>
      </c>
      <c r="Z61" s="17" t="s">
        <v>101</v>
      </c>
      <c r="AA61" s="17">
        <v>1</v>
      </c>
      <c r="AB61" s="17" t="s">
        <v>214</v>
      </c>
      <c r="AC61" s="17" t="s">
        <v>180</v>
      </c>
      <c r="AD61" s="17" t="s">
        <v>176</v>
      </c>
      <c r="AE61" s="17" t="s">
        <v>202</v>
      </c>
      <c r="AF61" s="1">
        <f t="shared" si="1"/>
        <v>1</v>
      </c>
      <c r="AG61" s="1">
        <f t="shared" si="2"/>
        <v>0</v>
      </c>
      <c r="AH61" s="1">
        <f t="shared" si="3"/>
        <v>0</v>
      </c>
    </row>
    <row r="62" spans="19:34">
      <c r="S62" s="17">
        <v>13</v>
      </c>
      <c r="T62" s="18"/>
      <c r="U62" s="17">
        <v>2</v>
      </c>
      <c r="V62" s="17" t="s">
        <v>67</v>
      </c>
      <c r="W62" s="18">
        <v>0</v>
      </c>
      <c r="X62" s="18" t="s">
        <v>342</v>
      </c>
      <c r="Y62" s="18">
        <f t="shared" si="6"/>
        <v>4</v>
      </c>
      <c r="Z62" s="17" t="s">
        <v>115</v>
      </c>
      <c r="AA62" s="17">
        <v>1</v>
      </c>
      <c r="AB62" s="17" t="s">
        <v>183</v>
      </c>
      <c r="AC62" s="17" t="s">
        <v>208</v>
      </c>
      <c r="AD62" s="17" t="s">
        <v>189</v>
      </c>
      <c r="AE62" s="17" t="s">
        <v>196</v>
      </c>
      <c r="AF62" s="1">
        <f t="shared" si="1"/>
        <v>0</v>
      </c>
      <c r="AG62" s="1">
        <f t="shared" si="2"/>
        <v>0</v>
      </c>
      <c r="AH62" s="1">
        <f t="shared" si="3"/>
        <v>1</v>
      </c>
    </row>
    <row r="63" spans="19:34">
      <c r="S63" s="17">
        <v>14</v>
      </c>
      <c r="T63" s="18"/>
      <c r="U63" s="17">
        <v>2</v>
      </c>
      <c r="V63" s="17" t="s">
        <v>67</v>
      </c>
      <c r="W63" s="18">
        <v>1</v>
      </c>
      <c r="X63" s="18" t="s">
        <v>342</v>
      </c>
      <c r="Y63" s="18">
        <f t="shared" si="6"/>
        <v>3</v>
      </c>
      <c r="Z63" s="17" t="s">
        <v>121</v>
      </c>
      <c r="AA63" s="17">
        <v>1</v>
      </c>
      <c r="AB63" s="17" t="s">
        <v>204</v>
      </c>
      <c r="AC63" s="17" t="s">
        <v>185</v>
      </c>
      <c r="AD63" s="17" t="s">
        <v>164</v>
      </c>
      <c r="AE63" s="17" t="s">
        <v>187</v>
      </c>
      <c r="AF63" s="1">
        <f t="shared" si="1"/>
        <v>0</v>
      </c>
      <c r="AG63" s="1">
        <f t="shared" si="2"/>
        <v>0</v>
      </c>
      <c r="AH63" s="1">
        <f t="shared" si="3"/>
        <v>1</v>
      </c>
    </row>
    <row r="64" spans="19:34">
      <c r="S64" s="17">
        <v>15</v>
      </c>
      <c r="T64" s="18"/>
      <c r="U64" s="17">
        <v>2</v>
      </c>
      <c r="V64" s="17" t="s">
        <v>67</v>
      </c>
      <c r="W64" s="18">
        <v>3</v>
      </c>
      <c r="X64" s="18" t="s">
        <v>342</v>
      </c>
      <c r="Y64" s="18">
        <f t="shared" si="6"/>
        <v>1</v>
      </c>
      <c r="Z64" s="17" t="s">
        <v>71</v>
      </c>
      <c r="AA64" s="17">
        <v>1</v>
      </c>
      <c r="AB64" s="17" t="s">
        <v>198</v>
      </c>
      <c r="AC64" s="17" t="s">
        <v>212</v>
      </c>
      <c r="AD64" s="17" t="s">
        <v>200</v>
      </c>
      <c r="AE64" s="17" t="s">
        <v>191</v>
      </c>
      <c r="AF64" s="1">
        <f t="shared" si="1"/>
        <v>1</v>
      </c>
      <c r="AG64" s="1">
        <f t="shared" si="2"/>
        <v>0</v>
      </c>
      <c r="AH64" s="1">
        <f t="shared" si="3"/>
        <v>0</v>
      </c>
    </row>
    <row r="65" spans="19:34">
      <c r="S65" s="58" t="s">
        <v>339</v>
      </c>
      <c r="T65" s="58" t="s">
        <v>340</v>
      </c>
      <c r="U65" s="58" t="s">
        <v>341</v>
      </c>
      <c r="V65" s="58" t="s">
        <v>1</v>
      </c>
      <c r="W65" s="69" t="s">
        <v>220</v>
      </c>
      <c r="X65" s="70"/>
      <c r="Y65" s="71"/>
      <c r="Z65" s="58" t="s">
        <v>1</v>
      </c>
      <c r="AA65" s="58" t="s">
        <v>341</v>
      </c>
      <c r="AB65" s="58" t="s">
        <v>225</v>
      </c>
      <c r="AC65" s="58" t="s">
        <v>228</v>
      </c>
      <c r="AD65" s="58" t="s">
        <v>230</v>
      </c>
      <c r="AE65" s="58" t="s">
        <v>232</v>
      </c>
      <c r="AF65" s="1">
        <f t="shared" si="1"/>
        <v>1</v>
      </c>
      <c r="AG65" s="1">
        <f t="shared" si="2"/>
        <v>0</v>
      </c>
      <c r="AH65" s="1">
        <f t="shared" si="3"/>
        <v>0</v>
      </c>
    </row>
    <row r="66" spans="19:34">
      <c r="S66" s="17">
        <v>1</v>
      </c>
      <c r="T66" s="18"/>
      <c r="U66" s="17">
        <v>2</v>
      </c>
      <c r="V66" s="17" t="s">
        <v>103</v>
      </c>
      <c r="W66" s="18">
        <v>4</v>
      </c>
      <c r="X66" s="18" t="s">
        <v>342</v>
      </c>
      <c r="Y66" s="18">
        <f t="shared" ref="Y66:Y80" si="7">IF(W66="","",4-W66)</f>
        <v>0</v>
      </c>
      <c r="Z66" s="17" t="s">
        <v>95</v>
      </c>
      <c r="AA66" s="17">
        <v>1</v>
      </c>
      <c r="AB66" s="17" t="s">
        <v>191</v>
      </c>
      <c r="AC66" s="17" t="s">
        <v>185</v>
      </c>
      <c r="AD66" s="17" t="s">
        <v>206</v>
      </c>
      <c r="AE66" s="17" t="s">
        <v>202</v>
      </c>
      <c r="AF66" s="1">
        <f t="shared" si="1"/>
        <v>1</v>
      </c>
      <c r="AG66" s="1">
        <f t="shared" si="2"/>
        <v>0</v>
      </c>
      <c r="AH66" s="1">
        <f t="shared" si="3"/>
        <v>0</v>
      </c>
    </row>
    <row r="67" spans="19:34">
      <c r="S67" s="17">
        <v>2</v>
      </c>
      <c r="T67" s="18"/>
      <c r="U67" s="17">
        <v>2</v>
      </c>
      <c r="V67" s="17" t="s">
        <v>103</v>
      </c>
      <c r="W67" s="18">
        <v>3</v>
      </c>
      <c r="X67" s="18" t="s">
        <v>342</v>
      </c>
      <c r="Y67" s="18">
        <f t="shared" si="7"/>
        <v>1</v>
      </c>
      <c r="Z67" s="17" t="s">
        <v>43</v>
      </c>
      <c r="AA67" s="17">
        <v>1</v>
      </c>
      <c r="AB67" s="17" t="s">
        <v>180</v>
      </c>
      <c r="AC67" s="17" t="s">
        <v>172</v>
      </c>
      <c r="AD67" s="17" t="s">
        <v>200</v>
      </c>
      <c r="AE67" s="17" t="s">
        <v>198</v>
      </c>
      <c r="AF67" s="1">
        <f t="shared" ref="AF67:AF130" si="8">IF(W67="",0,IF(W67&gt;Y67,1,0))</f>
        <v>1</v>
      </c>
      <c r="AG67" s="1">
        <f t="shared" ref="AG67:AG130" si="9">IF(W67="",0,IF(W67=Y67,1,0))</f>
        <v>0</v>
      </c>
      <c r="AH67" s="1">
        <f t="shared" ref="AH67:AH130" si="10">IF(W67="",0,IF(W67&lt;Y67,1,0))</f>
        <v>0</v>
      </c>
    </row>
    <row r="68" spans="19:34">
      <c r="S68" s="17">
        <v>3</v>
      </c>
      <c r="T68" s="18"/>
      <c r="U68" s="17">
        <v>2</v>
      </c>
      <c r="V68" s="17" t="s">
        <v>103</v>
      </c>
      <c r="W68" s="18">
        <v>2</v>
      </c>
      <c r="X68" s="18" t="s">
        <v>342</v>
      </c>
      <c r="Y68" s="18">
        <f t="shared" si="7"/>
        <v>2</v>
      </c>
      <c r="Z68" s="17" t="s">
        <v>45</v>
      </c>
      <c r="AA68" s="17">
        <v>1</v>
      </c>
      <c r="AB68" s="17" t="s">
        <v>176</v>
      </c>
      <c r="AC68" s="17" t="s">
        <v>183</v>
      </c>
      <c r="AD68" s="17" t="s">
        <v>204</v>
      </c>
      <c r="AE68" s="17" t="s">
        <v>212</v>
      </c>
      <c r="AF68" s="1">
        <f t="shared" si="8"/>
        <v>0</v>
      </c>
      <c r="AG68" s="1">
        <f t="shared" si="9"/>
        <v>1</v>
      </c>
      <c r="AH68" s="1">
        <f t="shared" si="10"/>
        <v>0</v>
      </c>
    </row>
    <row r="69" spans="19:34">
      <c r="S69" s="17">
        <v>4</v>
      </c>
      <c r="T69" s="18"/>
      <c r="U69" s="17">
        <v>1</v>
      </c>
      <c r="V69" s="17" t="s">
        <v>103</v>
      </c>
      <c r="W69" s="18">
        <v>4</v>
      </c>
      <c r="X69" s="18" t="s">
        <v>342</v>
      </c>
      <c r="Y69" s="18">
        <f t="shared" si="7"/>
        <v>0</v>
      </c>
      <c r="Z69" s="17" t="s">
        <v>37</v>
      </c>
      <c r="AA69" s="17">
        <v>2</v>
      </c>
      <c r="AB69" s="17" t="s">
        <v>196</v>
      </c>
      <c r="AC69" s="17" t="s">
        <v>193</v>
      </c>
      <c r="AD69" s="17" t="s">
        <v>208</v>
      </c>
      <c r="AE69" s="17" t="s">
        <v>164</v>
      </c>
      <c r="AF69" s="1">
        <f t="shared" si="8"/>
        <v>1</v>
      </c>
      <c r="AG69" s="1">
        <f t="shared" si="9"/>
        <v>0</v>
      </c>
      <c r="AH69" s="1">
        <f t="shared" si="10"/>
        <v>0</v>
      </c>
    </row>
    <row r="70" spans="19:34">
      <c r="S70" s="17">
        <v>5</v>
      </c>
      <c r="T70" s="18"/>
      <c r="U70" s="17">
        <v>2</v>
      </c>
      <c r="V70" s="17" t="s">
        <v>103</v>
      </c>
      <c r="W70" s="18">
        <v>4</v>
      </c>
      <c r="X70" s="18" t="s">
        <v>342</v>
      </c>
      <c r="Y70" s="18">
        <f t="shared" si="7"/>
        <v>0</v>
      </c>
      <c r="Z70" s="17" t="s">
        <v>343</v>
      </c>
      <c r="AA70" s="17">
        <v>1</v>
      </c>
      <c r="AB70" s="17" t="s">
        <v>214</v>
      </c>
      <c r="AC70" s="17" t="s">
        <v>210</v>
      </c>
      <c r="AD70" s="17" t="s">
        <v>187</v>
      </c>
      <c r="AE70" s="17" t="s">
        <v>189</v>
      </c>
      <c r="AF70" s="1">
        <f t="shared" si="8"/>
        <v>1</v>
      </c>
      <c r="AG70" s="1">
        <f t="shared" si="9"/>
        <v>0</v>
      </c>
      <c r="AH70" s="1">
        <f t="shared" si="10"/>
        <v>0</v>
      </c>
    </row>
    <row r="71" spans="19:34">
      <c r="S71" s="17">
        <v>6</v>
      </c>
      <c r="T71" s="18"/>
      <c r="U71" s="17">
        <v>1</v>
      </c>
      <c r="V71" s="17" t="s">
        <v>103</v>
      </c>
      <c r="W71" s="18">
        <v>4</v>
      </c>
      <c r="X71" s="18" t="s">
        <v>342</v>
      </c>
      <c r="Y71" s="18">
        <f t="shared" si="7"/>
        <v>0</v>
      </c>
      <c r="Z71" s="17" t="s">
        <v>85</v>
      </c>
      <c r="AA71" s="17">
        <v>2</v>
      </c>
      <c r="AB71" s="17" t="s">
        <v>204</v>
      </c>
      <c r="AC71" s="17" t="s">
        <v>210</v>
      </c>
      <c r="AD71" s="17" t="s">
        <v>180</v>
      </c>
      <c r="AE71" s="17" t="s">
        <v>189</v>
      </c>
      <c r="AF71" s="1">
        <f t="shared" si="8"/>
        <v>1</v>
      </c>
      <c r="AG71" s="1">
        <f t="shared" si="9"/>
        <v>0</v>
      </c>
      <c r="AH71" s="1">
        <f t="shared" si="10"/>
        <v>0</v>
      </c>
    </row>
    <row r="72" spans="19:34">
      <c r="S72" s="17">
        <v>7</v>
      </c>
      <c r="T72" s="18"/>
      <c r="U72" s="17">
        <v>2</v>
      </c>
      <c r="V72" s="17" t="s">
        <v>103</v>
      </c>
      <c r="W72" s="18">
        <v>4</v>
      </c>
      <c r="X72" s="18" t="s">
        <v>342</v>
      </c>
      <c r="Y72" s="18">
        <f t="shared" si="7"/>
        <v>0</v>
      </c>
      <c r="Z72" s="17" t="s">
        <v>33</v>
      </c>
      <c r="AA72" s="17">
        <v>1</v>
      </c>
      <c r="AB72" s="17" t="s">
        <v>187</v>
      </c>
      <c r="AC72" s="17" t="s">
        <v>206</v>
      </c>
      <c r="AD72" s="17" t="s">
        <v>183</v>
      </c>
      <c r="AE72" s="17" t="s">
        <v>196</v>
      </c>
      <c r="AF72" s="1">
        <f t="shared" si="8"/>
        <v>1</v>
      </c>
      <c r="AG72" s="1">
        <f t="shared" si="9"/>
        <v>0</v>
      </c>
      <c r="AH72" s="1">
        <f t="shared" si="10"/>
        <v>0</v>
      </c>
    </row>
    <row r="73" spans="19:34">
      <c r="S73" s="17">
        <v>8</v>
      </c>
      <c r="T73" s="18"/>
      <c r="U73" s="17">
        <v>2</v>
      </c>
      <c r="V73" s="17" t="s">
        <v>103</v>
      </c>
      <c r="W73" s="18">
        <v>4</v>
      </c>
      <c r="X73" s="18" t="s">
        <v>342</v>
      </c>
      <c r="Y73" s="18">
        <f t="shared" si="7"/>
        <v>0</v>
      </c>
      <c r="Z73" s="17" t="s">
        <v>109</v>
      </c>
      <c r="AA73" s="17">
        <v>1</v>
      </c>
      <c r="AB73" s="17" t="s">
        <v>200</v>
      </c>
      <c r="AC73" s="17" t="s">
        <v>198</v>
      </c>
      <c r="AD73" s="17" t="s">
        <v>212</v>
      </c>
      <c r="AE73" s="17" t="s">
        <v>185</v>
      </c>
      <c r="AF73" s="1">
        <f t="shared" si="8"/>
        <v>1</v>
      </c>
      <c r="AG73" s="1">
        <f t="shared" si="9"/>
        <v>0</v>
      </c>
      <c r="AH73" s="1">
        <f t="shared" si="10"/>
        <v>0</v>
      </c>
    </row>
    <row r="74" spans="19:34">
      <c r="S74" s="17">
        <v>9</v>
      </c>
      <c r="T74" s="18"/>
      <c r="U74" s="17">
        <v>2</v>
      </c>
      <c r="V74" s="17" t="s">
        <v>103</v>
      </c>
      <c r="W74" s="18">
        <v>1</v>
      </c>
      <c r="X74" s="18" t="s">
        <v>342</v>
      </c>
      <c r="Y74" s="18">
        <f t="shared" si="7"/>
        <v>3</v>
      </c>
      <c r="Z74" s="17" t="s">
        <v>67</v>
      </c>
      <c r="AA74" s="17">
        <v>1</v>
      </c>
      <c r="AB74" s="17" t="s">
        <v>202</v>
      </c>
      <c r="AC74" s="17" t="s">
        <v>164</v>
      </c>
      <c r="AD74" s="17" t="s">
        <v>191</v>
      </c>
      <c r="AE74" s="17" t="s">
        <v>176</v>
      </c>
      <c r="AF74" s="1">
        <f t="shared" si="8"/>
        <v>0</v>
      </c>
      <c r="AG74" s="1">
        <f t="shared" si="9"/>
        <v>0</v>
      </c>
      <c r="AH74" s="1">
        <f t="shared" si="10"/>
        <v>1</v>
      </c>
    </row>
    <row r="75" spans="19:34">
      <c r="S75" s="17">
        <v>10</v>
      </c>
      <c r="T75" s="18"/>
      <c r="U75" s="17">
        <v>2</v>
      </c>
      <c r="V75" s="17" t="s">
        <v>103</v>
      </c>
      <c r="W75" s="18">
        <v>1</v>
      </c>
      <c r="X75" s="18" t="s">
        <v>342</v>
      </c>
      <c r="Y75" s="18">
        <f t="shared" si="7"/>
        <v>3</v>
      </c>
      <c r="Z75" s="17" t="s">
        <v>71</v>
      </c>
      <c r="AA75" s="17">
        <v>1</v>
      </c>
      <c r="AB75" s="17" t="s">
        <v>172</v>
      </c>
      <c r="AC75" s="17" t="s">
        <v>208</v>
      </c>
      <c r="AD75" s="17" t="s">
        <v>214</v>
      </c>
      <c r="AE75" s="17" t="s">
        <v>193</v>
      </c>
      <c r="AF75" s="1">
        <f t="shared" si="8"/>
        <v>0</v>
      </c>
      <c r="AG75" s="1">
        <f t="shared" si="9"/>
        <v>0</v>
      </c>
      <c r="AH75" s="1">
        <f t="shared" si="10"/>
        <v>1</v>
      </c>
    </row>
    <row r="76" spans="19:34">
      <c r="S76" s="17">
        <v>11</v>
      </c>
      <c r="T76" s="18"/>
      <c r="U76" s="17">
        <v>2</v>
      </c>
      <c r="V76" s="17" t="s">
        <v>103</v>
      </c>
      <c r="W76" s="18">
        <v>0</v>
      </c>
      <c r="X76" s="18" t="s">
        <v>342</v>
      </c>
      <c r="Y76" s="18">
        <f t="shared" si="7"/>
        <v>4</v>
      </c>
      <c r="Z76" s="17" t="s">
        <v>121</v>
      </c>
      <c r="AA76" s="17">
        <v>1</v>
      </c>
      <c r="AB76" s="17" t="s">
        <v>193</v>
      </c>
      <c r="AC76" s="17" t="s">
        <v>206</v>
      </c>
      <c r="AD76" s="17" t="s">
        <v>172</v>
      </c>
      <c r="AE76" s="17" t="s">
        <v>210</v>
      </c>
      <c r="AF76" s="1">
        <f t="shared" si="8"/>
        <v>0</v>
      </c>
      <c r="AG76" s="1">
        <f t="shared" si="9"/>
        <v>0</v>
      </c>
      <c r="AH76" s="1">
        <f t="shared" si="10"/>
        <v>1</v>
      </c>
    </row>
    <row r="77" spans="19:34">
      <c r="S77" s="17">
        <v>12</v>
      </c>
      <c r="T77" s="18"/>
      <c r="U77" s="17">
        <v>1</v>
      </c>
      <c r="V77" s="17" t="s">
        <v>103</v>
      </c>
      <c r="W77" s="18">
        <v>0</v>
      </c>
      <c r="X77" s="18" t="s">
        <v>342</v>
      </c>
      <c r="Y77" s="18">
        <f t="shared" si="7"/>
        <v>4</v>
      </c>
      <c r="Z77" s="17" t="s">
        <v>115</v>
      </c>
      <c r="AA77" s="17">
        <v>2</v>
      </c>
      <c r="AB77" s="17" t="s">
        <v>214</v>
      </c>
      <c r="AC77" s="17" t="s">
        <v>180</v>
      </c>
      <c r="AD77" s="17" t="s">
        <v>176</v>
      </c>
      <c r="AE77" s="17" t="s">
        <v>202</v>
      </c>
      <c r="AF77" s="1">
        <f t="shared" si="8"/>
        <v>0</v>
      </c>
      <c r="AG77" s="1">
        <f t="shared" si="9"/>
        <v>0</v>
      </c>
      <c r="AH77" s="1">
        <f t="shared" si="10"/>
        <v>1</v>
      </c>
    </row>
    <row r="78" spans="19:34">
      <c r="S78" s="17">
        <v>13</v>
      </c>
      <c r="T78" s="18"/>
      <c r="U78" s="17">
        <v>1</v>
      </c>
      <c r="V78" s="17" t="s">
        <v>103</v>
      </c>
      <c r="W78" s="18">
        <v>2</v>
      </c>
      <c r="X78" s="18" t="s">
        <v>342</v>
      </c>
      <c r="Y78" s="18">
        <f t="shared" si="7"/>
        <v>2</v>
      </c>
      <c r="Z78" s="17" t="s">
        <v>101</v>
      </c>
      <c r="AA78" s="17">
        <v>2</v>
      </c>
      <c r="AB78" s="17" t="s">
        <v>183</v>
      </c>
      <c r="AC78" s="17" t="s">
        <v>208</v>
      </c>
      <c r="AD78" s="17" t="s">
        <v>189</v>
      </c>
      <c r="AE78" s="17" t="s">
        <v>196</v>
      </c>
      <c r="AF78" s="1">
        <f t="shared" si="8"/>
        <v>0</v>
      </c>
      <c r="AG78" s="1">
        <f t="shared" si="9"/>
        <v>1</v>
      </c>
      <c r="AH78" s="1">
        <f t="shared" si="10"/>
        <v>0</v>
      </c>
    </row>
    <row r="79" spans="19:34">
      <c r="S79" s="17">
        <v>14</v>
      </c>
      <c r="T79" s="18"/>
      <c r="U79" s="17">
        <v>2</v>
      </c>
      <c r="V79" s="17" t="s">
        <v>103</v>
      </c>
      <c r="W79" s="18">
        <v>3</v>
      </c>
      <c r="X79" s="18" t="s">
        <v>342</v>
      </c>
      <c r="Y79" s="18">
        <f t="shared" si="7"/>
        <v>1</v>
      </c>
      <c r="Z79" s="17" t="s">
        <v>117</v>
      </c>
      <c r="AA79" s="17">
        <v>1</v>
      </c>
      <c r="AB79" s="17" t="s">
        <v>204</v>
      </c>
      <c r="AC79" s="17" t="s">
        <v>185</v>
      </c>
      <c r="AD79" s="17" t="s">
        <v>164</v>
      </c>
      <c r="AE79" s="17" t="s">
        <v>187</v>
      </c>
      <c r="AF79" s="1">
        <f t="shared" si="8"/>
        <v>1</v>
      </c>
      <c r="AG79" s="1">
        <f t="shared" si="9"/>
        <v>0</v>
      </c>
      <c r="AH79" s="1">
        <f t="shared" si="10"/>
        <v>0</v>
      </c>
    </row>
    <row r="80" spans="19:34">
      <c r="S80" s="17">
        <v>15</v>
      </c>
      <c r="T80" s="18"/>
      <c r="U80" s="17">
        <v>2</v>
      </c>
      <c r="V80" s="17" t="s">
        <v>103</v>
      </c>
      <c r="W80" s="18">
        <v>2</v>
      </c>
      <c r="X80" s="18" t="s">
        <v>342</v>
      </c>
      <c r="Y80" s="18">
        <f t="shared" si="7"/>
        <v>2</v>
      </c>
      <c r="Z80" s="17" t="s">
        <v>59</v>
      </c>
      <c r="AA80" s="17">
        <v>1</v>
      </c>
      <c r="AB80" s="17" t="s">
        <v>198</v>
      </c>
      <c r="AC80" s="17" t="s">
        <v>212</v>
      </c>
      <c r="AD80" s="17" t="s">
        <v>200</v>
      </c>
      <c r="AE80" s="17" t="s">
        <v>191</v>
      </c>
      <c r="AF80" s="1">
        <f t="shared" si="8"/>
        <v>0</v>
      </c>
      <c r="AG80" s="1">
        <f t="shared" si="9"/>
        <v>1</v>
      </c>
      <c r="AH80" s="1">
        <f t="shared" si="10"/>
        <v>0</v>
      </c>
    </row>
    <row r="81" spans="19:34">
      <c r="S81" s="58" t="s">
        <v>339</v>
      </c>
      <c r="T81" s="58" t="s">
        <v>340</v>
      </c>
      <c r="U81" s="58" t="s">
        <v>341</v>
      </c>
      <c r="V81" s="58" t="s">
        <v>1</v>
      </c>
      <c r="W81" s="69" t="s">
        <v>220</v>
      </c>
      <c r="X81" s="70"/>
      <c r="Y81" s="71"/>
      <c r="Z81" s="58" t="s">
        <v>1</v>
      </c>
      <c r="AA81" s="58" t="s">
        <v>341</v>
      </c>
      <c r="AB81" s="58" t="s">
        <v>225</v>
      </c>
      <c r="AC81" s="58" t="s">
        <v>228</v>
      </c>
      <c r="AD81" s="58" t="s">
        <v>230</v>
      </c>
      <c r="AE81" s="58" t="s">
        <v>232</v>
      </c>
      <c r="AF81" s="1">
        <f t="shared" si="8"/>
        <v>1</v>
      </c>
      <c r="AG81" s="1">
        <f t="shared" si="9"/>
        <v>0</v>
      </c>
      <c r="AH81" s="1">
        <f t="shared" si="10"/>
        <v>0</v>
      </c>
    </row>
    <row r="82" spans="19:34">
      <c r="S82" s="17">
        <v>1</v>
      </c>
      <c r="T82" s="18"/>
      <c r="U82" s="17">
        <v>1</v>
      </c>
      <c r="V82" s="17" t="s">
        <v>59</v>
      </c>
      <c r="W82" s="18">
        <v>3</v>
      </c>
      <c r="X82" s="18" t="s">
        <v>342</v>
      </c>
      <c r="Y82" s="18">
        <f t="shared" ref="Y82:Y96" si="11">IF(W82="","",4-W82)</f>
        <v>1</v>
      </c>
      <c r="Z82" s="17" t="s">
        <v>43</v>
      </c>
      <c r="AA82" s="17">
        <v>2</v>
      </c>
      <c r="AB82" s="17" t="s">
        <v>191</v>
      </c>
      <c r="AC82" s="17" t="s">
        <v>185</v>
      </c>
      <c r="AD82" s="17" t="s">
        <v>206</v>
      </c>
      <c r="AE82" s="17" t="s">
        <v>202</v>
      </c>
      <c r="AF82" s="1">
        <f t="shared" si="8"/>
        <v>1</v>
      </c>
      <c r="AG82" s="1">
        <f t="shared" si="9"/>
        <v>0</v>
      </c>
      <c r="AH82" s="1">
        <f t="shared" si="10"/>
        <v>0</v>
      </c>
    </row>
    <row r="83" spans="19:34">
      <c r="S83" s="17">
        <v>2</v>
      </c>
      <c r="T83" s="18"/>
      <c r="U83" s="17">
        <v>1</v>
      </c>
      <c r="V83" s="17" t="s">
        <v>59</v>
      </c>
      <c r="W83" s="18">
        <v>4</v>
      </c>
      <c r="X83" s="18" t="s">
        <v>342</v>
      </c>
      <c r="Y83" s="18">
        <f t="shared" si="11"/>
        <v>0</v>
      </c>
      <c r="Z83" s="17" t="s">
        <v>95</v>
      </c>
      <c r="AA83" s="17">
        <v>2</v>
      </c>
      <c r="AB83" s="17" t="s">
        <v>180</v>
      </c>
      <c r="AC83" s="17" t="s">
        <v>172</v>
      </c>
      <c r="AD83" s="17" t="s">
        <v>200</v>
      </c>
      <c r="AE83" s="17" t="s">
        <v>198</v>
      </c>
      <c r="AF83" s="1">
        <f t="shared" si="8"/>
        <v>1</v>
      </c>
      <c r="AG83" s="1">
        <f t="shared" si="9"/>
        <v>0</v>
      </c>
      <c r="AH83" s="1">
        <f t="shared" si="10"/>
        <v>0</v>
      </c>
    </row>
    <row r="84" spans="19:34">
      <c r="S84" s="17">
        <v>3</v>
      </c>
      <c r="T84" s="18"/>
      <c r="U84" s="17">
        <v>2</v>
      </c>
      <c r="V84" s="17" t="s">
        <v>59</v>
      </c>
      <c r="W84" s="18">
        <v>1</v>
      </c>
      <c r="X84" s="18" t="s">
        <v>342</v>
      </c>
      <c r="Y84" s="18">
        <f t="shared" si="11"/>
        <v>3</v>
      </c>
      <c r="Z84" s="17" t="s">
        <v>37</v>
      </c>
      <c r="AA84" s="17">
        <v>1</v>
      </c>
      <c r="AB84" s="17" t="s">
        <v>176</v>
      </c>
      <c r="AC84" s="17" t="s">
        <v>183</v>
      </c>
      <c r="AD84" s="17" t="s">
        <v>204</v>
      </c>
      <c r="AE84" s="17" t="s">
        <v>212</v>
      </c>
      <c r="AF84" s="1">
        <f t="shared" si="8"/>
        <v>0</v>
      </c>
      <c r="AG84" s="1">
        <f t="shared" si="9"/>
        <v>0</v>
      </c>
      <c r="AH84" s="1">
        <f t="shared" si="10"/>
        <v>1</v>
      </c>
    </row>
    <row r="85" spans="19:34">
      <c r="S85" s="17">
        <v>4</v>
      </c>
      <c r="T85" s="18"/>
      <c r="U85" s="17">
        <v>1</v>
      </c>
      <c r="V85" s="17" t="s">
        <v>59</v>
      </c>
      <c r="W85" s="18">
        <v>3</v>
      </c>
      <c r="X85" s="18" t="s">
        <v>342</v>
      </c>
      <c r="Y85" s="18">
        <f t="shared" si="11"/>
        <v>1</v>
      </c>
      <c r="Z85" s="17" t="s">
        <v>45</v>
      </c>
      <c r="AA85" s="17">
        <v>2</v>
      </c>
      <c r="AB85" s="17" t="s">
        <v>196</v>
      </c>
      <c r="AC85" s="17" t="s">
        <v>193</v>
      </c>
      <c r="AD85" s="17" t="s">
        <v>208</v>
      </c>
      <c r="AE85" s="17" t="s">
        <v>164</v>
      </c>
      <c r="AF85" s="1">
        <f t="shared" si="8"/>
        <v>1</v>
      </c>
      <c r="AG85" s="1">
        <f t="shared" si="9"/>
        <v>0</v>
      </c>
      <c r="AH85" s="1">
        <f t="shared" si="10"/>
        <v>0</v>
      </c>
    </row>
    <row r="86" spans="19:34">
      <c r="S86" s="17">
        <v>5</v>
      </c>
      <c r="T86" s="18"/>
      <c r="U86" s="17">
        <v>2</v>
      </c>
      <c r="V86" s="17" t="s">
        <v>59</v>
      </c>
      <c r="W86" s="18">
        <v>4</v>
      </c>
      <c r="X86" s="18" t="s">
        <v>342</v>
      </c>
      <c r="Y86" s="18">
        <f t="shared" si="11"/>
        <v>0</v>
      </c>
      <c r="Z86" s="17" t="s">
        <v>85</v>
      </c>
      <c r="AA86" s="17">
        <v>1</v>
      </c>
      <c r="AB86" s="17" t="s">
        <v>214</v>
      </c>
      <c r="AC86" s="17" t="s">
        <v>210</v>
      </c>
      <c r="AD86" s="17" t="s">
        <v>187</v>
      </c>
      <c r="AE86" s="17" t="s">
        <v>189</v>
      </c>
      <c r="AF86" s="1">
        <f t="shared" si="8"/>
        <v>1</v>
      </c>
      <c r="AG86" s="1">
        <f t="shared" si="9"/>
        <v>0</v>
      </c>
      <c r="AH86" s="1">
        <f t="shared" si="10"/>
        <v>0</v>
      </c>
    </row>
    <row r="87" spans="19:34">
      <c r="S87" s="17">
        <v>6</v>
      </c>
      <c r="T87" s="18"/>
      <c r="U87" s="17">
        <v>2</v>
      </c>
      <c r="V87" s="17" t="s">
        <v>59</v>
      </c>
      <c r="W87" s="18">
        <v>4</v>
      </c>
      <c r="X87" s="18" t="s">
        <v>342</v>
      </c>
      <c r="Y87" s="18">
        <f t="shared" si="11"/>
        <v>0</v>
      </c>
      <c r="Z87" s="17" t="s">
        <v>343</v>
      </c>
      <c r="AA87" s="17">
        <v>1</v>
      </c>
      <c r="AB87" s="17" t="s">
        <v>204</v>
      </c>
      <c r="AC87" s="17" t="s">
        <v>210</v>
      </c>
      <c r="AD87" s="17" t="s">
        <v>180</v>
      </c>
      <c r="AE87" s="17" t="s">
        <v>189</v>
      </c>
      <c r="AF87" s="1">
        <f t="shared" si="8"/>
        <v>1</v>
      </c>
      <c r="AG87" s="1">
        <f t="shared" si="9"/>
        <v>0</v>
      </c>
      <c r="AH87" s="1">
        <f t="shared" si="10"/>
        <v>0</v>
      </c>
    </row>
    <row r="88" spans="19:34">
      <c r="S88" s="17">
        <v>7</v>
      </c>
      <c r="T88" s="18"/>
      <c r="U88" s="17">
        <v>2</v>
      </c>
      <c r="V88" s="17" t="s">
        <v>59</v>
      </c>
      <c r="W88" s="18">
        <v>4</v>
      </c>
      <c r="X88" s="18" t="s">
        <v>342</v>
      </c>
      <c r="Y88" s="18">
        <f t="shared" si="11"/>
        <v>0</v>
      </c>
      <c r="Z88" s="17" t="s">
        <v>109</v>
      </c>
      <c r="AA88" s="17">
        <v>1</v>
      </c>
      <c r="AB88" s="17" t="s">
        <v>187</v>
      </c>
      <c r="AC88" s="17" t="s">
        <v>206</v>
      </c>
      <c r="AD88" s="17" t="s">
        <v>183</v>
      </c>
      <c r="AE88" s="17" t="s">
        <v>196</v>
      </c>
      <c r="AF88" s="1">
        <f t="shared" si="8"/>
        <v>1</v>
      </c>
      <c r="AG88" s="1">
        <f t="shared" si="9"/>
        <v>0</v>
      </c>
      <c r="AH88" s="1">
        <f t="shared" si="10"/>
        <v>0</v>
      </c>
    </row>
    <row r="89" spans="19:34">
      <c r="S89" s="17">
        <v>8</v>
      </c>
      <c r="T89" s="18"/>
      <c r="U89" s="17">
        <v>1</v>
      </c>
      <c r="V89" s="17" t="s">
        <v>59</v>
      </c>
      <c r="W89" s="18">
        <v>4</v>
      </c>
      <c r="X89" s="18" t="s">
        <v>342</v>
      </c>
      <c r="Y89" s="18">
        <f t="shared" si="11"/>
        <v>0</v>
      </c>
      <c r="Z89" s="17" t="s">
        <v>33</v>
      </c>
      <c r="AA89" s="17">
        <v>2</v>
      </c>
      <c r="AB89" s="17" t="s">
        <v>200</v>
      </c>
      <c r="AC89" s="17" t="s">
        <v>198</v>
      </c>
      <c r="AD89" s="17" t="s">
        <v>212</v>
      </c>
      <c r="AE89" s="17" t="s">
        <v>185</v>
      </c>
      <c r="AF89" s="1">
        <f t="shared" si="8"/>
        <v>1</v>
      </c>
      <c r="AG89" s="1">
        <f t="shared" si="9"/>
        <v>0</v>
      </c>
      <c r="AH89" s="1">
        <f t="shared" si="10"/>
        <v>0</v>
      </c>
    </row>
    <row r="90" spans="19:34">
      <c r="S90" s="17">
        <v>9</v>
      </c>
      <c r="T90" s="18"/>
      <c r="U90" s="17">
        <v>1</v>
      </c>
      <c r="V90" s="17" t="s">
        <v>59</v>
      </c>
      <c r="W90" s="18">
        <v>1</v>
      </c>
      <c r="X90" s="18" t="s">
        <v>342</v>
      </c>
      <c r="Y90" s="18">
        <f t="shared" si="11"/>
        <v>3</v>
      </c>
      <c r="Z90" s="17" t="s">
        <v>71</v>
      </c>
      <c r="AA90" s="17">
        <v>2</v>
      </c>
      <c r="AB90" s="17" t="s">
        <v>202</v>
      </c>
      <c r="AC90" s="17" t="s">
        <v>164</v>
      </c>
      <c r="AD90" s="17" t="s">
        <v>191</v>
      </c>
      <c r="AE90" s="17" t="s">
        <v>176</v>
      </c>
      <c r="AF90" s="1">
        <f t="shared" si="8"/>
        <v>0</v>
      </c>
      <c r="AG90" s="1">
        <f t="shared" si="9"/>
        <v>0</v>
      </c>
      <c r="AH90" s="1">
        <f t="shared" si="10"/>
        <v>1</v>
      </c>
    </row>
    <row r="91" spans="19:34">
      <c r="S91" s="17">
        <v>10</v>
      </c>
      <c r="T91" s="18"/>
      <c r="U91" s="17">
        <v>1</v>
      </c>
      <c r="V91" s="17" t="s">
        <v>59</v>
      </c>
      <c r="W91" s="18">
        <v>1</v>
      </c>
      <c r="X91" s="18" t="s">
        <v>342</v>
      </c>
      <c r="Y91" s="18">
        <f t="shared" si="11"/>
        <v>3</v>
      </c>
      <c r="Z91" s="17" t="s">
        <v>67</v>
      </c>
      <c r="AA91" s="17">
        <v>2</v>
      </c>
      <c r="AB91" s="17" t="s">
        <v>172</v>
      </c>
      <c r="AC91" s="17" t="s">
        <v>208</v>
      </c>
      <c r="AD91" s="17" t="s">
        <v>214</v>
      </c>
      <c r="AE91" s="17" t="s">
        <v>193</v>
      </c>
      <c r="AF91" s="1">
        <f t="shared" si="8"/>
        <v>0</v>
      </c>
      <c r="AG91" s="1">
        <f t="shared" si="9"/>
        <v>0</v>
      </c>
      <c r="AH91" s="1">
        <f t="shared" si="10"/>
        <v>1</v>
      </c>
    </row>
    <row r="92" spans="19:34">
      <c r="S92" s="17">
        <v>11</v>
      </c>
      <c r="T92" s="18"/>
      <c r="U92" s="17">
        <v>1</v>
      </c>
      <c r="V92" s="17" t="s">
        <v>59</v>
      </c>
      <c r="W92" s="18">
        <v>0</v>
      </c>
      <c r="X92" s="18" t="s">
        <v>342</v>
      </c>
      <c r="Y92" s="18">
        <f t="shared" si="11"/>
        <v>4</v>
      </c>
      <c r="Z92" s="17" t="s">
        <v>115</v>
      </c>
      <c r="AA92" s="17">
        <v>2</v>
      </c>
      <c r="AB92" s="17" t="s">
        <v>193</v>
      </c>
      <c r="AC92" s="17" t="s">
        <v>206</v>
      </c>
      <c r="AD92" s="17" t="s">
        <v>172</v>
      </c>
      <c r="AE92" s="17" t="s">
        <v>210</v>
      </c>
      <c r="AF92" s="1">
        <f t="shared" si="8"/>
        <v>0</v>
      </c>
      <c r="AG92" s="1">
        <f t="shared" si="9"/>
        <v>0</v>
      </c>
      <c r="AH92" s="1">
        <f t="shared" si="10"/>
        <v>1</v>
      </c>
    </row>
    <row r="93" spans="19:34">
      <c r="S93" s="17">
        <v>12</v>
      </c>
      <c r="T93" s="18"/>
      <c r="U93" s="17">
        <v>1</v>
      </c>
      <c r="V93" s="17" t="s">
        <v>59</v>
      </c>
      <c r="W93" s="18">
        <v>0</v>
      </c>
      <c r="X93" s="18" t="s">
        <v>342</v>
      </c>
      <c r="Y93" s="18">
        <f t="shared" si="11"/>
        <v>4</v>
      </c>
      <c r="Z93" s="17" t="s">
        <v>121</v>
      </c>
      <c r="AA93" s="17">
        <v>2</v>
      </c>
      <c r="AB93" s="17" t="s">
        <v>214</v>
      </c>
      <c r="AC93" s="17" t="s">
        <v>180</v>
      </c>
      <c r="AD93" s="17" t="s">
        <v>176</v>
      </c>
      <c r="AE93" s="17" t="s">
        <v>202</v>
      </c>
      <c r="AF93" s="1">
        <f t="shared" si="8"/>
        <v>0</v>
      </c>
      <c r="AG93" s="1">
        <f t="shared" si="9"/>
        <v>0</v>
      </c>
      <c r="AH93" s="1">
        <f t="shared" si="10"/>
        <v>1</v>
      </c>
    </row>
    <row r="94" spans="19:34">
      <c r="S94" s="17">
        <v>13</v>
      </c>
      <c r="T94" s="18"/>
      <c r="U94" s="17">
        <v>1</v>
      </c>
      <c r="V94" s="17" t="s">
        <v>59</v>
      </c>
      <c r="W94" s="18">
        <v>2</v>
      </c>
      <c r="X94" s="18" t="s">
        <v>342</v>
      </c>
      <c r="Y94" s="18">
        <f t="shared" si="11"/>
        <v>2</v>
      </c>
      <c r="Z94" s="17" t="s">
        <v>117</v>
      </c>
      <c r="AA94" s="17">
        <v>2</v>
      </c>
      <c r="AB94" s="17" t="s">
        <v>183</v>
      </c>
      <c r="AC94" s="17" t="s">
        <v>208</v>
      </c>
      <c r="AD94" s="17" t="s">
        <v>189</v>
      </c>
      <c r="AE94" s="17" t="s">
        <v>196</v>
      </c>
      <c r="AF94" s="1">
        <f t="shared" si="8"/>
        <v>0</v>
      </c>
      <c r="AG94" s="1">
        <f t="shared" si="9"/>
        <v>1</v>
      </c>
      <c r="AH94" s="1">
        <f t="shared" si="10"/>
        <v>0</v>
      </c>
    </row>
    <row r="95" spans="19:34">
      <c r="S95" s="17">
        <v>14</v>
      </c>
      <c r="T95" s="18"/>
      <c r="U95" s="17">
        <v>1</v>
      </c>
      <c r="V95" s="17" t="s">
        <v>59</v>
      </c>
      <c r="W95" s="18">
        <v>2</v>
      </c>
      <c r="X95" s="18" t="s">
        <v>342</v>
      </c>
      <c r="Y95" s="18">
        <f t="shared" si="11"/>
        <v>2</v>
      </c>
      <c r="Z95" s="17" t="s">
        <v>101</v>
      </c>
      <c r="AA95" s="17">
        <v>2</v>
      </c>
      <c r="AB95" s="17" t="s">
        <v>204</v>
      </c>
      <c r="AC95" s="17" t="s">
        <v>185</v>
      </c>
      <c r="AD95" s="17" t="s">
        <v>164</v>
      </c>
      <c r="AE95" s="17" t="s">
        <v>187</v>
      </c>
      <c r="AF95" s="1">
        <f t="shared" si="8"/>
        <v>0</v>
      </c>
      <c r="AG95" s="1">
        <f t="shared" si="9"/>
        <v>1</v>
      </c>
      <c r="AH95" s="1">
        <f t="shared" si="10"/>
        <v>0</v>
      </c>
    </row>
    <row r="96" spans="19:34">
      <c r="S96" s="17">
        <v>15</v>
      </c>
      <c r="T96" s="18"/>
      <c r="U96" s="17">
        <v>1</v>
      </c>
      <c r="V96" s="17" t="s">
        <v>59</v>
      </c>
      <c r="W96" s="18">
        <v>2</v>
      </c>
      <c r="X96" s="18" t="s">
        <v>342</v>
      </c>
      <c r="Y96" s="18">
        <f t="shared" si="11"/>
        <v>2</v>
      </c>
      <c r="Z96" s="17" t="s">
        <v>103</v>
      </c>
      <c r="AA96" s="17">
        <v>2</v>
      </c>
      <c r="AB96" s="17" t="s">
        <v>198</v>
      </c>
      <c r="AC96" s="17" t="s">
        <v>212</v>
      </c>
      <c r="AD96" s="17" t="s">
        <v>200</v>
      </c>
      <c r="AE96" s="17" t="s">
        <v>191</v>
      </c>
      <c r="AF96" s="1">
        <f t="shared" si="8"/>
        <v>0</v>
      </c>
      <c r="AG96" s="1">
        <f t="shared" si="9"/>
        <v>1</v>
      </c>
      <c r="AH96" s="1">
        <f t="shared" si="10"/>
        <v>0</v>
      </c>
    </row>
    <row r="97" spans="19:34">
      <c r="S97" s="58" t="s">
        <v>339</v>
      </c>
      <c r="T97" s="58" t="s">
        <v>340</v>
      </c>
      <c r="U97" s="58" t="s">
        <v>341</v>
      </c>
      <c r="V97" s="58" t="s">
        <v>1</v>
      </c>
      <c r="W97" s="69" t="s">
        <v>220</v>
      </c>
      <c r="X97" s="70"/>
      <c r="Y97" s="71"/>
      <c r="Z97" s="58" t="s">
        <v>1</v>
      </c>
      <c r="AA97" s="58" t="s">
        <v>341</v>
      </c>
      <c r="AB97" s="58" t="s">
        <v>225</v>
      </c>
      <c r="AC97" s="58" t="s">
        <v>228</v>
      </c>
      <c r="AD97" s="58" t="s">
        <v>230</v>
      </c>
      <c r="AE97" s="58" t="s">
        <v>232</v>
      </c>
      <c r="AF97" s="1">
        <f t="shared" si="8"/>
        <v>1</v>
      </c>
      <c r="AG97" s="1">
        <f t="shared" si="9"/>
        <v>0</v>
      </c>
      <c r="AH97" s="1">
        <f t="shared" si="10"/>
        <v>0</v>
      </c>
    </row>
    <row r="98" spans="19:34">
      <c r="S98" s="17">
        <v>1</v>
      </c>
      <c r="T98" s="18"/>
      <c r="U98" s="17">
        <v>1</v>
      </c>
      <c r="V98" s="17" t="s">
        <v>117</v>
      </c>
      <c r="W98" s="18">
        <v>3</v>
      </c>
      <c r="X98" s="18" t="s">
        <v>342</v>
      </c>
      <c r="Y98" s="18">
        <f t="shared" ref="Y98:Y112" si="12">IF(W98="","",4-W98)</f>
        <v>1</v>
      </c>
      <c r="Z98" s="17" t="s">
        <v>45</v>
      </c>
      <c r="AA98" s="17">
        <v>2</v>
      </c>
      <c r="AB98" s="17" t="s">
        <v>191</v>
      </c>
      <c r="AC98" s="17" t="s">
        <v>185</v>
      </c>
      <c r="AD98" s="17" t="s">
        <v>206</v>
      </c>
      <c r="AE98" s="17" t="s">
        <v>202</v>
      </c>
      <c r="AF98" s="1">
        <f t="shared" si="8"/>
        <v>1</v>
      </c>
      <c r="AG98" s="1">
        <f t="shared" si="9"/>
        <v>0</v>
      </c>
      <c r="AH98" s="1">
        <f t="shared" si="10"/>
        <v>0</v>
      </c>
    </row>
    <row r="99" spans="19:34">
      <c r="S99" s="17">
        <v>2</v>
      </c>
      <c r="T99" s="18"/>
      <c r="U99" s="17">
        <v>1</v>
      </c>
      <c r="V99" s="17" t="s">
        <v>117</v>
      </c>
      <c r="W99" s="18">
        <v>3</v>
      </c>
      <c r="X99" s="18" t="s">
        <v>342</v>
      </c>
      <c r="Y99" s="18">
        <f t="shared" si="12"/>
        <v>1</v>
      </c>
      <c r="Z99" s="17" t="s">
        <v>37</v>
      </c>
      <c r="AA99" s="17">
        <v>2</v>
      </c>
      <c r="AB99" s="17" t="s">
        <v>180</v>
      </c>
      <c r="AC99" s="17" t="s">
        <v>172</v>
      </c>
      <c r="AD99" s="17" t="s">
        <v>200</v>
      </c>
      <c r="AE99" s="17" t="s">
        <v>198</v>
      </c>
      <c r="AF99" s="1">
        <f t="shared" si="8"/>
        <v>1</v>
      </c>
      <c r="AG99" s="1">
        <f t="shared" si="9"/>
        <v>0</v>
      </c>
      <c r="AH99" s="1">
        <f t="shared" si="10"/>
        <v>0</v>
      </c>
    </row>
    <row r="100" spans="19:34">
      <c r="S100" s="17">
        <v>3</v>
      </c>
      <c r="T100" s="18"/>
      <c r="U100" s="17">
        <v>1</v>
      </c>
      <c r="V100" s="17" t="s">
        <v>117</v>
      </c>
      <c r="W100" s="18">
        <v>4</v>
      </c>
      <c r="X100" s="18" t="s">
        <v>342</v>
      </c>
      <c r="Y100" s="18">
        <f t="shared" si="12"/>
        <v>0</v>
      </c>
      <c r="Z100" s="17" t="s">
        <v>95</v>
      </c>
      <c r="AA100" s="17">
        <v>2</v>
      </c>
      <c r="AB100" s="17" t="s">
        <v>176</v>
      </c>
      <c r="AC100" s="17" t="s">
        <v>183</v>
      </c>
      <c r="AD100" s="17" t="s">
        <v>204</v>
      </c>
      <c r="AE100" s="17" t="s">
        <v>212</v>
      </c>
      <c r="AF100" s="1">
        <f t="shared" si="8"/>
        <v>1</v>
      </c>
      <c r="AG100" s="1">
        <f t="shared" si="9"/>
        <v>0</v>
      </c>
      <c r="AH100" s="1">
        <f t="shared" si="10"/>
        <v>0</v>
      </c>
    </row>
    <row r="101" spans="19:34">
      <c r="S101" s="17">
        <v>4</v>
      </c>
      <c r="T101" s="18"/>
      <c r="U101" s="17">
        <v>1</v>
      </c>
      <c r="V101" s="17" t="s">
        <v>117</v>
      </c>
      <c r="W101" s="18">
        <v>4</v>
      </c>
      <c r="X101" s="18" t="s">
        <v>342</v>
      </c>
      <c r="Y101" s="18">
        <f t="shared" si="12"/>
        <v>0</v>
      </c>
      <c r="Z101" s="17" t="s">
        <v>43</v>
      </c>
      <c r="AA101" s="17">
        <v>2</v>
      </c>
      <c r="AB101" s="17" t="s">
        <v>196</v>
      </c>
      <c r="AC101" s="17" t="s">
        <v>193</v>
      </c>
      <c r="AD101" s="17" t="s">
        <v>208</v>
      </c>
      <c r="AE101" s="17" t="s">
        <v>164</v>
      </c>
      <c r="AF101" s="1">
        <f t="shared" si="8"/>
        <v>1</v>
      </c>
      <c r="AG101" s="1">
        <f t="shared" si="9"/>
        <v>0</v>
      </c>
      <c r="AH101" s="1">
        <f t="shared" si="10"/>
        <v>0</v>
      </c>
    </row>
    <row r="102" spans="19:34">
      <c r="S102" s="17">
        <v>5</v>
      </c>
      <c r="T102" s="18"/>
      <c r="U102" s="17">
        <v>2</v>
      </c>
      <c r="V102" s="17" t="s">
        <v>117</v>
      </c>
      <c r="W102" s="18">
        <v>4</v>
      </c>
      <c r="X102" s="18" t="s">
        <v>342</v>
      </c>
      <c r="Y102" s="18">
        <f t="shared" si="12"/>
        <v>0</v>
      </c>
      <c r="Z102" s="17" t="s">
        <v>33</v>
      </c>
      <c r="AA102" s="17">
        <v>1</v>
      </c>
      <c r="AB102" s="17" t="s">
        <v>214</v>
      </c>
      <c r="AC102" s="17" t="s">
        <v>210</v>
      </c>
      <c r="AD102" s="17" t="s">
        <v>187</v>
      </c>
      <c r="AE102" s="17" t="s">
        <v>189</v>
      </c>
      <c r="AF102" s="1">
        <f t="shared" si="8"/>
        <v>1</v>
      </c>
      <c r="AG102" s="1">
        <f t="shared" si="9"/>
        <v>0</v>
      </c>
      <c r="AH102" s="1">
        <f t="shared" si="10"/>
        <v>0</v>
      </c>
    </row>
    <row r="103" spans="19:34">
      <c r="S103" s="17">
        <v>6</v>
      </c>
      <c r="T103" s="18"/>
      <c r="U103" s="17">
        <v>2</v>
      </c>
      <c r="V103" s="17" t="s">
        <v>117</v>
      </c>
      <c r="W103" s="18">
        <v>4</v>
      </c>
      <c r="X103" s="18" t="s">
        <v>342</v>
      </c>
      <c r="Y103" s="18">
        <f t="shared" si="12"/>
        <v>0</v>
      </c>
      <c r="Z103" s="17" t="s">
        <v>109</v>
      </c>
      <c r="AA103" s="17">
        <v>1</v>
      </c>
      <c r="AB103" s="17" t="s">
        <v>204</v>
      </c>
      <c r="AC103" s="17" t="s">
        <v>210</v>
      </c>
      <c r="AD103" s="17" t="s">
        <v>180</v>
      </c>
      <c r="AE103" s="17" t="s">
        <v>189</v>
      </c>
      <c r="AF103" s="1">
        <f t="shared" si="8"/>
        <v>1</v>
      </c>
      <c r="AG103" s="1">
        <f t="shared" si="9"/>
        <v>0</v>
      </c>
      <c r="AH103" s="1">
        <f t="shared" si="10"/>
        <v>0</v>
      </c>
    </row>
    <row r="104" spans="19:34">
      <c r="S104" s="17">
        <v>7</v>
      </c>
      <c r="T104" s="18"/>
      <c r="U104" s="17">
        <v>1</v>
      </c>
      <c r="V104" s="17" t="s">
        <v>117</v>
      </c>
      <c r="W104" s="18">
        <v>4</v>
      </c>
      <c r="X104" s="18" t="s">
        <v>342</v>
      </c>
      <c r="Y104" s="18">
        <f t="shared" si="12"/>
        <v>0</v>
      </c>
      <c r="Z104" s="17" t="s">
        <v>343</v>
      </c>
      <c r="AA104" s="17">
        <v>2</v>
      </c>
      <c r="AB104" s="17" t="s">
        <v>187</v>
      </c>
      <c r="AC104" s="17" t="s">
        <v>206</v>
      </c>
      <c r="AD104" s="17" t="s">
        <v>183</v>
      </c>
      <c r="AE104" s="17" t="s">
        <v>196</v>
      </c>
      <c r="AF104" s="1">
        <f t="shared" si="8"/>
        <v>1</v>
      </c>
      <c r="AG104" s="1">
        <f t="shared" si="9"/>
        <v>0</v>
      </c>
      <c r="AH104" s="1">
        <f t="shared" si="10"/>
        <v>0</v>
      </c>
    </row>
    <row r="105" spans="19:34">
      <c r="S105" s="17">
        <v>8</v>
      </c>
      <c r="T105" s="18"/>
      <c r="U105" s="17">
        <v>2</v>
      </c>
      <c r="V105" s="17" t="s">
        <v>117</v>
      </c>
      <c r="W105" s="18">
        <v>4</v>
      </c>
      <c r="X105" s="18" t="s">
        <v>342</v>
      </c>
      <c r="Y105" s="18">
        <f t="shared" si="12"/>
        <v>0</v>
      </c>
      <c r="Z105" s="17" t="s">
        <v>85</v>
      </c>
      <c r="AA105" s="17">
        <v>1</v>
      </c>
      <c r="AB105" s="17" t="s">
        <v>200</v>
      </c>
      <c r="AC105" s="17" t="s">
        <v>198</v>
      </c>
      <c r="AD105" s="17" t="s">
        <v>212</v>
      </c>
      <c r="AE105" s="17" t="s">
        <v>185</v>
      </c>
      <c r="AF105" s="1">
        <f t="shared" si="8"/>
        <v>1</v>
      </c>
      <c r="AG105" s="1">
        <f t="shared" si="9"/>
        <v>0</v>
      </c>
      <c r="AH105" s="1">
        <f t="shared" si="10"/>
        <v>0</v>
      </c>
    </row>
    <row r="106" spans="19:34">
      <c r="S106" s="17">
        <v>9</v>
      </c>
      <c r="T106" s="18"/>
      <c r="U106" s="17">
        <v>1</v>
      </c>
      <c r="V106" s="17" t="s">
        <v>117</v>
      </c>
      <c r="W106" s="18">
        <v>0</v>
      </c>
      <c r="X106" s="18" t="s">
        <v>342</v>
      </c>
      <c r="Y106" s="18">
        <f t="shared" si="12"/>
        <v>4</v>
      </c>
      <c r="Z106" s="17" t="s">
        <v>121</v>
      </c>
      <c r="AA106" s="17">
        <v>2</v>
      </c>
      <c r="AB106" s="17" t="s">
        <v>202</v>
      </c>
      <c r="AC106" s="17" t="s">
        <v>164</v>
      </c>
      <c r="AD106" s="17" t="s">
        <v>191</v>
      </c>
      <c r="AE106" s="17" t="s">
        <v>176</v>
      </c>
      <c r="AF106" s="1">
        <f t="shared" si="8"/>
        <v>0</v>
      </c>
      <c r="AG106" s="1">
        <f t="shared" si="9"/>
        <v>0</v>
      </c>
      <c r="AH106" s="1">
        <f t="shared" si="10"/>
        <v>1</v>
      </c>
    </row>
    <row r="107" spans="19:34">
      <c r="S107" s="17">
        <v>10</v>
      </c>
      <c r="T107" s="18"/>
      <c r="U107" s="17">
        <v>1</v>
      </c>
      <c r="V107" s="17" t="s">
        <v>117</v>
      </c>
      <c r="W107" s="18">
        <v>1</v>
      </c>
      <c r="X107" s="18" t="s">
        <v>342</v>
      </c>
      <c r="Y107" s="18">
        <f t="shared" si="12"/>
        <v>3</v>
      </c>
      <c r="Z107" s="17" t="s">
        <v>115</v>
      </c>
      <c r="AA107" s="17">
        <v>2</v>
      </c>
      <c r="AB107" s="17" t="s">
        <v>172</v>
      </c>
      <c r="AC107" s="17" t="s">
        <v>208</v>
      </c>
      <c r="AD107" s="17" t="s">
        <v>214</v>
      </c>
      <c r="AE107" s="17" t="s">
        <v>193</v>
      </c>
      <c r="AF107" s="1">
        <f t="shared" si="8"/>
        <v>0</v>
      </c>
      <c r="AG107" s="1">
        <f t="shared" si="9"/>
        <v>0</v>
      </c>
      <c r="AH107" s="1">
        <f t="shared" si="10"/>
        <v>1</v>
      </c>
    </row>
    <row r="108" spans="19:34">
      <c r="S108" s="17">
        <v>11</v>
      </c>
      <c r="T108" s="18"/>
      <c r="U108" s="17">
        <v>2</v>
      </c>
      <c r="V108" s="17" t="s">
        <v>117</v>
      </c>
      <c r="W108" s="18">
        <v>0</v>
      </c>
      <c r="X108" s="18" t="s">
        <v>342</v>
      </c>
      <c r="Y108" s="18">
        <f t="shared" si="12"/>
        <v>4</v>
      </c>
      <c r="Z108" s="17" t="s">
        <v>67</v>
      </c>
      <c r="AA108" s="17">
        <v>1</v>
      </c>
      <c r="AB108" s="17" t="s">
        <v>193</v>
      </c>
      <c r="AC108" s="17" t="s">
        <v>206</v>
      </c>
      <c r="AD108" s="17" t="s">
        <v>172</v>
      </c>
      <c r="AE108" s="17" t="s">
        <v>210</v>
      </c>
      <c r="AF108" s="1">
        <f t="shared" si="8"/>
        <v>0</v>
      </c>
      <c r="AG108" s="1">
        <f t="shared" si="9"/>
        <v>0</v>
      </c>
      <c r="AH108" s="1">
        <f t="shared" si="10"/>
        <v>1</v>
      </c>
    </row>
    <row r="109" spans="19:34">
      <c r="S109" s="17">
        <v>12</v>
      </c>
      <c r="T109" s="18"/>
      <c r="U109" s="17">
        <v>1</v>
      </c>
      <c r="V109" s="17" t="s">
        <v>117</v>
      </c>
      <c r="W109" s="18">
        <v>0</v>
      </c>
      <c r="X109" s="18" t="s">
        <v>342</v>
      </c>
      <c r="Y109" s="18">
        <f t="shared" si="12"/>
        <v>4</v>
      </c>
      <c r="Z109" s="17" t="s">
        <v>71</v>
      </c>
      <c r="AA109" s="17">
        <v>2</v>
      </c>
      <c r="AB109" s="17" t="s">
        <v>214</v>
      </c>
      <c r="AC109" s="17" t="s">
        <v>180</v>
      </c>
      <c r="AD109" s="17" t="s">
        <v>176</v>
      </c>
      <c r="AE109" s="17" t="s">
        <v>202</v>
      </c>
      <c r="AF109" s="1">
        <f t="shared" si="8"/>
        <v>0</v>
      </c>
      <c r="AG109" s="1">
        <f t="shared" si="9"/>
        <v>0</v>
      </c>
      <c r="AH109" s="1">
        <f t="shared" si="10"/>
        <v>1</v>
      </c>
    </row>
    <row r="110" spans="19:34">
      <c r="S110" s="17">
        <v>13</v>
      </c>
      <c r="T110" s="18"/>
      <c r="U110" s="17">
        <v>2</v>
      </c>
      <c r="V110" s="17" t="s">
        <v>117</v>
      </c>
      <c r="W110" s="18">
        <v>2</v>
      </c>
      <c r="X110" s="18" t="s">
        <v>342</v>
      </c>
      <c r="Y110" s="18">
        <f t="shared" si="12"/>
        <v>2</v>
      </c>
      <c r="Z110" s="17" t="s">
        <v>59</v>
      </c>
      <c r="AA110" s="17">
        <v>1</v>
      </c>
      <c r="AB110" s="17" t="s">
        <v>183</v>
      </c>
      <c r="AC110" s="17" t="s">
        <v>208</v>
      </c>
      <c r="AD110" s="17" t="s">
        <v>189</v>
      </c>
      <c r="AE110" s="17" t="s">
        <v>196</v>
      </c>
      <c r="AF110" s="1">
        <f t="shared" si="8"/>
        <v>0</v>
      </c>
      <c r="AG110" s="1">
        <f t="shared" si="9"/>
        <v>1</v>
      </c>
      <c r="AH110" s="1">
        <f t="shared" si="10"/>
        <v>0</v>
      </c>
    </row>
    <row r="111" spans="19:34">
      <c r="S111" s="17">
        <v>14</v>
      </c>
      <c r="T111" s="18"/>
      <c r="U111" s="17">
        <v>1</v>
      </c>
      <c r="V111" s="17" t="s">
        <v>117</v>
      </c>
      <c r="W111" s="18">
        <v>1</v>
      </c>
      <c r="X111" s="18" t="s">
        <v>342</v>
      </c>
      <c r="Y111" s="18">
        <f t="shared" si="12"/>
        <v>3</v>
      </c>
      <c r="Z111" s="17" t="s">
        <v>103</v>
      </c>
      <c r="AA111" s="17">
        <v>2</v>
      </c>
      <c r="AB111" s="17" t="s">
        <v>204</v>
      </c>
      <c r="AC111" s="17" t="s">
        <v>185</v>
      </c>
      <c r="AD111" s="17" t="s">
        <v>164</v>
      </c>
      <c r="AE111" s="17" t="s">
        <v>187</v>
      </c>
      <c r="AF111" s="1">
        <f t="shared" si="8"/>
        <v>0</v>
      </c>
      <c r="AG111" s="1">
        <f t="shared" si="9"/>
        <v>0</v>
      </c>
      <c r="AH111" s="1">
        <f t="shared" si="10"/>
        <v>1</v>
      </c>
    </row>
    <row r="112" spans="19:34">
      <c r="S112" s="17">
        <v>15</v>
      </c>
      <c r="T112" s="18"/>
      <c r="U112" s="17">
        <v>2</v>
      </c>
      <c r="V112" s="17" t="s">
        <v>117</v>
      </c>
      <c r="W112" s="18">
        <v>2</v>
      </c>
      <c r="X112" s="18" t="s">
        <v>342</v>
      </c>
      <c r="Y112" s="18">
        <f t="shared" si="12"/>
        <v>2</v>
      </c>
      <c r="Z112" s="17" t="s">
        <v>101</v>
      </c>
      <c r="AA112" s="17">
        <v>1</v>
      </c>
      <c r="AB112" s="17" t="s">
        <v>198</v>
      </c>
      <c r="AC112" s="17" t="s">
        <v>212</v>
      </c>
      <c r="AD112" s="17" t="s">
        <v>200</v>
      </c>
      <c r="AE112" s="17" t="s">
        <v>191</v>
      </c>
      <c r="AF112" s="1">
        <f t="shared" si="8"/>
        <v>0</v>
      </c>
      <c r="AG112" s="1">
        <f t="shared" si="9"/>
        <v>1</v>
      </c>
      <c r="AH112" s="1">
        <f t="shared" si="10"/>
        <v>0</v>
      </c>
    </row>
    <row r="113" spans="19:34">
      <c r="S113" s="58" t="s">
        <v>339</v>
      </c>
      <c r="T113" s="58" t="s">
        <v>340</v>
      </c>
      <c r="U113" s="58" t="s">
        <v>341</v>
      </c>
      <c r="V113" s="58" t="s">
        <v>1</v>
      </c>
      <c r="W113" s="69" t="s">
        <v>220</v>
      </c>
      <c r="X113" s="70"/>
      <c r="Y113" s="71"/>
      <c r="Z113" s="58" t="s">
        <v>1</v>
      </c>
      <c r="AA113" s="58" t="s">
        <v>341</v>
      </c>
      <c r="AB113" s="58" t="s">
        <v>225</v>
      </c>
      <c r="AC113" s="58" t="s">
        <v>228</v>
      </c>
      <c r="AD113" s="58" t="s">
        <v>230</v>
      </c>
      <c r="AE113" s="58" t="s">
        <v>232</v>
      </c>
      <c r="AF113" s="1">
        <f t="shared" si="8"/>
        <v>1</v>
      </c>
      <c r="AG113" s="1">
        <f t="shared" si="9"/>
        <v>0</v>
      </c>
      <c r="AH113" s="1">
        <f t="shared" si="10"/>
        <v>0</v>
      </c>
    </row>
    <row r="114" spans="19:34">
      <c r="S114" s="17">
        <v>1</v>
      </c>
      <c r="T114" s="18"/>
      <c r="U114" s="17">
        <v>1</v>
      </c>
      <c r="V114" s="17" t="s">
        <v>101</v>
      </c>
      <c r="W114" s="18">
        <v>1</v>
      </c>
      <c r="X114" s="18" t="s">
        <v>342</v>
      </c>
      <c r="Y114" s="18">
        <f t="shared" ref="Y114:Y128" si="13">IF(W114="","",4-W114)</f>
        <v>3</v>
      </c>
      <c r="Z114" s="17" t="s">
        <v>37</v>
      </c>
      <c r="AA114" s="17">
        <v>2</v>
      </c>
      <c r="AB114" s="17" t="s">
        <v>191</v>
      </c>
      <c r="AC114" s="17" t="s">
        <v>185</v>
      </c>
      <c r="AD114" s="17" t="s">
        <v>206</v>
      </c>
      <c r="AE114" s="17" t="s">
        <v>202</v>
      </c>
      <c r="AF114" s="1">
        <f t="shared" si="8"/>
        <v>0</v>
      </c>
      <c r="AG114" s="1">
        <f t="shared" si="9"/>
        <v>0</v>
      </c>
      <c r="AH114" s="1">
        <f t="shared" si="10"/>
        <v>1</v>
      </c>
    </row>
    <row r="115" spans="19:34">
      <c r="S115" s="17">
        <v>2</v>
      </c>
      <c r="T115" s="18"/>
      <c r="U115" s="17">
        <v>1</v>
      </c>
      <c r="V115" s="17" t="s">
        <v>101</v>
      </c>
      <c r="W115" s="18">
        <v>2</v>
      </c>
      <c r="X115" s="18" t="s">
        <v>342</v>
      </c>
      <c r="Y115" s="18">
        <f t="shared" si="13"/>
        <v>2</v>
      </c>
      <c r="Z115" s="17" t="s">
        <v>45</v>
      </c>
      <c r="AA115" s="17">
        <v>2</v>
      </c>
      <c r="AB115" s="17" t="s">
        <v>180</v>
      </c>
      <c r="AC115" s="17" t="s">
        <v>172</v>
      </c>
      <c r="AD115" s="17" t="s">
        <v>200</v>
      </c>
      <c r="AE115" s="17" t="s">
        <v>198</v>
      </c>
      <c r="AF115" s="1">
        <f t="shared" si="8"/>
        <v>0</v>
      </c>
      <c r="AG115" s="1">
        <f t="shared" si="9"/>
        <v>1</v>
      </c>
      <c r="AH115" s="1">
        <f t="shared" si="10"/>
        <v>0</v>
      </c>
    </row>
    <row r="116" spans="19:34">
      <c r="S116" s="17">
        <v>3</v>
      </c>
      <c r="T116" s="18"/>
      <c r="U116" s="17">
        <v>1</v>
      </c>
      <c r="V116" s="17" t="s">
        <v>101</v>
      </c>
      <c r="W116" s="18">
        <v>4</v>
      </c>
      <c r="X116" s="18" t="s">
        <v>342</v>
      </c>
      <c r="Y116" s="18">
        <f t="shared" si="13"/>
        <v>0</v>
      </c>
      <c r="Z116" s="17" t="s">
        <v>43</v>
      </c>
      <c r="AA116" s="17">
        <v>2</v>
      </c>
      <c r="AB116" s="17" t="s">
        <v>176</v>
      </c>
      <c r="AC116" s="17" t="s">
        <v>183</v>
      </c>
      <c r="AD116" s="17" t="s">
        <v>204</v>
      </c>
      <c r="AE116" s="17" t="s">
        <v>212</v>
      </c>
      <c r="AF116" s="1">
        <f t="shared" si="8"/>
        <v>1</v>
      </c>
      <c r="AG116" s="1">
        <f t="shared" si="9"/>
        <v>0</v>
      </c>
      <c r="AH116" s="1">
        <f t="shared" si="10"/>
        <v>0</v>
      </c>
    </row>
    <row r="117" spans="19:34">
      <c r="S117" s="17">
        <v>4</v>
      </c>
      <c r="T117" s="18"/>
      <c r="U117" s="17">
        <v>1</v>
      </c>
      <c r="V117" s="17" t="s">
        <v>101</v>
      </c>
      <c r="W117" s="18">
        <v>4</v>
      </c>
      <c r="X117" s="18" t="s">
        <v>342</v>
      </c>
      <c r="Y117" s="18">
        <f t="shared" si="13"/>
        <v>0</v>
      </c>
      <c r="Z117" s="17" t="s">
        <v>95</v>
      </c>
      <c r="AA117" s="17">
        <v>2</v>
      </c>
      <c r="AB117" s="17" t="s">
        <v>196</v>
      </c>
      <c r="AC117" s="17" t="s">
        <v>193</v>
      </c>
      <c r="AD117" s="17" t="s">
        <v>208</v>
      </c>
      <c r="AE117" s="17" t="s">
        <v>164</v>
      </c>
      <c r="AF117" s="1">
        <f t="shared" si="8"/>
        <v>1</v>
      </c>
      <c r="AG117" s="1">
        <f t="shared" si="9"/>
        <v>0</v>
      </c>
      <c r="AH117" s="1">
        <f t="shared" si="10"/>
        <v>0</v>
      </c>
    </row>
    <row r="118" spans="19:34">
      <c r="S118" s="17">
        <v>5</v>
      </c>
      <c r="T118" s="18"/>
      <c r="U118" s="17">
        <v>2</v>
      </c>
      <c r="V118" s="17" t="s">
        <v>101</v>
      </c>
      <c r="W118" s="18">
        <v>4</v>
      </c>
      <c r="X118" s="18" t="s">
        <v>342</v>
      </c>
      <c r="Y118" s="18">
        <f t="shared" si="13"/>
        <v>0</v>
      </c>
      <c r="Z118" s="17" t="s">
        <v>109</v>
      </c>
      <c r="AA118" s="17">
        <v>1</v>
      </c>
      <c r="AB118" s="17" t="s">
        <v>214</v>
      </c>
      <c r="AC118" s="17" t="s">
        <v>210</v>
      </c>
      <c r="AD118" s="17" t="s">
        <v>187</v>
      </c>
      <c r="AE118" s="17" t="s">
        <v>189</v>
      </c>
      <c r="AF118" s="1">
        <f t="shared" si="8"/>
        <v>1</v>
      </c>
      <c r="AG118" s="1">
        <f t="shared" si="9"/>
        <v>0</v>
      </c>
      <c r="AH118" s="1">
        <f t="shared" si="10"/>
        <v>0</v>
      </c>
    </row>
    <row r="119" spans="19:34">
      <c r="S119" s="17">
        <v>6</v>
      </c>
      <c r="T119" s="18"/>
      <c r="U119" s="17">
        <v>1</v>
      </c>
      <c r="V119" s="17" t="s">
        <v>101</v>
      </c>
      <c r="W119" s="18">
        <v>4</v>
      </c>
      <c r="X119" s="18" t="s">
        <v>342</v>
      </c>
      <c r="Y119" s="18">
        <f t="shared" si="13"/>
        <v>0</v>
      </c>
      <c r="Z119" s="17" t="s">
        <v>33</v>
      </c>
      <c r="AA119" s="17">
        <v>2</v>
      </c>
      <c r="AB119" s="17" t="s">
        <v>204</v>
      </c>
      <c r="AC119" s="17" t="s">
        <v>210</v>
      </c>
      <c r="AD119" s="17" t="s">
        <v>180</v>
      </c>
      <c r="AE119" s="17" t="s">
        <v>189</v>
      </c>
      <c r="AF119" s="1">
        <f t="shared" si="8"/>
        <v>1</v>
      </c>
      <c r="AG119" s="1">
        <f t="shared" si="9"/>
        <v>0</v>
      </c>
      <c r="AH119" s="1">
        <f t="shared" si="10"/>
        <v>0</v>
      </c>
    </row>
    <row r="120" spans="19:34">
      <c r="S120" s="17">
        <v>7</v>
      </c>
      <c r="T120" s="18"/>
      <c r="U120" s="17">
        <v>2</v>
      </c>
      <c r="V120" s="17" t="s">
        <v>101</v>
      </c>
      <c r="W120" s="18">
        <v>4</v>
      </c>
      <c r="X120" s="18" t="s">
        <v>342</v>
      </c>
      <c r="Y120" s="18">
        <f t="shared" si="13"/>
        <v>0</v>
      </c>
      <c r="Z120" s="17" t="s">
        <v>85</v>
      </c>
      <c r="AA120" s="17">
        <v>1</v>
      </c>
      <c r="AB120" s="17" t="s">
        <v>187</v>
      </c>
      <c r="AC120" s="17" t="s">
        <v>206</v>
      </c>
      <c r="AD120" s="17" t="s">
        <v>183</v>
      </c>
      <c r="AE120" s="17" t="s">
        <v>196</v>
      </c>
      <c r="AF120" s="1">
        <f t="shared" si="8"/>
        <v>1</v>
      </c>
      <c r="AG120" s="1">
        <f t="shared" si="9"/>
        <v>0</v>
      </c>
      <c r="AH120" s="1">
        <f t="shared" si="10"/>
        <v>0</v>
      </c>
    </row>
    <row r="121" spans="19:34">
      <c r="S121" s="17">
        <v>8</v>
      </c>
      <c r="T121" s="18"/>
      <c r="U121" s="17">
        <v>1</v>
      </c>
      <c r="V121" s="17" t="s">
        <v>101</v>
      </c>
      <c r="W121" s="18">
        <v>4</v>
      </c>
      <c r="X121" s="18" t="s">
        <v>342</v>
      </c>
      <c r="Y121" s="18">
        <f t="shared" si="13"/>
        <v>0</v>
      </c>
      <c r="Z121" s="17" t="s">
        <v>343</v>
      </c>
      <c r="AA121" s="17">
        <v>2</v>
      </c>
      <c r="AB121" s="17" t="s">
        <v>200</v>
      </c>
      <c r="AC121" s="17" t="s">
        <v>198</v>
      </c>
      <c r="AD121" s="17" t="s">
        <v>212</v>
      </c>
      <c r="AE121" s="17" t="s">
        <v>185</v>
      </c>
      <c r="AF121" s="1">
        <f t="shared" si="8"/>
        <v>1</v>
      </c>
      <c r="AG121" s="1">
        <f t="shared" si="9"/>
        <v>0</v>
      </c>
      <c r="AH121" s="1">
        <f t="shared" si="10"/>
        <v>0</v>
      </c>
    </row>
    <row r="122" spans="19:34">
      <c r="S122" s="17">
        <v>9</v>
      </c>
      <c r="T122" s="18"/>
      <c r="U122" s="17">
        <v>2</v>
      </c>
      <c r="V122" s="17" t="s">
        <v>101</v>
      </c>
      <c r="W122" s="18">
        <v>0</v>
      </c>
      <c r="X122" s="18" t="s">
        <v>342</v>
      </c>
      <c r="Y122" s="18">
        <f t="shared" si="13"/>
        <v>4</v>
      </c>
      <c r="Z122" s="17" t="s">
        <v>115</v>
      </c>
      <c r="AA122" s="17">
        <v>1</v>
      </c>
      <c r="AB122" s="17" t="s">
        <v>202</v>
      </c>
      <c r="AC122" s="17" t="s">
        <v>164</v>
      </c>
      <c r="AD122" s="17" t="s">
        <v>191</v>
      </c>
      <c r="AE122" s="17" t="s">
        <v>176</v>
      </c>
      <c r="AF122" s="1">
        <f t="shared" si="8"/>
        <v>0</v>
      </c>
      <c r="AG122" s="1">
        <f t="shared" si="9"/>
        <v>0</v>
      </c>
      <c r="AH122" s="1">
        <f t="shared" si="10"/>
        <v>1</v>
      </c>
    </row>
    <row r="123" spans="19:34">
      <c r="S123" s="17">
        <v>10</v>
      </c>
      <c r="T123" s="18"/>
      <c r="U123" s="17">
        <v>1</v>
      </c>
      <c r="V123" s="17" t="s">
        <v>101</v>
      </c>
      <c r="W123" s="18">
        <v>1</v>
      </c>
      <c r="X123" s="18" t="s">
        <v>342</v>
      </c>
      <c r="Y123" s="18">
        <f t="shared" si="13"/>
        <v>3</v>
      </c>
      <c r="Z123" s="17" t="s">
        <v>121</v>
      </c>
      <c r="AA123" s="17">
        <v>2</v>
      </c>
      <c r="AB123" s="17" t="s">
        <v>172</v>
      </c>
      <c r="AC123" s="17" t="s">
        <v>208</v>
      </c>
      <c r="AD123" s="17" t="s">
        <v>214</v>
      </c>
      <c r="AE123" s="17" t="s">
        <v>193</v>
      </c>
      <c r="AF123" s="1">
        <f t="shared" si="8"/>
        <v>0</v>
      </c>
      <c r="AG123" s="1">
        <f t="shared" si="9"/>
        <v>0</v>
      </c>
      <c r="AH123" s="1">
        <f t="shared" si="10"/>
        <v>1</v>
      </c>
    </row>
    <row r="124" spans="19:34">
      <c r="S124" s="17">
        <v>11</v>
      </c>
      <c r="T124" s="18"/>
      <c r="U124" s="17">
        <v>1</v>
      </c>
      <c r="V124" s="17" t="s">
        <v>101</v>
      </c>
      <c r="W124" s="18">
        <v>0</v>
      </c>
      <c r="X124" s="18" t="s">
        <v>342</v>
      </c>
      <c r="Y124" s="18">
        <f t="shared" si="13"/>
        <v>4</v>
      </c>
      <c r="Z124" s="17" t="s">
        <v>71</v>
      </c>
      <c r="AA124" s="17">
        <v>2</v>
      </c>
      <c r="AB124" s="17" t="s">
        <v>193</v>
      </c>
      <c r="AC124" s="17" t="s">
        <v>206</v>
      </c>
      <c r="AD124" s="17" t="s">
        <v>172</v>
      </c>
      <c r="AE124" s="17" t="s">
        <v>210</v>
      </c>
      <c r="AF124" s="1">
        <f t="shared" si="8"/>
        <v>0</v>
      </c>
      <c r="AG124" s="1">
        <f t="shared" si="9"/>
        <v>0</v>
      </c>
      <c r="AH124" s="1">
        <f t="shared" si="10"/>
        <v>1</v>
      </c>
    </row>
    <row r="125" spans="19:34">
      <c r="S125" s="17">
        <v>12</v>
      </c>
      <c r="T125" s="18"/>
      <c r="U125" s="17">
        <v>1</v>
      </c>
      <c r="V125" s="17" t="s">
        <v>101</v>
      </c>
      <c r="W125" s="18">
        <v>1</v>
      </c>
      <c r="X125" s="18" t="s">
        <v>342</v>
      </c>
      <c r="Y125" s="18">
        <f t="shared" si="13"/>
        <v>3</v>
      </c>
      <c r="Z125" s="17" t="s">
        <v>67</v>
      </c>
      <c r="AA125" s="17">
        <v>2</v>
      </c>
      <c r="AB125" s="17" t="s">
        <v>214</v>
      </c>
      <c r="AC125" s="17" t="s">
        <v>180</v>
      </c>
      <c r="AD125" s="17" t="s">
        <v>176</v>
      </c>
      <c r="AE125" s="17" t="s">
        <v>202</v>
      </c>
      <c r="AF125" s="1">
        <f t="shared" si="8"/>
        <v>0</v>
      </c>
      <c r="AG125" s="1">
        <f t="shared" si="9"/>
        <v>0</v>
      </c>
      <c r="AH125" s="1">
        <f t="shared" si="10"/>
        <v>1</v>
      </c>
    </row>
    <row r="126" spans="19:34">
      <c r="S126" s="17">
        <v>13</v>
      </c>
      <c r="T126" s="18"/>
      <c r="U126" s="17">
        <v>2</v>
      </c>
      <c r="V126" s="17" t="s">
        <v>101</v>
      </c>
      <c r="W126" s="18">
        <v>2</v>
      </c>
      <c r="X126" s="18" t="s">
        <v>342</v>
      </c>
      <c r="Y126" s="18">
        <f t="shared" si="13"/>
        <v>2</v>
      </c>
      <c r="Z126" s="17" t="s">
        <v>103</v>
      </c>
      <c r="AA126" s="17">
        <v>1</v>
      </c>
      <c r="AB126" s="17" t="s">
        <v>183</v>
      </c>
      <c r="AC126" s="17" t="s">
        <v>208</v>
      </c>
      <c r="AD126" s="17" t="s">
        <v>189</v>
      </c>
      <c r="AE126" s="17" t="s">
        <v>196</v>
      </c>
      <c r="AF126" s="1">
        <f t="shared" si="8"/>
        <v>0</v>
      </c>
      <c r="AG126" s="1">
        <f t="shared" si="9"/>
        <v>1</v>
      </c>
      <c r="AH126" s="1">
        <f t="shared" si="10"/>
        <v>0</v>
      </c>
    </row>
    <row r="127" spans="19:34">
      <c r="S127" s="17">
        <v>14</v>
      </c>
      <c r="T127" s="18"/>
      <c r="U127" s="17">
        <v>2</v>
      </c>
      <c r="V127" s="17" t="s">
        <v>101</v>
      </c>
      <c r="W127" s="18">
        <v>2</v>
      </c>
      <c r="X127" s="18" t="s">
        <v>342</v>
      </c>
      <c r="Y127" s="18">
        <f t="shared" si="13"/>
        <v>2</v>
      </c>
      <c r="Z127" s="17" t="s">
        <v>59</v>
      </c>
      <c r="AA127" s="17">
        <v>1</v>
      </c>
      <c r="AB127" s="17" t="s">
        <v>204</v>
      </c>
      <c r="AC127" s="17" t="s">
        <v>185</v>
      </c>
      <c r="AD127" s="17" t="s">
        <v>164</v>
      </c>
      <c r="AE127" s="17" t="s">
        <v>187</v>
      </c>
      <c r="AF127" s="1">
        <f t="shared" si="8"/>
        <v>0</v>
      </c>
      <c r="AG127" s="1">
        <f t="shared" si="9"/>
        <v>1</v>
      </c>
      <c r="AH127" s="1">
        <f t="shared" si="10"/>
        <v>0</v>
      </c>
    </row>
    <row r="128" spans="19:34">
      <c r="S128" s="17">
        <v>15</v>
      </c>
      <c r="T128" s="18"/>
      <c r="U128" s="17">
        <v>1</v>
      </c>
      <c r="V128" s="17" t="s">
        <v>101</v>
      </c>
      <c r="W128" s="18">
        <v>2</v>
      </c>
      <c r="X128" s="18" t="s">
        <v>342</v>
      </c>
      <c r="Y128" s="18">
        <f t="shared" si="13"/>
        <v>2</v>
      </c>
      <c r="Z128" s="17" t="s">
        <v>117</v>
      </c>
      <c r="AA128" s="17">
        <v>2</v>
      </c>
      <c r="AB128" s="17" t="s">
        <v>198</v>
      </c>
      <c r="AC128" s="17" t="s">
        <v>212</v>
      </c>
      <c r="AD128" s="17" t="s">
        <v>200</v>
      </c>
      <c r="AE128" s="17" t="s">
        <v>191</v>
      </c>
      <c r="AF128" s="1">
        <f t="shared" si="8"/>
        <v>0</v>
      </c>
      <c r="AG128" s="1">
        <f t="shared" si="9"/>
        <v>1</v>
      </c>
      <c r="AH128" s="1">
        <f t="shared" si="10"/>
        <v>0</v>
      </c>
    </row>
    <row r="129" spans="19:34">
      <c r="S129" s="58" t="s">
        <v>339</v>
      </c>
      <c r="T129" s="58" t="s">
        <v>340</v>
      </c>
      <c r="U129" s="58" t="s">
        <v>341</v>
      </c>
      <c r="V129" s="58" t="s">
        <v>1</v>
      </c>
      <c r="W129" s="69" t="s">
        <v>220</v>
      </c>
      <c r="X129" s="70"/>
      <c r="Y129" s="71"/>
      <c r="Z129" s="58" t="s">
        <v>1</v>
      </c>
      <c r="AA129" s="58" t="s">
        <v>341</v>
      </c>
      <c r="AB129" s="58" t="s">
        <v>225</v>
      </c>
      <c r="AC129" s="58" t="s">
        <v>228</v>
      </c>
      <c r="AD129" s="58" t="s">
        <v>230</v>
      </c>
      <c r="AE129" s="58" t="s">
        <v>232</v>
      </c>
      <c r="AF129" s="1">
        <f t="shared" si="8"/>
        <v>1</v>
      </c>
      <c r="AG129" s="1">
        <f t="shared" si="9"/>
        <v>0</v>
      </c>
      <c r="AH129" s="1">
        <f t="shared" si="10"/>
        <v>0</v>
      </c>
    </row>
    <row r="130" spans="19:34">
      <c r="S130" s="17">
        <v>1</v>
      </c>
      <c r="T130" s="18"/>
      <c r="U130" s="17">
        <v>2</v>
      </c>
      <c r="V130" s="17" t="s">
        <v>37</v>
      </c>
      <c r="W130" s="18">
        <v>3</v>
      </c>
      <c r="X130" s="18" t="s">
        <v>342</v>
      </c>
      <c r="Y130" s="18">
        <f t="shared" ref="Y130:Y144" si="14">IF(W130="","",4-W130)</f>
        <v>1</v>
      </c>
      <c r="Z130" s="17" t="s">
        <v>101</v>
      </c>
      <c r="AA130" s="17">
        <v>1</v>
      </c>
      <c r="AB130" s="17" t="s">
        <v>191</v>
      </c>
      <c r="AC130" s="17" t="s">
        <v>185</v>
      </c>
      <c r="AD130" s="17" t="s">
        <v>206</v>
      </c>
      <c r="AE130" s="17" t="s">
        <v>202</v>
      </c>
      <c r="AF130" s="1">
        <f t="shared" si="8"/>
        <v>1</v>
      </c>
      <c r="AG130" s="1">
        <f t="shared" si="9"/>
        <v>0</v>
      </c>
      <c r="AH130" s="1">
        <f t="shared" si="10"/>
        <v>0</v>
      </c>
    </row>
    <row r="131" spans="19:34">
      <c r="S131" s="17">
        <v>2</v>
      </c>
      <c r="T131" s="18"/>
      <c r="U131" s="17">
        <v>2</v>
      </c>
      <c r="V131" s="17" t="s">
        <v>37</v>
      </c>
      <c r="W131" s="18">
        <v>1</v>
      </c>
      <c r="X131" s="18" t="s">
        <v>342</v>
      </c>
      <c r="Y131" s="18">
        <f t="shared" si="14"/>
        <v>3</v>
      </c>
      <c r="Z131" s="17" t="s">
        <v>117</v>
      </c>
      <c r="AA131" s="17">
        <v>1</v>
      </c>
      <c r="AB131" s="17" t="s">
        <v>180</v>
      </c>
      <c r="AC131" s="17" t="s">
        <v>172</v>
      </c>
      <c r="AD131" s="17" t="s">
        <v>200</v>
      </c>
      <c r="AE131" s="17" t="s">
        <v>198</v>
      </c>
      <c r="AF131" s="1">
        <f t="shared" ref="AF131:AF194" si="15">IF(W131="",0,IF(W131&gt;Y131,1,0))</f>
        <v>0</v>
      </c>
      <c r="AG131" s="1">
        <f t="shared" ref="AG131:AG194" si="16">IF(W131="",0,IF(W131=Y131,1,0))</f>
        <v>0</v>
      </c>
      <c r="AH131" s="1">
        <f t="shared" ref="AH131:AH194" si="17">IF(W131="",0,IF(W131&lt;Y131,1,0))</f>
        <v>1</v>
      </c>
    </row>
    <row r="132" spans="19:34">
      <c r="S132" s="17">
        <v>3</v>
      </c>
      <c r="T132" s="18"/>
      <c r="U132" s="17">
        <v>1</v>
      </c>
      <c r="V132" s="17" t="s">
        <v>37</v>
      </c>
      <c r="W132" s="18">
        <v>3</v>
      </c>
      <c r="X132" s="18" t="s">
        <v>342</v>
      </c>
      <c r="Y132" s="18">
        <f t="shared" si="14"/>
        <v>1</v>
      </c>
      <c r="Z132" s="17" t="s">
        <v>59</v>
      </c>
      <c r="AA132" s="17">
        <v>2</v>
      </c>
      <c r="AB132" s="17" t="s">
        <v>176</v>
      </c>
      <c r="AC132" s="17" t="s">
        <v>183</v>
      </c>
      <c r="AD132" s="17" t="s">
        <v>204</v>
      </c>
      <c r="AE132" s="17" t="s">
        <v>212</v>
      </c>
      <c r="AF132" s="1">
        <f t="shared" si="15"/>
        <v>1</v>
      </c>
      <c r="AG132" s="1">
        <f t="shared" si="16"/>
        <v>0</v>
      </c>
      <c r="AH132" s="1">
        <f t="shared" si="17"/>
        <v>0</v>
      </c>
    </row>
    <row r="133" spans="19:34">
      <c r="S133" s="17">
        <v>4</v>
      </c>
      <c r="T133" s="18"/>
      <c r="U133" s="17">
        <v>2</v>
      </c>
      <c r="V133" s="17" t="s">
        <v>37</v>
      </c>
      <c r="W133" s="18">
        <v>0</v>
      </c>
      <c r="X133" s="18" t="s">
        <v>342</v>
      </c>
      <c r="Y133" s="18">
        <f t="shared" si="14"/>
        <v>4</v>
      </c>
      <c r="Z133" s="17" t="s">
        <v>103</v>
      </c>
      <c r="AA133" s="17">
        <v>1</v>
      </c>
      <c r="AB133" s="17" t="s">
        <v>196</v>
      </c>
      <c r="AC133" s="17" t="s">
        <v>193</v>
      </c>
      <c r="AD133" s="17" t="s">
        <v>208</v>
      </c>
      <c r="AE133" s="17" t="s">
        <v>164</v>
      </c>
      <c r="AF133" s="1">
        <f t="shared" si="15"/>
        <v>0</v>
      </c>
      <c r="AG133" s="1">
        <f t="shared" si="16"/>
        <v>0</v>
      </c>
      <c r="AH133" s="1">
        <f t="shared" si="17"/>
        <v>1</v>
      </c>
    </row>
    <row r="134" spans="19:34">
      <c r="S134" s="17">
        <v>5</v>
      </c>
      <c r="T134" s="18"/>
      <c r="U134" s="17">
        <v>1</v>
      </c>
      <c r="V134" s="17" t="s">
        <v>37</v>
      </c>
      <c r="W134" s="18">
        <v>0</v>
      </c>
      <c r="X134" s="18" t="s">
        <v>342</v>
      </c>
      <c r="Y134" s="18">
        <f t="shared" si="14"/>
        <v>4</v>
      </c>
      <c r="Z134" s="17" t="s">
        <v>67</v>
      </c>
      <c r="AA134" s="17">
        <v>2</v>
      </c>
      <c r="AB134" s="17" t="s">
        <v>214</v>
      </c>
      <c r="AC134" s="17" t="s">
        <v>210</v>
      </c>
      <c r="AD134" s="17" t="s">
        <v>187</v>
      </c>
      <c r="AE134" s="17" t="s">
        <v>189</v>
      </c>
      <c r="AF134" s="1">
        <f t="shared" si="15"/>
        <v>0</v>
      </c>
      <c r="AG134" s="1">
        <f t="shared" si="16"/>
        <v>0</v>
      </c>
      <c r="AH134" s="1">
        <f t="shared" si="17"/>
        <v>1</v>
      </c>
    </row>
    <row r="135" spans="19:34">
      <c r="S135" s="17">
        <v>6</v>
      </c>
      <c r="T135" s="18"/>
      <c r="U135" s="17">
        <v>1</v>
      </c>
      <c r="V135" s="17" t="s">
        <v>37</v>
      </c>
      <c r="W135" s="18">
        <v>1</v>
      </c>
      <c r="X135" s="18" t="s">
        <v>342</v>
      </c>
      <c r="Y135" s="18">
        <f t="shared" si="14"/>
        <v>3</v>
      </c>
      <c r="Z135" s="17" t="s">
        <v>71</v>
      </c>
      <c r="AA135" s="17">
        <v>2</v>
      </c>
      <c r="AB135" s="17" t="s">
        <v>204</v>
      </c>
      <c r="AC135" s="17" t="s">
        <v>210</v>
      </c>
      <c r="AD135" s="17" t="s">
        <v>180</v>
      </c>
      <c r="AE135" s="17" t="s">
        <v>189</v>
      </c>
      <c r="AF135" s="1">
        <f t="shared" si="15"/>
        <v>0</v>
      </c>
      <c r="AG135" s="1">
        <f t="shared" si="16"/>
        <v>0</v>
      </c>
      <c r="AH135" s="1">
        <f t="shared" si="17"/>
        <v>1</v>
      </c>
    </row>
    <row r="136" spans="19:34">
      <c r="S136" s="17">
        <v>7</v>
      </c>
      <c r="T136" s="18"/>
      <c r="U136" s="17">
        <v>2</v>
      </c>
      <c r="V136" s="17" t="s">
        <v>37</v>
      </c>
      <c r="W136" s="18">
        <v>0</v>
      </c>
      <c r="X136" s="18" t="s">
        <v>342</v>
      </c>
      <c r="Y136" s="18">
        <f t="shared" si="14"/>
        <v>4</v>
      </c>
      <c r="Z136" s="17" t="s">
        <v>121</v>
      </c>
      <c r="AA136" s="17">
        <v>1</v>
      </c>
      <c r="AB136" s="17" t="s">
        <v>187</v>
      </c>
      <c r="AC136" s="17" t="s">
        <v>206</v>
      </c>
      <c r="AD136" s="17" t="s">
        <v>183</v>
      </c>
      <c r="AE136" s="17" t="s">
        <v>196</v>
      </c>
      <c r="AF136" s="1">
        <f t="shared" si="15"/>
        <v>0</v>
      </c>
      <c r="AG136" s="1">
        <f t="shared" si="16"/>
        <v>0</v>
      </c>
      <c r="AH136" s="1">
        <f t="shared" si="17"/>
        <v>1</v>
      </c>
    </row>
    <row r="137" spans="19:34">
      <c r="S137" s="17">
        <v>8</v>
      </c>
      <c r="T137" s="18"/>
      <c r="U137" s="17">
        <v>2</v>
      </c>
      <c r="V137" s="17" t="s">
        <v>37</v>
      </c>
      <c r="W137" s="18">
        <v>0</v>
      </c>
      <c r="X137" s="18" t="s">
        <v>342</v>
      </c>
      <c r="Y137" s="18">
        <f t="shared" si="14"/>
        <v>4</v>
      </c>
      <c r="Z137" s="17" t="s">
        <v>115</v>
      </c>
      <c r="AA137" s="17">
        <v>1</v>
      </c>
      <c r="AB137" s="17" t="s">
        <v>200</v>
      </c>
      <c r="AC137" s="17" t="s">
        <v>198</v>
      </c>
      <c r="AD137" s="17" t="s">
        <v>212</v>
      </c>
      <c r="AE137" s="17" t="s">
        <v>185</v>
      </c>
      <c r="AF137" s="1">
        <f t="shared" si="15"/>
        <v>0</v>
      </c>
      <c r="AG137" s="1">
        <f t="shared" si="16"/>
        <v>0</v>
      </c>
      <c r="AH137" s="1">
        <f t="shared" si="17"/>
        <v>1</v>
      </c>
    </row>
    <row r="138" spans="19:34">
      <c r="S138" s="17">
        <v>9</v>
      </c>
      <c r="T138" s="18"/>
      <c r="U138" s="17">
        <v>1</v>
      </c>
      <c r="V138" s="17" t="s">
        <v>37</v>
      </c>
      <c r="W138" s="18">
        <v>4</v>
      </c>
      <c r="X138" s="18" t="s">
        <v>342</v>
      </c>
      <c r="Y138" s="18">
        <f t="shared" si="14"/>
        <v>0</v>
      </c>
      <c r="Z138" s="17" t="s">
        <v>343</v>
      </c>
      <c r="AA138" s="17">
        <v>2</v>
      </c>
      <c r="AB138" s="17" t="s">
        <v>202</v>
      </c>
      <c r="AC138" s="17" t="s">
        <v>164</v>
      </c>
      <c r="AD138" s="17" t="s">
        <v>191</v>
      </c>
      <c r="AE138" s="17" t="s">
        <v>176</v>
      </c>
      <c r="AF138" s="1">
        <f t="shared" si="15"/>
        <v>1</v>
      </c>
      <c r="AG138" s="1">
        <f t="shared" si="16"/>
        <v>0</v>
      </c>
      <c r="AH138" s="1">
        <f t="shared" si="17"/>
        <v>0</v>
      </c>
    </row>
    <row r="139" spans="19:34">
      <c r="S139" s="17">
        <v>10</v>
      </c>
      <c r="T139" s="18"/>
      <c r="U139" s="17">
        <v>2</v>
      </c>
      <c r="V139" s="17" t="s">
        <v>37</v>
      </c>
      <c r="W139" s="18">
        <v>4</v>
      </c>
      <c r="X139" s="18" t="s">
        <v>342</v>
      </c>
      <c r="Y139" s="18">
        <f t="shared" si="14"/>
        <v>0</v>
      </c>
      <c r="Z139" s="17" t="s">
        <v>85</v>
      </c>
      <c r="AA139" s="17">
        <v>1</v>
      </c>
      <c r="AB139" s="17" t="s">
        <v>172</v>
      </c>
      <c r="AC139" s="17" t="s">
        <v>208</v>
      </c>
      <c r="AD139" s="17" t="s">
        <v>214</v>
      </c>
      <c r="AE139" s="17" t="s">
        <v>193</v>
      </c>
      <c r="AF139" s="1">
        <f t="shared" si="15"/>
        <v>1</v>
      </c>
      <c r="AG139" s="1">
        <f t="shared" si="16"/>
        <v>0</v>
      </c>
      <c r="AH139" s="1">
        <f t="shared" si="17"/>
        <v>0</v>
      </c>
    </row>
    <row r="140" spans="19:34">
      <c r="S140" s="17">
        <v>11</v>
      </c>
      <c r="T140" s="18"/>
      <c r="U140" s="17">
        <v>2</v>
      </c>
      <c r="V140" s="17" t="s">
        <v>37</v>
      </c>
      <c r="W140" s="18">
        <v>4</v>
      </c>
      <c r="X140" s="18" t="s">
        <v>342</v>
      </c>
      <c r="Y140" s="18">
        <f t="shared" si="14"/>
        <v>0</v>
      </c>
      <c r="Z140" s="17" t="s">
        <v>33</v>
      </c>
      <c r="AA140" s="17">
        <v>1</v>
      </c>
      <c r="AB140" s="17" t="s">
        <v>193</v>
      </c>
      <c r="AC140" s="17" t="s">
        <v>206</v>
      </c>
      <c r="AD140" s="17" t="s">
        <v>172</v>
      </c>
      <c r="AE140" s="17" t="s">
        <v>210</v>
      </c>
      <c r="AF140" s="1">
        <f t="shared" si="15"/>
        <v>1</v>
      </c>
      <c r="AG140" s="1">
        <f t="shared" si="16"/>
        <v>0</v>
      </c>
      <c r="AH140" s="1">
        <f t="shared" si="17"/>
        <v>0</v>
      </c>
    </row>
    <row r="141" spans="19:34">
      <c r="S141" s="17">
        <v>12</v>
      </c>
      <c r="T141" s="18"/>
      <c r="U141" s="17">
        <v>2</v>
      </c>
      <c r="V141" s="17" t="s">
        <v>37</v>
      </c>
      <c r="W141" s="18">
        <v>4</v>
      </c>
      <c r="X141" s="18" t="s">
        <v>342</v>
      </c>
      <c r="Y141" s="18">
        <f t="shared" si="14"/>
        <v>0</v>
      </c>
      <c r="Z141" s="17" t="s">
        <v>109</v>
      </c>
      <c r="AA141" s="17">
        <v>1</v>
      </c>
      <c r="AB141" s="17" t="s">
        <v>214</v>
      </c>
      <c r="AC141" s="17" t="s">
        <v>180</v>
      </c>
      <c r="AD141" s="17" t="s">
        <v>176</v>
      </c>
      <c r="AE141" s="17" t="s">
        <v>202</v>
      </c>
      <c r="AF141" s="1">
        <f t="shared" si="15"/>
        <v>1</v>
      </c>
      <c r="AG141" s="1">
        <f t="shared" si="16"/>
        <v>0</v>
      </c>
      <c r="AH141" s="1">
        <f t="shared" si="17"/>
        <v>0</v>
      </c>
    </row>
    <row r="142" spans="19:34">
      <c r="S142" s="17">
        <v>13</v>
      </c>
      <c r="T142" s="18"/>
      <c r="U142" s="17">
        <v>2</v>
      </c>
      <c r="V142" s="17" t="s">
        <v>37</v>
      </c>
      <c r="W142" s="18">
        <v>3</v>
      </c>
      <c r="X142" s="18" t="s">
        <v>342</v>
      </c>
      <c r="Y142" s="18">
        <f t="shared" si="14"/>
        <v>1</v>
      </c>
      <c r="Z142" s="17" t="s">
        <v>95</v>
      </c>
      <c r="AA142" s="17">
        <v>1</v>
      </c>
      <c r="AB142" s="17" t="s">
        <v>183</v>
      </c>
      <c r="AC142" s="17" t="s">
        <v>208</v>
      </c>
      <c r="AD142" s="17" t="s">
        <v>189</v>
      </c>
      <c r="AE142" s="17" t="s">
        <v>196</v>
      </c>
      <c r="AF142" s="1">
        <f t="shared" si="15"/>
        <v>1</v>
      </c>
      <c r="AG142" s="1">
        <f t="shared" si="16"/>
        <v>0</v>
      </c>
      <c r="AH142" s="1">
        <f t="shared" si="17"/>
        <v>0</v>
      </c>
    </row>
    <row r="143" spans="19:34">
      <c r="S143" s="17">
        <v>14</v>
      </c>
      <c r="T143" s="18"/>
      <c r="U143" s="17">
        <v>2</v>
      </c>
      <c r="V143" s="17" t="s">
        <v>37</v>
      </c>
      <c r="W143" s="18">
        <v>3</v>
      </c>
      <c r="X143" s="18" t="s">
        <v>342</v>
      </c>
      <c r="Y143" s="18">
        <f t="shared" si="14"/>
        <v>1</v>
      </c>
      <c r="Z143" s="17" t="s">
        <v>43</v>
      </c>
      <c r="AA143" s="17">
        <v>1</v>
      </c>
      <c r="AB143" s="17" t="s">
        <v>204</v>
      </c>
      <c r="AC143" s="17" t="s">
        <v>185</v>
      </c>
      <c r="AD143" s="17" t="s">
        <v>164</v>
      </c>
      <c r="AE143" s="17" t="s">
        <v>187</v>
      </c>
      <c r="AF143" s="1">
        <f t="shared" si="15"/>
        <v>1</v>
      </c>
      <c r="AG143" s="1">
        <f t="shared" si="16"/>
        <v>0</v>
      </c>
      <c r="AH143" s="1">
        <f t="shared" si="17"/>
        <v>0</v>
      </c>
    </row>
    <row r="144" spans="19:34">
      <c r="S144" s="17">
        <v>15</v>
      </c>
      <c r="T144" s="18"/>
      <c r="U144" s="17">
        <v>2</v>
      </c>
      <c r="V144" s="17" t="s">
        <v>37</v>
      </c>
      <c r="W144" s="18">
        <v>2</v>
      </c>
      <c r="X144" s="18" t="s">
        <v>342</v>
      </c>
      <c r="Y144" s="18">
        <f t="shared" si="14"/>
        <v>2</v>
      </c>
      <c r="Z144" s="17" t="s">
        <v>45</v>
      </c>
      <c r="AA144" s="17">
        <v>1</v>
      </c>
      <c r="AB144" s="17" t="s">
        <v>198</v>
      </c>
      <c r="AC144" s="17" t="s">
        <v>212</v>
      </c>
      <c r="AD144" s="17" t="s">
        <v>200</v>
      </c>
      <c r="AE144" s="17" t="s">
        <v>191</v>
      </c>
      <c r="AF144" s="1">
        <f t="shared" si="15"/>
        <v>0</v>
      </c>
      <c r="AG144" s="1">
        <f t="shared" si="16"/>
        <v>1</v>
      </c>
      <c r="AH144" s="1">
        <f t="shared" si="17"/>
        <v>0</v>
      </c>
    </row>
    <row r="145" spans="19:34">
      <c r="S145" s="58" t="s">
        <v>339</v>
      </c>
      <c r="T145" s="58" t="s">
        <v>340</v>
      </c>
      <c r="U145" s="58" t="s">
        <v>341</v>
      </c>
      <c r="V145" s="58" t="s">
        <v>1</v>
      </c>
      <c r="W145" s="69" t="s">
        <v>220</v>
      </c>
      <c r="X145" s="70"/>
      <c r="Y145" s="71"/>
      <c r="Z145" s="58" t="s">
        <v>1</v>
      </c>
      <c r="AA145" s="58" t="s">
        <v>341</v>
      </c>
      <c r="AB145" s="58" t="s">
        <v>225</v>
      </c>
      <c r="AC145" s="58" t="s">
        <v>228</v>
      </c>
      <c r="AD145" s="58" t="s">
        <v>230</v>
      </c>
      <c r="AE145" s="58" t="s">
        <v>232</v>
      </c>
      <c r="AF145" s="1">
        <f t="shared" si="15"/>
        <v>1</v>
      </c>
      <c r="AG145" s="1">
        <f t="shared" si="16"/>
        <v>0</v>
      </c>
      <c r="AH145" s="1">
        <f t="shared" si="17"/>
        <v>0</v>
      </c>
    </row>
    <row r="146" spans="19:34">
      <c r="S146" s="17">
        <v>1</v>
      </c>
      <c r="T146" s="18"/>
      <c r="U146" s="17">
        <v>2</v>
      </c>
      <c r="V146" s="17" t="s">
        <v>45</v>
      </c>
      <c r="W146" s="18">
        <v>1</v>
      </c>
      <c r="X146" s="18" t="s">
        <v>342</v>
      </c>
      <c r="Y146" s="18">
        <f t="shared" ref="Y146:Y160" si="18">IF(W146="","",4-W146)</f>
        <v>3</v>
      </c>
      <c r="Z146" s="17" t="s">
        <v>117</v>
      </c>
      <c r="AA146" s="17">
        <v>1</v>
      </c>
      <c r="AB146" s="17" t="s">
        <v>191</v>
      </c>
      <c r="AC146" s="17" t="s">
        <v>185</v>
      </c>
      <c r="AD146" s="17" t="s">
        <v>206</v>
      </c>
      <c r="AE146" s="17" t="s">
        <v>202</v>
      </c>
      <c r="AF146" s="1">
        <f t="shared" si="15"/>
        <v>0</v>
      </c>
      <c r="AG146" s="1">
        <f t="shared" si="16"/>
        <v>0</v>
      </c>
      <c r="AH146" s="1">
        <f t="shared" si="17"/>
        <v>1</v>
      </c>
    </row>
    <row r="147" spans="19:34">
      <c r="S147" s="17">
        <v>2</v>
      </c>
      <c r="T147" s="18"/>
      <c r="U147" s="17">
        <v>2</v>
      </c>
      <c r="V147" s="17" t="s">
        <v>45</v>
      </c>
      <c r="W147" s="18">
        <v>2</v>
      </c>
      <c r="X147" s="18" t="s">
        <v>342</v>
      </c>
      <c r="Y147" s="18">
        <f t="shared" si="18"/>
        <v>2</v>
      </c>
      <c r="Z147" s="17" t="s">
        <v>101</v>
      </c>
      <c r="AA147" s="17">
        <v>1</v>
      </c>
      <c r="AB147" s="17" t="s">
        <v>180</v>
      </c>
      <c r="AC147" s="17" t="s">
        <v>172</v>
      </c>
      <c r="AD147" s="17" t="s">
        <v>200</v>
      </c>
      <c r="AE147" s="17" t="s">
        <v>198</v>
      </c>
      <c r="AF147" s="1">
        <f t="shared" si="15"/>
        <v>0</v>
      </c>
      <c r="AG147" s="1">
        <f t="shared" si="16"/>
        <v>1</v>
      </c>
      <c r="AH147" s="1">
        <f t="shared" si="17"/>
        <v>0</v>
      </c>
    </row>
    <row r="148" spans="19:34">
      <c r="S148" s="17">
        <v>3</v>
      </c>
      <c r="T148" s="18"/>
      <c r="U148" s="17">
        <v>1</v>
      </c>
      <c r="V148" s="17" t="s">
        <v>45</v>
      </c>
      <c r="W148" s="18">
        <v>2</v>
      </c>
      <c r="X148" s="18" t="s">
        <v>342</v>
      </c>
      <c r="Y148" s="18">
        <f t="shared" si="18"/>
        <v>2</v>
      </c>
      <c r="Z148" s="17" t="s">
        <v>103</v>
      </c>
      <c r="AA148" s="17">
        <v>2</v>
      </c>
      <c r="AB148" s="17" t="s">
        <v>176</v>
      </c>
      <c r="AC148" s="17" t="s">
        <v>183</v>
      </c>
      <c r="AD148" s="17" t="s">
        <v>204</v>
      </c>
      <c r="AE148" s="17" t="s">
        <v>212</v>
      </c>
      <c r="AF148" s="1">
        <f t="shared" si="15"/>
        <v>0</v>
      </c>
      <c r="AG148" s="1">
        <f t="shared" si="16"/>
        <v>1</v>
      </c>
      <c r="AH148" s="1">
        <f t="shared" si="17"/>
        <v>0</v>
      </c>
    </row>
    <row r="149" spans="19:34">
      <c r="S149" s="17">
        <v>4</v>
      </c>
      <c r="T149" s="18"/>
      <c r="U149" s="17">
        <v>2</v>
      </c>
      <c r="V149" s="17" t="s">
        <v>45</v>
      </c>
      <c r="W149" s="18">
        <v>1</v>
      </c>
      <c r="X149" s="18" t="s">
        <v>342</v>
      </c>
      <c r="Y149" s="18">
        <f t="shared" si="18"/>
        <v>3</v>
      </c>
      <c r="Z149" s="17" t="s">
        <v>59</v>
      </c>
      <c r="AA149" s="17">
        <v>1</v>
      </c>
      <c r="AB149" s="17" t="s">
        <v>196</v>
      </c>
      <c r="AC149" s="17" t="s">
        <v>193</v>
      </c>
      <c r="AD149" s="17" t="s">
        <v>208</v>
      </c>
      <c r="AE149" s="17" t="s">
        <v>164</v>
      </c>
      <c r="AF149" s="1">
        <f t="shared" si="15"/>
        <v>0</v>
      </c>
      <c r="AG149" s="1">
        <f t="shared" si="16"/>
        <v>0</v>
      </c>
      <c r="AH149" s="1">
        <f t="shared" si="17"/>
        <v>1</v>
      </c>
    </row>
    <row r="150" spans="19:34">
      <c r="S150" s="17">
        <v>5</v>
      </c>
      <c r="T150" s="18"/>
      <c r="U150" s="17">
        <v>2</v>
      </c>
      <c r="V150" s="17" t="s">
        <v>45</v>
      </c>
      <c r="W150" s="18">
        <v>0</v>
      </c>
      <c r="X150" s="18" t="s">
        <v>342</v>
      </c>
      <c r="Y150" s="18">
        <f t="shared" si="18"/>
        <v>4</v>
      </c>
      <c r="Z150" s="17" t="s">
        <v>71</v>
      </c>
      <c r="AA150" s="17">
        <v>1</v>
      </c>
      <c r="AB150" s="17" t="s">
        <v>214</v>
      </c>
      <c r="AC150" s="17" t="s">
        <v>210</v>
      </c>
      <c r="AD150" s="17" t="s">
        <v>187</v>
      </c>
      <c r="AE150" s="17" t="s">
        <v>189</v>
      </c>
      <c r="AF150" s="1">
        <f t="shared" si="15"/>
        <v>0</v>
      </c>
      <c r="AG150" s="1">
        <f t="shared" si="16"/>
        <v>0</v>
      </c>
      <c r="AH150" s="1">
        <f t="shared" si="17"/>
        <v>1</v>
      </c>
    </row>
    <row r="151" spans="19:34">
      <c r="S151" s="17">
        <v>6</v>
      </c>
      <c r="T151" s="18"/>
      <c r="U151" s="17">
        <v>1</v>
      </c>
      <c r="V151" s="17" t="s">
        <v>45</v>
      </c>
      <c r="W151" s="18">
        <v>0</v>
      </c>
      <c r="X151" s="18" t="s">
        <v>342</v>
      </c>
      <c r="Y151" s="18">
        <f t="shared" si="18"/>
        <v>4</v>
      </c>
      <c r="Z151" s="17" t="s">
        <v>67</v>
      </c>
      <c r="AA151" s="17">
        <v>2</v>
      </c>
      <c r="AB151" s="17" t="s">
        <v>204</v>
      </c>
      <c r="AC151" s="17" t="s">
        <v>210</v>
      </c>
      <c r="AD151" s="17" t="s">
        <v>180</v>
      </c>
      <c r="AE151" s="17" t="s">
        <v>189</v>
      </c>
      <c r="AF151" s="1">
        <f t="shared" si="15"/>
        <v>0</v>
      </c>
      <c r="AG151" s="1">
        <f t="shared" si="16"/>
        <v>0</v>
      </c>
      <c r="AH151" s="1">
        <f t="shared" si="17"/>
        <v>1</v>
      </c>
    </row>
    <row r="152" spans="19:34">
      <c r="S152" s="17">
        <v>7</v>
      </c>
      <c r="T152" s="18"/>
      <c r="U152" s="17">
        <v>2</v>
      </c>
      <c r="V152" s="17" t="s">
        <v>45</v>
      </c>
      <c r="W152" s="18">
        <v>0</v>
      </c>
      <c r="X152" s="18" t="s">
        <v>342</v>
      </c>
      <c r="Y152" s="18">
        <f t="shared" si="18"/>
        <v>4</v>
      </c>
      <c r="Z152" s="17" t="s">
        <v>115</v>
      </c>
      <c r="AA152" s="17">
        <v>1</v>
      </c>
      <c r="AB152" s="17" t="s">
        <v>187</v>
      </c>
      <c r="AC152" s="17" t="s">
        <v>206</v>
      </c>
      <c r="AD152" s="17" t="s">
        <v>183</v>
      </c>
      <c r="AE152" s="17" t="s">
        <v>196</v>
      </c>
      <c r="AF152" s="1">
        <f t="shared" si="15"/>
        <v>0</v>
      </c>
      <c r="AG152" s="1">
        <f t="shared" si="16"/>
        <v>0</v>
      </c>
      <c r="AH152" s="1">
        <f t="shared" si="17"/>
        <v>1</v>
      </c>
    </row>
    <row r="153" spans="19:34">
      <c r="S153" s="17">
        <v>8</v>
      </c>
      <c r="T153" s="18"/>
      <c r="U153" s="17">
        <v>2</v>
      </c>
      <c r="V153" s="17" t="s">
        <v>45</v>
      </c>
      <c r="W153" s="18">
        <v>0</v>
      </c>
      <c r="X153" s="18" t="s">
        <v>342</v>
      </c>
      <c r="Y153" s="18">
        <f t="shared" si="18"/>
        <v>4</v>
      </c>
      <c r="Z153" s="17" t="s">
        <v>121</v>
      </c>
      <c r="AA153" s="17">
        <v>1</v>
      </c>
      <c r="AB153" s="17" t="s">
        <v>200</v>
      </c>
      <c r="AC153" s="17" t="s">
        <v>198</v>
      </c>
      <c r="AD153" s="17" t="s">
        <v>212</v>
      </c>
      <c r="AE153" s="17" t="s">
        <v>185</v>
      </c>
      <c r="AF153" s="1">
        <f t="shared" si="15"/>
        <v>0</v>
      </c>
      <c r="AG153" s="1">
        <f t="shared" si="16"/>
        <v>0</v>
      </c>
      <c r="AH153" s="1">
        <f t="shared" si="17"/>
        <v>1</v>
      </c>
    </row>
    <row r="154" spans="19:34">
      <c r="S154" s="17">
        <v>9</v>
      </c>
      <c r="T154" s="18"/>
      <c r="U154" s="17">
        <v>1</v>
      </c>
      <c r="V154" s="17" t="s">
        <v>45</v>
      </c>
      <c r="W154" s="18">
        <v>4</v>
      </c>
      <c r="X154" s="18" t="s">
        <v>342</v>
      </c>
      <c r="Y154" s="18">
        <f t="shared" si="18"/>
        <v>0</v>
      </c>
      <c r="Z154" s="17" t="s">
        <v>85</v>
      </c>
      <c r="AA154" s="17">
        <v>2</v>
      </c>
      <c r="AB154" s="17" t="s">
        <v>202</v>
      </c>
      <c r="AC154" s="17" t="s">
        <v>164</v>
      </c>
      <c r="AD154" s="17" t="s">
        <v>191</v>
      </c>
      <c r="AE154" s="17" t="s">
        <v>176</v>
      </c>
      <c r="AF154" s="1">
        <f t="shared" si="15"/>
        <v>1</v>
      </c>
      <c r="AG154" s="1">
        <f t="shared" si="16"/>
        <v>0</v>
      </c>
      <c r="AH154" s="1">
        <f t="shared" si="17"/>
        <v>0</v>
      </c>
    </row>
    <row r="155" spans="19:34">
      <c r="S155" s="17">
        <v>10</v>
      </c>
      <c r="T155" s="18"/>
      <c r="U155" s="17">
        <v>2</v>
      </c>
      <c r="V155" s="17" t="s">
        <v>45</v>
      </c>
      <c r="W155" s="18">
        <v>4</v>
      </c>
      <c r="X155" s="18" t="s">
        <v>342</v>
      </c>
      <c r="Y155" s="18">
        <f t="shared" si="18"/>
        <v>0</v>
      </c>
      <c r="Z155" s="17" t="s">
        <v>343</v>
      </c>
      <c r="AA155" s="17">
        <v>1</v>
      </c>
      <c r="AB155" s="17" t="s">
        <v>172</v>
      </c>
      <c r="AC155" s="17" t="s">
        <v>208</v>
      </c>
      <c r="AD155" s="17" t="s">
        <v>214</v>
      </c>
      <c r="AE155" s="17" t="s">
        <v>193</v>
      </c>
      <c r="AF155" s="1">
        <f t="shared" si="15"/>
        <v>1</v>
      </c>
      <c r="AG155" s="1">
        <f t="shared" si="16"/>
        <v>0</v>
      </c>
      <c r="AH155" s="1">
        <f t="shared" si="17"/>
        <v>0</v>
      </c>
    </row>
    <row r="156" spans="19:34">
      <c r="S156" s="17">
        <v>11</v>
      </c>
      <c r="T156" s="18"/>
      <c r="U156" s="17">
        <v>2</v>
      </c>
      <c r="V156" s="17" t="s">
        <v>45</v>
      </c>
      <c r="W156" s="18">
        <v>4</v>
      </c>
      <c r="X156" s="18" t="s">
        <v>342</v>
      </c>
      <c r="Y156" s="18">
        <f t="shared" si="18"/>
        <v>0</v>
      </c>
      <c r="Z156" s="17" t="s">
        <v>109</v>
      </c>
      <c r="AA156" s="17">
        <v>1</v>
      </c>
      <c r="AB156" s="17" t="s">
        <v>193</v>
      </c>
      <c r="AC156" s="17" t="s">
        <v>206</v>
      </c>
      <c r="AD156" s="17" t="s">
        <v>172</v>
      </c>
      <c r="AE156" s="17" t="s">
        <v>210</v>
      </c>
      <c r="AF156" s="1">
        <f t="shared" si="15"/>
        <v>1</v>
      </c>
      <c r="AG156" s="1">
        <f t="shared" si="16"/>
        <v>0</v>
      </c>
      <c r="AH156" s="1">
        <f t="shared" si="17"/>
        <v>0</v>
      </c>
    </row>
    <row r="157" spans="19:34">
      <c r="S157" s="17">
        <v>12</v>
      </c>
      <c r="T157" s="18"/>
      <c r="U157" s="17">
        <v>1</v>
      </c>
      <c r="V157" s="17" t="s">
        <v>45</v>
      </c>
      <c r="W157" s="18">
        <v>4</v>
      </c>
      <c r="X157" s="18" t="s">
        <v>342</v>
      </c>
      <c r="Y157" s="18">
        <f t="shared" si="18"/>
        <v>0</v>
      </c>
      <c r="Z157" s="17" t="s">
        <v>33</v>
      </c>
      <c r="AA157" s="17">
        <v>2</v>
      </c>
      <c r="AB157" s="17" t="s">
        <v>214</v>
      </c>
      <c r="AC157" s="17" t="s">
        <v>180</v>
      </c>
      <c r="AD157" s="17" t="s">
        <v>176</v>
      </c>
      <c r="AE157" s="17" t="s">
        <v>202</v>
      </c>
      <c r="AF157" s="1">
        <f t="shared" si="15"/>
        <v>1</v>
      </c>
      <c r="AG157" s="1">
        <f t="shared" si="16"/>
        <v>0</v>
      </c>
      <c r="AH157" s="1">
        <f t="shared" si="17"/>
        <v>0</v>
      </c>
    </row>
    <row r="158" spans="19:34">
      <c r="S158" s="17">
        <v>13</v>
      </c>
      <c r="T158" s="18"/>
      <c r="U158" s="17">
        <v>1</v>
      </c>
      <c r="V158" s="17" t="s">
        <v>45</v>
      </c>
      <c r="W158" s="18">
        <v>3</v>
      </c>
      <c r="X158" s="18" t="s">
        <v>342</v>
      </c>
      <c r="Y158" s="18">
        <f t="shared" si="18"/>
        <v>1</v>
      </c>
      <c r="Z158" s="17" t="s">
        <v>43</v>
      </c>
      <c r="AA158" s="17">
        <v>2</v>
      </c>
      <c r="AB158" s="17" t="s">
        <v>183</v>
      </c>
      <c r="AC158" s="17" t="s">
        <v>208</v>
      </c>
      <c r="AD158" s="17" t="s">
        <v>189</v>
      </c>
      <c r="AE158" s="17" t="s">
        <v>196</v>
      </c>
      <c r="AF158" s="1">
        <f t="shared" si="15"/>
        <v>1</v>
      </c>
      <c r="AG158" s="1">
        <f t="shared" si="16"/>
        <v>0</v>
      </c>
      <c r="AH158" s="1">
        <f t="shared" si="17"/>
        <v>0</v>
      </c>
    </row>
    <row r="159" spans="19:34">
      <c r="S159" s="17">
        <v>14</v>
      </c>
      <c r="T159" s="18"/>
      <c r="U159" s="17">
        <v>1</v>
      </c>
      <c r="V159" s="17" t="s">
        <v>45</v>
      </c>
      <c r="W159" s="18">
        <v>3</v>
      </c>
      <c r="X159" s="18" t="s">
        <v>342</v>
      </c>
      <c r="Y159" s="18">
        <f t="shared" si="18"/>
        <v>1</v>
      </c>
      <c r="Z159" s="17" t="s">
        <v>95</v>
      </c>
      <c r="AA159" s="17">
        <v>2</v>
      </c>
      <c r="AB159" s="17" t="s">
        <v>204</v>
      </c>
      <c r="AC159" s="17" t="s">
        <v>185</v>
      </c>
      <c r="AD159" s="17" t="s">
        <v>164</v>
      </c>
      <c r="AE159" s="17" t="s">
        <v>187</v>
      </c>
      <c r="AF159" s="1">
        <f t="shared" si="15"/>
        <v>1</v>
      </c>
      <c r="AG159" s="1">
        <f t="shared" si="16"/>
        <v>0</v>
      </c>
      <c r="AH159" s="1">
        <f t="shared" si="17"/>
        <v>0</v>
      </c>
    </row>
    <row r="160" spans="19:34">
      <c r="S160" s="17">
        <v>15</v>
      </c>
      <c r="T160" s="18"/>
      <c r="U160" s="17">
        <v>1</v>
      </c>
      <c r="V160" s="17" t="s">
        <v>45</v>
      </c>
      <c r="W160" s="18">
        <v>2</v>
      </c>
      <c r="X160" s="18" t="s">
        <v>342</v>
      </c>
      <c r="Y160" s="18">
        <f t="shared" si="18"/>
        <v>2</v>
      </c>
      <c r="Z160" s="17" t="s">
        <v>37</v>
      </c>
      <c r="AA160" s="17">
        <v>2</v>
      </c>
      <c r="AB160" s="17" t="s">
        <v>198</v>
      </c>
      <c r="AC160" s="17" t="s">
        <v>212</v>
      </c>
      <c r="AD160" s="17" t="s">
        <v>200</v>
      </c>
      <c r="AE160" s="17" t="s">
        <v>191</v>
      </c>
      <c r="AF160" s="1">
        <f t="shared" si="15"/>
        <v>0</v>
      </c>
      <c r="AG160" s="1">
        <f t="shared" si="16"/>
        <v>1</v>
      </c>
      <c r="AH160" s="1">
        <f t="shared" si="17"/>
        <v>0</v>
      </c>
    </row>
    <row r="161" spans="19:34">
      <c r="S161" s="58" t="s">
        <v>339</v>
      </c>
      <c r="T161" s="58" t="s">
        <v>340</v>
      </c>
      <c r="U161" s="58" t="s">
        <v>341</v>
      </c>
      <c r="V161" s="58" t="s">
        <v>1</v>
      </c>
      <c r="W161" s="69" t="s">
        <v>220</v>
      </c>
      <c r="X161" s="70"/>
      <c r="Y161" s="71"/>
      <c r="Z161" s="58" t="s">
        <v>1</v>
      </c>
      <c r="AA161" s="58" t="s">
        <v>341</v>
      </c>
      <c r="AB161" s="58" t="s">
        <v>225</v>
      </c>
      <c r="AC161" s="58" t="s">
        <v>228</v>
      </c>
      <c r="AD161" s="58" t="s">
        <v>230</v>
      </c>
      <c r="AE161" s="58" t="s">
        <v>232</v>
      </c>
      <c r="AF161" s="1">
        <f t="shared" si="15"/>
        <v>1</v>
      </c>
      <c r="AG161" s="1">
        <f t="shared" si="16"/>
        <v>0</v>
      </c>
      <c r="AH161" s="1">
        <f t="shared" si="17"/>
        <v>0</v>
      </c>
    </row>
    <row r="162" spans="19:34">
      <c r="S162" s="17">
        <v>1</v>
      </c>
      <c r="T162" s="18"/>
      <c r="U162" s="17">
        <v>2</v>
      </c>
      <c r="V162" s="17" t="s">
        <v>43</v>
      </c>
      <c r="W162" s="18">
        <v>1</v>
      </c>
      <c r="X162" s="18" t="s">
        <v>342</v>
      </c>
      <c r="Y162" s="18">
        <f t="shared" ref="Y162:Y176" si="19">IF(W162="","",4-W162)</f>
        <v>3</v>
      </c>
      <c r="Z162" s="17" t="s">
        <v>59</v>
      </c>
      <c r="AA162" s="17">
        <v>1</v>
      </c>
      <c r="AB162" s="17" t="s">
        <v>191</v>
      </c>
      <c r="AC162" s="17" t="s">
        <v>185</v>
      </c>
      <c r="AD162" s="17" t="s">
        <v>206</v>
      </c>
      <c r="AE162" s="17" t="s">
        <v>202</v>
      </c>
      <c r="AF162" s="1">
        <f t="shared" si="15"/>
        <v>0</v>
      </c>
      <c r="AG162" s="1">
        <f t="shared" si="16"/>
        <v>0</v>
      </c>
      <c r="AH162" s="1">
        <f t="shared" si="17"/>
        <v>1</v>
      </c>
    </row>
    <row r="163" spans="19:34">
      <c r="S163" s="17">
        <v>2</v>
      </c>
      <c r="T163" s="18"/>
      <c r="U163" s="17">
        <v>1</v>
      </c>
      <c r="V163" s="17" t="s">
        <v>43</v>
      </c>
      <c r="W163" s="18">
        <v>1</v>
      </c>
      <c r="X163" s="18" t="s">
        <v>342</v>
      </c>
      <c r="Y163" s="18">
        <f t="shared" si="19"/>
        <v>3</v>
      </c>
      <c r="Z163" s="17" t="s">
        <v>103</v>
      </c>
      <c r="AA163" s="17">
        <v>2</v>
      </c>
      <c r="AB163" s="17" t="s">
        <v>180</v>
      </c>
      <c r="AC163" s="17" t="s">
        <v>172</v>
      </c>
      <c r="AD163" s="17" t="s">
        <v>200</v>
      </c>
      <c r="AE163" s="17" t="s">
        <v>198</v>
      </c>
      <c r="AF163" s="1">
        <f t="shared" si="15"/>
        <v>0</v>
      </c>
      <c r="AG163" s="1">
        <f t="shared" si="16"/>
        <v>0</v>
      </c>
      <c r="AH163" s="1">
        <f t="shared" si="17"/>
        <v>1</v>
      </c>
    </row>
    <row r="164" spans="19:34">
      <c r="S164" s="17">
        <v>3</v>
      </c>
      <c r="T164" s="18"/>
      <c r="U164" s="17">
        <v>2</v>
      </c>
      <c r="V164" s="17" t="s">
        <v>43</v>
      </c>
      <c r="W164" s="18">
        <v>0</v>
      </c>
      <c r="X164" s="18" t="s">
        <v>342</v>
      </c>
      <c r="Y164" s="18">
        <f t="shared" si="19"/>
        <v>4</v>
      </c>
      <c r="Z164" s="17" t="s">
        <v>101</v>
      </c>
      <c r="AA164" s="17">
        <v>1</v>
      </c>
      <c r="AB164" s="17" t="s">
        <v>176</v>
      </c>
      <c r="AC164" s="17" t="s">
        <v>183</v>
      </c>
      <c r="AD164" s="17" t="s">
        <v>204</v>
      </c>
      <c r="AE164" s="17" t="s">
        <v>212</v>
      </c>
      <c r="AF164" s="1">
        <f t="shared" si="15"/>
        <v>0</v>
      </c>
      <c r="AG164" s="1">
        <f t="shared" si="16"/>
        <v>0</v>
      </c>
      <c r="AH164" s="1">
        <f t="shared" si="17"/>
        <v>1</v>
      </c>
    </row>
    <row r="165" spans="19:34">
      <c r="S165" s="17">
        <v>4</v>
      </c>
      <c r="T165" s="18"/>
      <c r="U165" s="17">
        <v>2</v>
      </c>
      <c r="V165" s="17" t="s">
        <v>43</v>
      </c>
      <c r="W165" s="18">
        <v>0</v>
      </c>
      <c r="X165" s="18" t="s">
        <v>342</v>
      </c>
      <c r="Y165" s="18">
        <f t="shared" si="19"/>
        <v>4</v>
      </c>
      <c r="Z165" s="17" t="s">
        <v>117</v>
      </c>
      <c r="AA165" s="17">
        <v>1</v>
      </c>
      <c r="AB165" s="17" t="s">
        <v>196</v>
      </c>
      <c r="AC165" s="17" t="s">
        <v>193</v>
      </c>
      <c r="AD165" s="17" t="s">
        <v>208</v>
      </c>
      <c r="AE165" s="17" t="s">
        <v>164</v>
      </c>
      <c r="AF165" s="1">
        <f t="shared" si="15"/>
        <v>0</v>
      </c>
      <c r="AG165" s="1">
        <f t="shared" si="16"/>
        <v>0</v>
      </c>
      <c r="AH165" s="1">
        <f t="shared" si="17"/>
        <v>1</v>
      </c>
    </row>
    <row r="166" spans="19:34">
      <c r="S166" s="17">
        <v>5</v>
      </c>
      <c r="T166" s="18"/>
      <c r="U166" s="17">
        <v>2</v>
      </c>
      <c r="V166" s="17" t="s">
        <v>43</v>
      </c>
      <c r="W166" s="18">
        <v>0</v>
      </c>
      <c r="X166" s="18" t="s">
        <v>342</v>
      </c>
      <c r="Y166" s="18">
        <f t="shared" si="19"/>
        <v>4</v>
      </c>
      <c r="Z166" s="17" t="s">
        <v>121</v>
      </c>
      <c r="AA166" s="17">
        <v>1</v>
      </c>
      <c r="AB166" s="17" t="s">
        <v>214</v>
      </c>
      <c r="AC166" s="17" t="s">
        <v>210</v>
      </c>
      <c r="AD166" s="17" t="s">
        <v>187</v>
      </c>
      <c r="AE166" s="17" t="s">
        <v>189</v>
      </c>
      <c r="AF166" s="1">
        <f t="shared" si="15"/>
        <v>0</v>
      </c>
      <c r="AG166" s="1">
        <f t="shared" si="16"/>
        <v>0</v>
      </c>
      <c r="AH166" s="1">
        <f t="shared" si="17"/>
        <v>1</v>
      </c>
    </row>
    <row r="167" spans="19:34">
      <c r="S167" s="17">
        <v>6</v>
      </c>
      <c r="T167" s="18"/>
      <c r="U167" s="17">
        <v>2</v>
      </c>
      <c r="V167" s="17" t="s">
        <v>43</v>
      </c>
      <c r="W167" s="18">
        <v>0</v>
      </c>
      <c r="X167" s="18" t="s">
        <v>342</v>
      </c>
      <c r="Y167" s="18">
        <f t="shared" si="19"/>
        <v>4</v>
      </c>
      <c r="Z167" s="17" t="s">
        <v>115</v>
      </c>
      <c r="AA167" s="17">
        <v>1</v>
      </c>
      <c r="AB167" s="17" t="s">
        <v>204</v>
      </c>
      <c r="AC167" s="17" t="s">
        <v>210</v>
      </c>
      <c r="AD167" s="17" t="s">
        <v>180</v>
      </c>
      <c r="AE167" s="17" t="s">
        <v>189</v>
      </c>
      <c r="AF167" s="1">
        <f t="shared" si="15"/>
        <v>0</v>
      </c>
      <c r="AG167" s="1">
        <f t="shared" si="16"/>
        <v>0</v>
      </c>
      <c r="AH167" s="1">
        <f t="shared" si="17"/>
        <v>1</v>
      </c>
    </row>
    <row r="168" spans="19:34">
      <c r="S168" s="17">
        <v>7</v>
      </c>
      <c r="T168" s="18"/>
      <c r="U168" s="17">
        <v>2</v>
      </c>
      <c r="V168" s="17" t="s">
        <v>43</v>
      </c>
      <c r="W168" s="18">
        <v>1</v>
      </c>
      <c r="X168" s="18" t="s">
        <v>342</v>
      </c>
      <c r="Y168" s="18">
        <f t="shared" si="19"/>
        <v>3</v>
      </c>
      <c r="Z168" s="17" t="s">
        <v>67</v>
      </c>
      <c r="AA168" s="17">
        <v>1</v>
      </c>
      <c r="AB168" s="17" t="s">
        <v>187</v>
      </c>
      <c r="AC168" s="17" t="s">
        <v>206</v>
      </c>
      <c r="AD168" s="17" t="s">
        <v>183</v>
      </c>
      <c r="AE168" s="17" t="s">
        <v>196</v>
      </c>
      <c r="AF168" s="1">
        <f t="shared" si="15"/>
        <v>0</v>
      </c>
      <c r="AG168" s="1">
        <f t="shared" si="16"/>
        <v>0</v>
      </c>
      <c r="AH168" s="1">
        <f t="shared" si="17"/>
        <v>1</v>
      </c>
    </row>
    <row r="169" spans="19:34">
      <c r="S169" s="17">
        <v>8</v>
      </c>
      <c r="T169" s="18"/>
      <c r="U169" s="17">
        <v>1</v>
      </c>
      <c r="V169" s="17" t="s">
        <v>43</v>
      </c>
      <c r="W169" s="18">
        <v>0</v>
      </c>
      <c r="X169" s="18" t="s">
        <v>342</v>
      </c>
      <c r="Y169" s="18">
        <f t="shared" si="19"/>
        <v>4</v>
      </c>
      <c r="Z169" s="17" t="s">
        <v>71</v>
      </c>
      <c r="AA169" s="17">
        <v>2</v>
      </c>
      <c r="AB169" s="17" t="s">
        <v>200</v>
      </c>
      <c r="AC169" s="17" t="s">
        <v>198</v>
      </c>
      <c r="AD169" s="17" t="s">
        <v>212</v>
      </c>
      <c r="AE169" s="17" t="s">
        <v>185</v>
      </c>
      <c r="AF169" s="1">
        <f t="shared" si="15"/>
        <v>0</v>
      </c>
      <c r="AG169" s="1">
        <f t="shared" si="16"/>
        <v>0</v>
      </c>
      <c r="AH169" s="1">
        <f t="shared" si="17"/>
        <v>1</v>
      </c>
    </row>
    <row r="170" spans="19:34">
      <c r="S170" s="17">
        <v>9</v>
      </c>
      <c r="T170" s="18"/>
      <c r="U170" s="17">
        <v>2</v>
      </c>
      <c r="V170" s="17" t="s">
        <v>43</v>
      </c>
      <c r="W170" s="18">
        <v>4</v>
      </c>
      <c r="X170" s="18" t="s">
        <v>342</v>
      </c>
      <c r="Y170" s="18">
        <f t="shared" si="19"/>
        <v>0</v>
      </c>
      <c r="Z170" s="17" t="s">
        <v>33</v>
      </c>
      <c r="AA170" s="17">
        <v>1</v>
      </c>
      <c r="AB170" s="17" t="s">
        <v>202</v>
      </c>
      <c r="AC170" s="17" t="s">
        <v>164</v>
      </c>
      <c r="AD170" s="17" t="s">
        <v>191</v>
      </c>
      <c r="AE170" s="17" t="s">
        <v>176</v>
      </c>
      <c r="AF170" s="1">
        <f t="shared" si="15"/>
        <v>1</v>
      </c>
      <c r="AG170" s="1">
        <f t="shared" si="16"/>
        <v>0</v>
      </c>
      <c r="AH170" s="1">
        <f t="shared" si="17"/>
        <v>0</v>
      </c>
    </row>
    <row r="171" spans="19:34">
      <c r="S171" s="17">
        <v>10</v>
      </c>
      <c r="T171" s="18"/>
      <c r="U171" s="17">
        <v>1</v>
      </c>
      <c r="V171" s="17" t="s">
        <v>43</v>
      </c>
      <c r="W171" s="18">
        <v>4</v>
      </c>
      <c r="X171" s="18" t="s">
        <v>342</v>
      </c>
      <c r="Y171" s="18">
        <f t="shared" si="19"/>
        <v>0</v>
      </c>
      <c r="Z171" s="17" t="s">
        <v>109</v>
      </c>
      <c r="AA171" s="17">
        <v>2</v>
      </c>
      <c r="AB171" s="17" t="s">
        <v>172</v>
      </c>
      <c r="AC171" s="17" t="s">
        <v>208</v>
      </c>
      <c r="AD171" s="17" t="s">
        <v>214</v>
      </c>
      <c r="AE171" s="17" t="s">
        <v>193</v>
      </c>
      <c r="AF171" s="1">
        <f t="shared" si="15"/>
        <v>1</v>
      </c>
      <c r="AG171" s="1">
        <f t="shared" si="16"/>
        <v>0</v>
      </c>
      <c r="AH171" s="1">
        <f t="shared" si="17"/>
        <v>0</v>
      </c>
    </row>
    <row r="172" spans="19:34">
      <c r="S172" s="17">
        <v>11</v>
      </c>
      <c r="T172" s="18"/>
      <c r="U172" s="17">
        <v>1</v>
      </c>
      <c r="V172" s="17" t="s">
        <v>43</v>
      </c>
      <c r="W172" s="18">
        <v>4</v>
      </c>
      <c r="X172" s="18" t="s">
        <v>342</v>
      </c>
      <c r="Y172" s="18">
        <f t="shared" si="19"/>
        <v>0</v>
      </c>
      <c r="Z172" s="17" t="s">
        <v>343</v>
      </c>
      <c r="AA172" s="17">
        <v>2</v>
      </c>
      <c r="AB172" s="17" t="s">
        <v>193</v>
      </c>
      <c r="AC172" s="17" t="s">
        <v>206</v>
      </c>
      <c r="AD172" s="17" t="s">
        <v>172</v>
      </c>
      <c r="AE172" s="17" t="s">
        <v>210</v>
      </c>
      <c r="AF172" s="1">
        <f t="shared" si="15"/>
        <v>1</v>
      </c>
      <c r="AG172" s="1">
        <f t="shared" si="16"/>
        <v>0</v>
      </c>
      <c r="AH172" s="1">
        <f t="shared" si="17"/>
        <v>0</v>
      </c>
    </row>
    <row r="173" spans="19:34">
      <c r="S173" s="17">
        <v>12</v>
      </c>
      <c r="T173" s="18"/>
      <c r="U173" s="17">
        <v>1</v>
      </c>
      <c r="V173" s="17" t="s">
        <v>43</v>
      </c>
      <c r="W173" s="18">
        <v>4</v>
      </c>
      <c r="X173" s="18" t="s">
        <v>342</v>
      </c>
      <c r="Y173" s="18">
        <f t="shared" si="19"/>
        <v>0</v>
      </c>
      <c r="Z173" s="17" t="s">
        <v>85</v>
      </c>
      <c r="AA173" s="17">
        <v>2</v>
      </c>
      <c r="AB173" s="17" t="s">
        <v>214</v>
      </c>
      <c r="AC173" s="17" t="s">
        <v>180</v>
      </c>
      <c r="AD173" s="17" t="s">
        <v>176</v>
      </c>
      <c r="AE173" s="17" t="s">
        <v>202</v>
      </c>
      <c r="AF173" s="1">
        <f t="shared" si="15"/>
        <v>1</v>
      </c>
      <c r="AG173" s="1">
        <f t="shared" si="16"/>
        <v>0</v>
      </c>
      <c r="AH173" s="1">
        <f t="shared" si="17"/>
        <v>0</v>
      </c>
    </row>
    <row r="174" spans="19:34">
      <c r="S174" s="17">
        <v>13</v>
      </c>
      <c r="T174" s="18"/>
      <c r="U174" s="17">
        <v>2</v>
      </c>
      <c r="V174" s="17" t="s">
        <v>43</v>
      </c>
      <c r="W174" s="18">
        <v>1</v>
      </c>
      <c r="X174" s="18" t="s">
        <v>342</v>
      </c>
      <c r="Y174" s="18">
        <f t="shared" si="19"/>
        <v>3</v>
      </c>
      <c r="Z174" s="17" t="s">
        <v>45</v>
      </c>
      <c r="AA174" s="17">
        <v>1</v>
      </c>
      <c r="AB174" s="17" t="s">
        <v>183</v>
      </c>
      <c r="AC174" s="17" t="s">
        <v>208</v>
      </c>
      <c r="AD174" s="17" t="s">
        <v>189</v>
      </c>
      <c r="AE174" s="17" t="s">
        <v>196</v>
      </c>
      <c r="AF174" s="1">
        <f t="shared" si="15"/>
        <v>0</v>
      </c>
      <c r="AG174" s="1">
        <f t="shared" si="16"/>
        <v>0</v>
      </c>
      <c r="AH174" s="1">
        <f t="shared" si="17"/>
        <v>1</v>
      </c>
    </row>
    <row r="175" spans="19:34">
      <c r="S175" s="17">
        <v>14</v>
      </c>
      <c r="T175" s="18"/>
      <c r="U175" s="17">
        <v>1</v>
      </c>
      <c r="V175" s="17" t="s">
        <v>43</v>
      </c>
      <c r="W175" s="18">
        <v>1</v>
      </c>
      <c r="X175" s="18" t="s">
        <v>342</v>
      </c>
      <c r="Y175" s="18">
        <f t="shared" si="19"/>
        <v>3</v>
      </c>
      <c r="Z175" s="17" t="s">
        <v>37</v>
      </c>
      <c r="AA175" s="17">
        <v>2</v>
      </c>
      <c r="AB175" s="17" t="s">
        <v>204</v>
      </c>
      <c r="AC175" s="17" t="s">
        <v>185</v>
      </c>
      <c r="AD175" s="17" t="s">
        <v>164</v>
      </c>
      <c r="AE175" s="17" t="s">
        <v>187</v>
      </c>
      <c r="AF175" s="1">
        <f t="shared" si="15"/>
        <v>0</v>
      </c>
      <c r="AG175" s="1">
        <f t="shared" si="16"/>
        <v>0</v>
      </c>
      <c r="AH175" s="1">
        <f t="shared" si="17"/>
        <v>1</v>
      </c>
    </row>
    <row r="176" spans="19:34">
      <c r="S176" s="17">
        <v>15</v>
      </c>
      <c r="T176" s="18"/>
      <c r="U176" s="17">
        <v>2</v>
      </c>
      <c r="V176" s="17" t="s">
        <v>43</v>
      </c>
      <c r="W176" s="18">
        <v>4</v>
      </c>
      <c r="X176" s="18" t="s">
        <v>342</v>
      </c>
      <c r="Y176" s="18">
        <f t="shared" si="19"/>
        <v>0</v>
      </c>
      <c r="Z176" s="17" t="s">
        <v>95</v>
      </c>
      <c r="AA176" s="17">
        <v>1</v>
      </c>
      <c r="AB176" s="17" t="s">
        <v>198</v>
      </c>
      <c r="AC176" s="17" t="s">
        <v>212</v>
      </c>
      <c r="AD176" s="17" t="s">
        <v>200</v>
      </c>
      <c r="AE176" s="17" t="s">
        <v>191</v>
      </c>
      <c r="AF176" s="1">
        <f t="shared" si="15"/>
        <v>1</v>
      </c>
      <c r="AG176" s="1">
        <f t="shared" si="16"/>
        <v>0</v>
      </c>
      <c r="AH176" s="1">
        <f t="shared" si="17"/>
        <v>0</v>
      </c>
    </row>
    <row r="177" spans="19:34">
      <c r="S177" s="58" t="s">
        <v>339</v>
      </c>
      <c r="T177" s="58" t="s">
        <v>340</v>
      </c>
      <c r="U177" s="58" t="s">
        <v>341</v>
      </c>
      <c r="V177" s="58" t="s">
        <v>1</v>
      </c>
      <c r="W177" s="69" t="s">
        <v>220</v>
      </c>
      <c r="X177" s="70"/>
      <c r="Y177" s="71"/>
      <c r="Z177" s="58" t="s">
        <v>1</v>
      </c>
      <c r="AA177" s="58" t="s">
        <v>341</v>
      </c>
      <c r="AB177" s="58" t="s">
        <v>225</v>
      </c>
      <c r="AC177" s="58" t="s">
        <v>228</v>
      </c>
      <c r="AD177" s="58" t="s">
        <v>230</v>
      </c>
      <c r="AE177" s="58" t="s">
        <v>232</v>
      </c>
      <c r="AF177" s="1">
        <f t="shared" si="15"/>
        <v>1</v>
      </c>
      <c r="AG177" s="1">
        <f t="shared" si="16"/>
        <v>0</v>
      </c>
      <c r="AH177" s="1">
        <f t="shared" si="17"/>
        <v>0</v>
      </c>
    </row>
    <row r="178" spans="19:34">
      <c r="S178" s="17">
        <v>1</v>
      </c>
      <c r="T178" s="18"/>
      <c r="U178" s="17">
        <v>1</v>
      </c>
      <c r="V178" s="17" t="s">
        <v>95</v>
      </c>
      <c r="W178" s="18">
        <v>0</v>
      </c>
      <c r="X178" s="18" t="s">
        <v>342</v>
      </c>
      <c r="Y178" s="18">
        <f t="shared" ref="Y178:Y192" si="20">IF(W178="","",4-W178)</f>
        <v>4</v>
      </c>
      <c r="Z178" s="17" t="s">
        <v>103</v>
      </c>
      <c r="AA178" s="17">
        <v>2</v>
      </c>
      <c r="AB178" s="17" t="s">
        <v>191</v>
      </c>
      <c r="AC178" s="17" t="s">
        <v>185</v>
      </c>
      <c r="AD178" s="17" t="s">
        <v>206</v>
      </c>
      <c r="AE178" s="17" t="s">
        <v>202</v>
      </c>
      <c r="AF178" s="1">
        <f t="shared" si="15"/>
        <v>0</v>
      </c>
      <c r="AG178" s="1">
        <f t="shared" si="16"/>
        <v>0</v>
      </c>
      <c r="AH178" s="1">
        <f t="shared" si="17"/>
        <v>1</v>
      </c>
    </row>
    <row r="179" spans="19:34">
      <c r="S179" s="17">
        <v>2</v>
      </c>
      <c r="T179" s="18"/>
      <c r="U179" s="17">
        <v>2</v>
      </c>
      <c r="V179" s="17" t="s">
        <v>95</v>
      </c>
      <c r="W179" s="18">
        <v>0</v>
      </c>
      <c r="X179" s="18" t="s">
        <v>342</v>
      </c>
      <c r="Y179" s="18">
        <f t="shared" si="20"/>
        <v>4</v>
      </c>
      <c r="Z179" s="17" t="s">
        <v>59</v>
      </c>
      <c r="AA179" s="17">
        <v>1</v>
      </c>
      <c r="AB179" s="17" t="s">
        <v>180</v>
      </c>
      <c r="AC179" s="17" t="s">
        <v>172</v>
      </c>
      <c r="AD179" s="17" t="s">
        <v>200</v>
      </c>
      <c r="AE179" s="17" t="s">
        <v>198</v>
      </c>
      <c r="AF179" s="1">
        <f t="shared" si="15"/>
        <v>0</v>
      </c>
      <c r="AG179" s="1">
        <f t="shared" si="16"/>
        <v>0</v>
      </c>
      <c r="AH179" s="1">
        <f t="shared" si="17"/>
        <v>1</v>
      </c>
    </row>
    <row r="180" spans="19:34">
      <c r="S180" s="17">
        <v>3</v>
      </c>
      <c r="T180" s="18"/>
      <c r="U180" s="17">
        <v>2</v>
      </c>
      <c r="V180" s="17" t="s">
        <v>95</v>
      </c>
      <c r="W180" s="18">
        <v>0</v>
      </c>
      <c r="X180" s="18" t="s">
        <v>342</v>
      </c>
      <c r="Y180" s="18">
        <f t="shared" si="20"/>
        <v>4</v>
      </c>
      <c r="Z180" s="17" t="s">
        <v>117</v>
      </c>
      <c r="AA180" s="17">
        <v>1</v>
      </c>
      <c r="AB180" s="17" t="s">
        <v>176</v>
      </c>
      <c r="AC180" s="17" t="s">
        <v>183</v>
      </c>
      <c r="AD180" s="17" t="s">
        <v>204</v>
      </c>
      <c r="AE180" s="17" t="s">
        <v>212</v>
      </c>
      <c r="AF180" s="1">
        <f t="shared" si="15"/>
        <v>0</v>
      </c>
      <c r="AG180" s="1">
        <f t="shared" si="16"/>
        <v>0</v>
      </c>
      <c r="AH180" s="1">
        <f t="shared" si="17"/>
        <v>1</v>
      </c>
    </row>
    <row r="181" spans="19:34">
      <c r="S181" s="17">
        <v>4</v>
      </c>
      <c r="T181" s="18"/>
      <c r="U181" s="17">
        <v>2</v>
      </c>
      <c r="V181" s="17" t="s">
        <v>95</v>
      </c>
      <c r="W181" s="18">
        <v>0</v>
      </c>
      <c r="X181" s="18" t="s">
        <v>342</v>
      </c>
      <c r="Y181" s="18">
        <f t="shared" si="20"/>
        <v>4</v>
      </c>
      <c r="Z181" s="17" t="s">
        <v>101</v>
      </c>
      <c r="AA181" s="17">
        <v>1</v>
      </c>
      <c r="AB181" s="17" t="s">
        <v>196</v>
      </c>
      <c r="AC181" s="17" t="s">
        <v>193</v>
      </c>
      <c r="AD181" s="17" t="s">
        <v>208</v>
      </c>
      <c r="AE181" s="17" t="s">
        <v>164</v>
      </c>
      <c r="AF181" s="1">
        <f t="shared" si="15"/>
        <v>0</v>
      </c>
      <c r="AG181" s="1">
        <f t="shared" si="16"/>
        <v>0</v>
      </c>
      <c r="AH181" s="1">
        <f t="shared" si="17"/>
        <v>1</v>
      </c>
    </row>
    <row r="182" spans="19:34">
      <c r="S182" s="17">
        <v>5</v>
      </c>
      <c r="T182" s="18"/>
      <c r="U182" s="17">
        <v>2</v>
      </c>
      <c r="V182" s="17" t="s">
        <v>95</v>
      </c>
      <c r="W182" s="18">
        <v>0</v>
      </c>
      <c r="X182" s="18" t="s">
        <v>342</v>
      </c>
      <c r="Y182" s="18">
        <f t="shared" si="20"/>
        <v>4</v>
      </c>
      <c r="Z182" s="17" t="s">
        <v>115</v>
      </c>
      <c r="AA182" s="17">
        <v>1</v>
      </c>
      <c r="AB182" s="17" t="s">
        <v>214</v>
      </c>
      <c r="AC182" s="17" t="s">
        <v>210</v>
      </c>
      <c r="AD182" s="17" t="s">
        <v>187</v>
      </c>
      <c r="AE182" s="17" t="s">
        <v>189</v>
      </c>
      <c r="AF182" s="1">
        <f t="shared" si="15"/>
        <v>0</v>
      </c>
      <c r="AG182" s="1">
        <f t="shared" si="16"/>
        <v>0</v>
      </c>
      <c r="AH182" s="1">
        <f t="shared" si="17"/>
        <v>1</v>
      </c>
    </row>
    <row r="183" spans="19:34">
      <c r="S183" s="17">
        <v>6</v>
      </c>
      <c r="T183" s="18"/>
      <c r="U183" s="17">
        <v>1</v>
      </c>
      <c r="V183" s="17" t="s">
        <v>95</v>
      </c>
      <c r="W183" s="18">
        <v>0</v>
      </c>
      <c r="X183" s="18" t="s">
        <v>342</v>
      </c>
      <c r="Y183" s="18">
        <f t="shared" si="20"/>
        <v>4</v>
      </c>
      <c r="Z183" s="17" t="s">
        <v>121</v>
      </c>
      <c r="AA183" s="17">
        <v>2</v>
      </c>
      <c r="AB183" s="17" t="s">
        <v>204</v>
      </c>
      <c r="AC183" s="17" t="s">
        <v>210</v>
      </c>
      <c r="AD183" s="17" t="s">
        <v>180</v>
      </c>
      <c r="AE183" s="17" t="s">
        <v>189</v>
      </c>
      <c r="AF183" s="1">
        <f t="shared" si="15"/>
        <v>0</v>
      </c>
      <c r="AG183" s="1">
        <f t="shared" si="16"/>
        <v>0</v>
      </c>
      <c r="AH183" s="1">
        <f t="shared" si="17"/>
        <v>1</v>
      </c>
    </row>
    <row r="184" spans="19:34">
      <c r="S184" s="17">
        <v>7</v>
      </c>
      <c r="T184" s="18"/>
      <c r="U184" s="17">
        <v>1</v>
      </c>
      <c r="V184" s="17" t="s">
        <v>95</v>
      </c>
      <c r="W184" s="18">
        <v>0</v>
      </c>
      <c r="X184" s="18" t="s">
        <v>342</v>
      </c>
      <c r="Y184" s="18">
        <f t="shared" si="20"/>
        <v>4</v>
      </c>
      <c r="Z184" s="17" t="s">
        <v>71</v>
      </c>
      <c r="AA184" s="17">
        <v>2</v>
      </c>
      <c r="AB184" s="17" t="s">
        <v>187</v>
      </c>
      <c r="AC184" s="17" t="s">
        <v>206</v>
      </c>
      <c r="AD184" s="17" t="s">
        <v>183</v>
      </c>
      <c r="AE184" s="17" t="s">
        <v>196</v>
      </c>
      <c r="AF184" s="1">
        <f t="shared" si="15"/>
        <v>0</v>
      </c>
      <c r="AG184" s="1">
        <f t="shared" si="16"/>
        <v>0</v>
      </c>
      <c r="AH184" s="1">
        <f t="shared" si="17"/>
        <v>1</v>
      </c>
    </row>
    <row r="185" spans="19:34">
      <c r="S185" s="17">
        <v>8</v>
      </c>
      <c r="T185" s="18"/>
      <c r="U185" s="17">
        <v>1</v>
      </c>
      <c r="V185" s="17" t="s">
        <v>95</v>
      </c>
      <c r="W185" s="18">
        <v>0</v>
      </c>
      <c r="X185" s="18" t="s">
        <v>342</v>
      </c>
      <c r="Y185" s="18">
        <f t="shared" si="20"/>
        <v>4</v>
      </c>
      <c r="Z185" s="17" t="s">
        <v>67</v>
      </c>
      <c r="AA185" s="17">
        <v>2</v>
      </c>
      <c r="AB185" s="17" t="s">
        <v>200</v>
      </c>
      <c r="AC185" s="17" t="s">
        <v>198</v>
      </c>
      <c r="AD185" s="17" t="s">
        <v>212</v>
      </c>
      <c r="AE185" s="17" t="s">
        <v>185</v>
      </c>
      <c r="AF185" s="1">
        <f t="shared" si="15"/>
        <v>0</v>
      </c>
      <c r="AG185" s="1">
        <f t="shared" si="16"/>
        <v>0</v>
      </c>
      <c r="AH185" s="1">
        <f t="shared" si="17"/>
        <v>1</v>
      </c>
    </row>
    <row r="186" spans="19:34">
      <c r="S186" s="17">
        <v>9</v>
      </c>
      <c r="T186" s="18"/>
      <c r="U186" s="17">
        <v>2</v>
      </c>
      <c r="V186" s="17" t="s">
        <v>95</v>
      </c>
      <c r="W186" s="18">
        <v>3</v>
      </c>
      <c r="X186" s="18" t="s">
        <v>342</v>
      </c>
      <c r="Y186" s="18">
        <f t="shared" si="20"/>
        <v>1</v>
      </c>
      <c r="Z186" s="17" t="s">
        <v>109</v>
      </c>
      <c r="AA186" s="17">
        <v>1</v>
      </c>
      <c r="AB186" s="17" t="s">
        <v>202</v>
      </c>
      <c r="AC186" s="17" t="s">
        <v>164</v>
      </c>
      <c r="AD186" s="17" t="s">
        <v>191</v>
      </c>
      <c r="AE186" s="17" t="s">
        <v>176</v>
      </c>
      <c r="AF186" s="1">
        <f t="shared" si="15"/>
        <v>1</v>
      </c>
      <c r="AG186" s="1">
        <f t="shared" si="16"/>
        <v>0</v>
      </c>
      <c r="AH186" s="1">
        <f t="shared" si="17"/>
        <v>0</v>
      </c>
    </row>
    <row r="187" spans="19:34">
      <c r="S187" s="17">
        <v>10</v>
      </c>
      <c r="T187" s="18"/>
      <c r="U187" s="17">
        <v>2</v>
      </c>
      <c r="V187" s="17" t="s">
        <v>95</v>
      </c>
      <c r="W187" s="18">
        <v>2</v>
      </c>
      <c r="X187" s="18" t="s">
        <v>342</v>
      </c>
      <c r="Y187" s="18">
        <f t="shared" si="20"/>
        <v>2</v>
      </c>
      <c r="Z187" s="17" t="s">
        <v>33</v>
      </c>
      <c r="AA187" s="17">
        <v>1</v>
      </c>
      <c r="AB187" s="17" t="s">
        <v>172</v>
      </c>
      <c r="AC187" s="17" t="s">
        <v>208</v>
      </c>
      <c r="AD187" s="17" t="s">
        <v>214</v>
      </c>
      <c r="AE187" s="17" t="s">
        <v>193</v>
      </c>
      <c r="AF187" s="1">
        <f t="shared" si="15"/>
        <v>0</v>
      </c>
      <c r="AG187" s="1">
        <f t="shared" si="16"/>
        <v>1</v>
      </c>
      <c r="AH187" s="1">
        <f t="shared" si="17"/>
        <v>0</v>
      </c>
    </row>
    <row r="188" spans="19:34">
      <c r="S188" s="17">
        <v>11</v>
      </c>
      <c r="T188" s="18"/>
      <c r="U188" s="17">
        <v>1</v>
      </c>
      <c r="V188" s="17" t="s">
        <v>95</v>
      </c>
      <c r="W188" s="18">
        <v>3</v>
      </c>
      <c r="X188" s="18" t="s">
        <v>342</v>
      </c>
      <c r="Y188" s="18">
        <f t="shared" si="20"/>
        <v>1</v>
      </c>
      <c r="Z188" s="17" t="s">
        <v>85</v>
      </c>
      <c r="AA188" s="17">
        <v>2</v>
      </c>
      <c r="AB188" s="17" t="s">
        <v>193</v>
      </c>
      <c r="AC188" s="17" t="s">
        <v>206</v>
      </c>
      <c r="AD188" s="17" t="s">
        <v>172</v>
      </c>
      <c r="AE188" s="17" t="s">
        <v>210</v>
      </c>
      <c r="AF188" s="1">
        <f t="shared" si="15"/>
        <v>1</v>
      </c>
      <c r="AG188" s="1">
        <f t="shared" si="16"/>
        <v>0</v>
      </c>
      <c r="AH188" s="1">
        <f t="shared" si="17"/>
        <v>0</v>
      </c>
    </row>
    <row r="189" spans="19:34">
      <c r="S189" s="17">
        <v>12</v>
      </c>
      <c r="T189" s="18"/>
      <c r="U189" s="17">
        <v>1</v>
      </c>
      <c r="V189" s="17" t="s">
        <v>95</v>
      </c>
      <c r="W189" s="18">
        <v>4</v>
      </c>
      <c r="X189" s="18" t="s">
        <v>342</v>
      </c>
      <c r="Y189" s="18">
        <f t="shared" si="20"/>
        <v>0</v>
      </c>
      <c r="Z189" s="17" t="s">
        <v>343</v>
      </c>
      <c r="AA189" s="17">
        <v>2</v>
      </c>
      <c r="AB189" s="17" t="s">
        <v>214</v>
      </c>
      <c r="AC189" s="17" t="s">
        <v>180</v>
      </c>
      <c r="AD189" s="17" t="s">
        <v>176</v>
      </c>
      <c r="AE189" s="17" t="s">
        <v>202</v>
      </c>
      <c r="AF189" s="1">
        <f t="shared" si="15"/>
        <v>1</v>
      </c>
      <c r="AG189" s="1">
        <f t="shared" si="16"/>
        <v>0</v>
      </c>
      <c r="AH189" s="1">
        <f t="shared" si="17"/>
        <v>0</v>
      </c>
    </row>
    <row r="190" spans="19:34">
      <c r="S190" s="17">
        <v>13</v>
      </c>
      <c r="T190" s="18"/>
      <c r="U190" s="17">
        <v>1</v>
      </c>
      <c r="V190" s="17" t="s">
        <v>95</v>
      </c>
      <c r="W190" s="18">
        <v>1</v>
      </c>
      <c r="X190" s="18" t="s">
        <v>342</v>
      </c>
      <c r="Y190" s="18">
        <f t="shared" si="20"/>
        <v>3</v>
      </c>
      <c r="Z190" s="17" t="s">
        <v>37</v>
      </c>
      <c r="AA190" s="17">
        <v>2</v>
      </c>
      <c r="AB190" s="17" t="s">
        <v>183</v>
      </c>
      <c r="AC190" s="17" t="s">
        <v>208</v>
      </c>
      <c r="AD190" s="17" t="s">
        <v>189</v>
      </c>
      <c r="AE190" s="17" t="s">
        <v>196</v>
      </c>
      <c r="AF190" s="1">
        <f t="shared" si="15"/>
        <v>0</v>
      </c>
      <c r="AG190" s="1">
        <f t="shared" si="16"/>
        <v>0</v>
      </c>
      <c r="AH190" s="1">
        <f t="shared" si="17"/>
        <v>1</v>
      </c>
    </row>
    <row r="191" spans="19:34">
      <c r="S191" s="17">
        <v>14</v>
      </c>
      <c r="T191" s="18"/>
      <c r="U191" s="17">
        <v>2</v>
      </c>
      <c r="V191" s="17" t="s">
        <v>95</v>
      </c>
      <c r="W191" s="18">
        <v>1</v>
      </c>
      <c r="X191" s="18" t="s">
        <v>342</v>
      </c>
      <c r="Y191" s="18">
        <f t="shared" si="20"/>
        <v>3</v>
      </c>
      <c r="Z191" s="17" t="s">
        <v>45</v>
      </c>
      <c r="AA191" s="17">
        <v>1</v>
      </c>
      <c r="AB191" s="17" t="s">
        <v>204</v>
      </c>
      <c r="AC191" s="17" t="s">
        <v>185</v>
      </c>
      <c r="AD191" s="17" t="s">
        <v>164</v>
      </c>
      <c r="AE191" s="17" t="s">
        <v>187</v>
      </c>
      <c r="AF191" s="1">
        <f t="shared" si="15"/>
        <v>0</v>
      </c>
      <c r="AG191" s="1">
        <f t="shared" si="16"/>
        <v>0</v>
      </c>
      <c r="AH191" s="1">
        <f t="shared" si="17"/>
        <v>1</v>
      </c>
    </row>
    <row r="192" spans="19:34">
      <c r="S192" s="17">
        <v>15</v>
      </c>
      <c r="T192" s="18"/>
      <c r="U192" s="17">
        <v>1</v>
      </c>
      <c r="V192" s="17" t="s">
        <v>95</v>
      </c>
      <c r="W192" s="18">
        <v>0</v>
      </c>
      <c r="X192" s="18" t="s">
        <v>342</v>
      </c>
      <c r="Y192" s="18">
        <f t="shared" si="20"/>
        <v>4</v>
      </c>
      <c r="Z192" s="17" t="s">
        <v>43</v>
      </c>
      <c r="AA192" s="17">
        <v>2</v>
      </c>
      <c r="AB192" s="17" t="s">
        <v>198</v>
      </c>
      <c r="AC192" s="17" t="s">
        <v>212</v>
      </c>
      <c r="AD192" s="17" t="s">
        <v>200</v>
      </c>
      <c r="AE192" s="17" t="s">
        <v>191</v>
      </c>
      <c r="AF192" s="1">
        <f t="shared" si="15"/>
        <v>0</v>
      </c>
      <c r="AG192" s="1">
        <f t="shared" si="16"/>
        <v>0</v>
      </c>
      <c r="AH192" s="1">
        <f t="shared" si="17"/>
        <v>1</v>
      </c>
    </row>
    <row r="193" spans="19:34">
      <c r="S193" s="58" t="s">
        <v>339</v>
      </c>
      <c r="T193" s="58" t="s">
        <v>340</v>
      </c>
      <c r="U193" s="58" t="s">
        <v>341</v>
      </c>
      <c r="V193" s="58" t="s">
        <v>1</v>
      </c>
      <c r="W193" s="69" t="s">
        <v>220</v>
      </c>
      <c r="X193" s="70"/>
      <c r="Y193" s="71"/>
      <c r="Z193" s="58" t="s">
        <v>1</v>
      </c>
      <c r="AA193" s="58" t="s">
        <v>341</v>
      </c>
      <c r="AB193" s="58" t="s">
        <v>225</v>
      </c>
      <c r="AC193" s="58" t="s">
        <v>228</v>
      </c>
      <c r="AD193" s="58" t="s">
        <v>230</v>
      </c>
      <c r="AE193" s="58" t="s">
        <v>232</v>
      </c>
      <c r="AF193" s="1">
        <f t="shared" si="15"/>
        <v>1</v>
      </c>
      <c r="AG193" s="1">
        <f t="shared" si="16"/>
        <v>0</v>
      </c>
      <c r="AH193" s="1">
        <f t="shared" si="17"/>
        <v>0</v>
      </c>
    </row>
    <row r="194" spans="19:34">
      <c r="S194" s="17">
        <v>1</v>
      </c>
      <c r="T194" s="18"/>
      <c r="U194" s="17">
        <v>2</v>
      </c>
      <c r="V194" s="17" t="s">
        <v>109</v>
      </c>
      <c r="W194" s="18">
        <v>0</v>
      </c>
      <c r="X194" s="18" t="s">
        <v>342</v>
      </c>
      <c r="Y194" s="18">
        <f t="shared" ref="Y194:Y208" si="21">IF(W194="","",4-W194)</f>
        <v>4</v>
      </c>
      <c r="Z194" s="17" t="s">
        <v>67</v>
      </c>
      <c r="AA194" s="17">
        <v>1</v>
      </c>
      <c r="AB194" s="17" t="s">
        <v>191</v>
      </c>
      <c r="AC194" s="17" t="s">
        <v>185</v>
      </c>
      <c r="AD194" s="17" t="s">
        <v>206</v>
      </c>
      <c r="AE194" s="17" t="s">
        <v>202</v>
      </c>
      <c r="AF194" s="1">
        <f t="shared" si="15"/>
        <v>0</v>
      </c>
      <c r="AG194" s="1">
        <f t="shared" si="16"/>
        <v>0</v>
      </c>
      <c r="AH194" s="1">
        <f t="shared" si="17"/>
        <v>1</v>
      </c>
    </row>
    <row r="195" spans="19:34">
      <c r="S195" s="17">
        <v>2</v>
      </c>
      <c r="T195" s="18"/>
      <c r="U195" s="17">
        <v>2</v>
      </c>
      <c r="V195" s="17" t="s">
        <v>109</v>
      </c>
      <c r="W195" s="18">
        <v>0</v>
      </c>
      <c r="X195" s="18" t="s">
        <v>342</v>
      </c>
      <c r="Y195" s="18">
        <f t="shared" si="21"/>
        <v>4</v>
      </c>
      <c r="Z195" s="17" t="s">
        <v>71</v>
      </c>
      <c r="AA195" s="17">
        <v>1</v>
      </c>
      <c r="AB195" s="17" t="s">
        <v>180</v>
      </c>
      <c r="AC195" s="17" t="s">
        <v>172</v>
      </c>
      <c r="AD195" s="17" t="s">
        <v>200</v>
      </c>
      <c r="AE195" s="17" t="s">
        <v>198</v>
      </c>
      <c r="AF195" s="1">
        <f t="shared" ref="AF195:AF256" si="22">IF(W195="",0,IF(W195&gt;Y195,1,0))</f>
        <v>0</v>
      </c>
      <c r="AG195" s="1">
        <f t="shared" ref="AG195:AG256" si="23">IF(W195="",0,IF(W195=Y195,1,0))</f>
        <v>0</v>
      </c>
      <c r="AH195" s="1">
        <f t="shared" ref="AH195:AH256" si="24">IF(W195="",0,IF(W195&lt;Y195,1,0))</f>
        <v>1</v>
      </c>
    </row>
    <row r="196" spans="19:34">
      <c r="S196" s="17">
        <v>3</v>
      </c>
      <c r="T196" s="18"/>
      <c r="U196" s="17">
        <v>1</v>
      </c>
      <c r="V196" s="17" t="s">
        <v>109</v>
      </c>
      <c r="W196" s="18">
        <v>0</v>
      </c>
      <c r="X196" s="18" t="s">
        <v>342</v>
      </c>
      <c r="Y196" s="18">
        <f t="shared" si="21"/>
        <v>4</v>
      </c>
      <c r="Z196" s="17" t="s">
        <v>121</v>
      </c>
      <c r="AA196" s="17">
        <v>2</v>
      </c>
      <c r="AB196" s="17" t="s">
        <v>176</v>
      </c>
      <c r="AC196" s="17" t="s">
        <v>183</v>
      </c>
      <c r="AD196" s="17" t="s">
        <v>204</v>
      </c>
      <c r="AE196" s="17" t="s">
        <v>212</v>
      </c>
      <c r="AF196" s="1">
        <f t="shared" si="22"/>
        <v>0</v>
      </c>
      <c r="AG196" s="1">
        <f t="shared" si="23"/>
        <v>0</v>
      </c>
      <c r="AH196" s="1">
        <f t="shared" si="24"/>
        <v>1</v>
      </c>
    </row>
    <row r="197" spans="19:34">
      <c r="S197" s="17">
        <v>4</v>
      </c>
      <c r="T197" s="18"/>
      <c r="U197" s="17">
        <v>2</v>
      </c>
      <c r="V197" s="17" t="s">
        <v>109</v>
      </c>
      <c r="W197" s="18">
        <v>0</v>
      </c>
      <c r="X197" s="18" t="s">
        <v>342</v>
      </c>
      <c r="Y197" s="18">
        <f t="shared" si="21"/>
        <v>4</v>
      </c>
      <c r="Z197" s="17" t="s">
        <v>115</v>
      </c>
      <c r="AA197" s="17">
        <v>1</v>
      </c>
      <c r="AB197" s="17" t="s">
        <v>196</v>
      </c>
      <c r="AC197" s="17" t="s">
        <v>193</v>
      </c>
      <c r="AD197" s="17" t="s">
        <v>208</v>
      </c>
      <c r="AE197" s="17" t="s">
        <v>164</v>
      </c>
      <c r="AF197" s="1">
        <f t="shared" si="22"/>
        <v>0</v>
      </c>
      <c r="AG197" s="1">
        <f t="shared" si="23"/>
        <v>0</v>
      </c>
      <c r="AH197" s="1">
        <f t="shared" si="24"/>
        <v>1</v>
      </c>
    </row>
    <row r="198" spans="19:34">
      <c r="S198" s="17">
        <v>5</v>
      </c>
      <c r="T198" s="18"/>
      <c r="U198" s="17">
        <v>1</v>
      </c>
      <c r="V198" s="17" t="s">
        <v>109</v>
      </c>
      <c r="W198" s="18">
        <v>0</v>
      </c>
      <c r="X198" s="18" t="s">
        <v>342</v>
      </c>
      <c r="Y198" s="18">
        <f t="shared" si="21"/>
        <v>4</v>
      </c>
      <c r="Z198" s="17" t="s">
        <v>101</v>
      </c>
      <c r="AA198" s="17">
        <v>2</v>
      </c>
      <c r="AB198" s="17" t="s">
        <v>214</v>
      </c>
      <c r="AC198" s="17" t="s">
        <v>210</v>
      </c>
      <c r="AD198" s="17" t="s">
        <v>187</v>
      </c>
      <c r="AE198" s="17" t="s">
        <v>189</v>
      </c>
      <c r="AF198" s="1">
        <f t="shared" si="22"/>
        <v>0</v>
      </c>
      <c r="AG198" s="1">
        <f t="shared" si="23"/>
        <v>0</v>
      </c>
      <c r="AH198" s="1">
        <f t="shared" si="24"/>
        <v>1</v>
      </c>
    </row>
    <row r="199" spans="19:34">
      <c r="S199" s="17">
        <v>6</v>
      </c>
      <c r="T199" s="18"/>
      <c r="U199" s="17">
        <v>1</v>
      </c>
      <c r="V199" s="17" t="s">
        <v>109</v>
      </c>
      <c r="W199" s="18">
        <v>0</v>
      </c>
      <c r="X199" s="18" t="s">
        <v>342</v>
      </c>
      <c r="Y199" s="18">
        <f t="shared" si="21"/>
        <v>4</v>
      </c>
      <c r="Z199" s="17" t="s">
        <v>117</v>
      </c>
      <c r="AA199" s="17">
        <v>2</v>
      </c>
      <c r="AB199" s="17" t="s">
        <v>204</v>
      </c>
      <c r="AC199" s="17" t="s">
        <v>210</v>
      </c>
      <c r="AD199" s="17" t="s">
        <v>180</v>
      </c>
      <c r="AE199" s="17" t="s">
        <v>189</v>
      </c>
      <c r="AF199" s="1">
        <f t="shared" si="22"/>
        <v>0</v>
      </c>
      <c r="AG199" s="1">
        <f t="shared" si="23"/>
        <v>0</v>
      </c>
      <c r="AH199" s="1">
        <f t="shared" si="24"/>
        <v>1</v>
      </c>
    </row>
    <row r="200" spans="19:34">
      <c r="S200" s="17">
        <v>7</v>
      </c>
      <c r="T200" s="18"/>
      <c r="U200" s="17">
        <v>1</v>
      </c>
      <c r="V200" s="17" t="s">
        <v>109</v>
      </c>
      <c r="W200" s="18">
        <v>0</v>
      </c>
      <c r="X200" s="18" t="s">
        <v>342</v>
      </c>
      <c r="Y200" s="18">
        <f t="shared" si="21"/>
        <v>4</v>
      </c>
      <c r="Z200" s="17" t="s">
        <v>59</v>
      </c>
      <c r="AA200" s="17">
        <v>2</v>
      </c>
      <c r="AB200" s="17" t="s">
        <v>187</v>
      </c>
      <c r="AC200" s="17" t="s">
        <v>206</v>
      </c>
      <c r="AD200" s="17" t="s">
        <v>183</v>
      </c>
      <c r="AE200" s="17" t="s">
        <v>196</v>
      </c>
      <c r="AF200" s="1">
        <f t="shared" si="22"/>
        <v>0</v>
      </c>
      <c r="AG200" s="1">
        <f t="shared" si="23"/>
        <v>0</v>
      </c>
      <c r="AH200" s="1">
        <f t="shared" si="24"/>
        <v>1</v>
      </c>
    </row>
    <row r="201" spans="19:34">
      <c r="S201" s="17">
        <v>8</v>
      </c>
      <c r="T201" s="18"/>
      <c r="U201" s="17">
        <v>1</v>
      </c>
      <c r="V201" s="17" t="s">
        <v>109</v>
      </c>
      <c r="W201" s="18">
        <v>0</v>
      </c>
      <c r="X201" s="18" t="s">
        <v>342</v>
      </c>
      <c r="Y201" s="18">
        <f t="shared" si="21"/>
        <v>4</v>
      </c>
      <c r="Z201" s="17" t="s">
        <v>103</v>
      </c>
      <c r="AA201" s="17">
        <v>2</v>
      </c>
      <c r="AB201" s="17" t="s">
        <v>200</v>
      </c>
      <c r="AC201" s="17" t="s">
        <v>198</v>
      </c>
      <c r="AD201" s="17" t="s">
        <v>212</v>
      </c>
      <c r="AE201" s="17" t="s">
        <v>185</v>
      </c>
      <c r="AF201" s="1">
        <f t="shared" si="22"/>
        <v>0</v>
      </c>
      <c r="AG201" s="1">
        <f t="shared" si="23"/>
        <v>0</v>
      </c>
      <c r="AH201" s="1">
        <f t="shared" si="24"/>
        <v>1</v>
      </c>
    </row>
    <row r="202" spans="19:34">
      <c r="S202" s="17">
        <v>9</v>
      </c>
      <c r="T202" s="18"/>
      <c r="U202" s="17">
        <v>1</v>
      </c>
      <c r="V202" s="17" t="s">
        <v>109</v>
      </c>
      <c r="W202" s="18">
        <v>1</v>
      </c>
      <c r="X202" s="18" t="s">
        <v>342</v>
      </c>
      <c r="Y202" s="18">
        <f t="shared" si="21"/>
        <v>3</v>
      </c>
      <c r="Z202" s="17" t="s">
        <v>95</v>
      </c>
      <c r="AA202" s="17">
        <v>2</v>
      </c>
      <c r="AB202" s="17" t="s">
        <v>202</v>
      </c>
      <c r="AC202" s="17" t="s">
        <v>164</v>
      </c>
      <c r="AD202" s="17" t="s">
        <v>191</v>
      </c>
      <c r="AE202" s="17" t="s">
        <v>176</v>
      </c>
      <c r="AF202" s="1">
        <f t="shared" si="22"/>
        <v>0</v>
      </c>
      <c r="AG202" s="1">
        <f t="shared" si="23"/>
        <v>0</v>
      </c>
      <c r="AH202" s="1">
        <f t="shared" si="24"/>
        <v>1</v>
      </c>
    </row>
    <row r="203" spans="19:34">
      <c r="S203" s="17">
        <v>10</v>
      </c>
      <c r="T203" s="18"/>
      <c r="U203" s="17">
        <v>2</v>
      </c>
      <c r="V203" s="17" t="s">
        <v>109</v>
      </c>
      <c r="W203" s="18">
        <v>0</v>
      </c>
      <c r="X203" s="18" t="s">
        <v>342</v>
      </c>
      <c r="Y203" s="18">
        <f t="shared" si="21"/>
        <v>4</v>
      </c>
      <c r="Z203" s="17" t="s">
        <v>43</v>
      </c>
      <c r="AA203" s="17">
        <v>1</v>
      </c>
      <c r="AB203" s="17" t="s">
        <v>172</v>
      </c>
      <c r="AC203" s="17" t="s">
        <v>208</v>
      </c>
      <c r="AD203" s="17" t="s">
        <v>214</v>
      </c>
      <c r="AE203" s="17" t="s">
        <v>193</v>
      </c>
      <c r="AF203" s="1">
        <f t="shared" si="22"/>
        <v>0</v>
      </c>
      <c r="AG203" s="1">
        <f t="shared" si="23"/>
        <v>0</v>
      </c>
      <c r="AH203" s="1">
        <f t="shared" si="24"/>
        <v>1</v>
      </c>
    </row>
    <row r="204" spans="19:34">
      <c r="S204" s="17">
        <v>11</v>
      </c>
      <c r="T204" s="18"/>
      <c r="U204" s="17">
        <v>1</v>
      </c>
      <c r="V204" s="17" t="s">
        <v>109</v>
      </c>
      <c r="W204" s="18">
        <v>0</v>
      </c>
      <c r="X204" s="18" t="s">
        <v>342</v>
      </c>
      <c r="Y204" s="18">
        <f t="shared" si="21"/>
        <v>4</v>
      </c>
      <c r="Z204" s="17" t="s">
        <v>45</v>
      </c>
      <c r="AA204" s="17">
        <v>2</v>
      </c>
      <c r="AB204" s="17" t="s">
        <v>193</v>
      </c>
      <c r="AC204" s="17" t="s">
        <v>206</v>
      </c>
      <c r="AD204" s="17" t="s">
        <v>172</v>
      </c>
      <c r="AE204" s="17" t="s">
        <v>210</v>
      </c>
      <c r="AF204" s="1">
        <f t="shared" si="22"/>
        <v>0</v>
      </c>
      <c r="AG204" s="1">
        <f t="shared" si="23"/>
        <v>0</v>
      </c>
      <c r="AH204" s="1">
        <f t="shared" si="24"/>
        <v>1</v>
      </c>
    </row>
    <row r="205" spans="19:34">
      <c r="S205" s="17">
        <v>12</v>
      </c>
      <c r="T205" s="18"/>
      <c r="U205" s="17">
        <v>1</v>
      </c>
      <c r="V205" s="17" t="s">
        <v>109</v>
      </c>
      <c r="W205" s="18">
        <v>0</v>
      </c>
      <c r="X205" s="18" t="s">
        <v>342</v>
      </c>
      <c r="Y205" s="18">
        <f t="shared" si="21"/>
        <v>4</v>
      </c>
      <c r="Z205" s="17" t="s">
        <v>37</v>
      </c>
      <c r="AA205" s="17">
        <v>2</v>
      </c>
      <c r="AB205" s="17" t="s">
        <v>214</v>
      </c>
      <c r="AC205" s="17" t="s">
        <v>180</v>
      </c>
      <c r="AD205" s="17" t="s">
        <v>176</v>
      </c>
      <c r="AE205" s="17" t="s">
        <v>202</v>
      </c>
      <c r="AF205" s="1">
        <f t="shared" si="22"/>
        <v>0</v>
      </c>
      <c r="AG205" s="1">
        <f t="shared" si="23"/>
        <v>0</v>
      </c>
      <c r="AH205" s="1">
        <f t="shared" si="24"/>
        <v>1</v>
      </c>
    </row>
    <row r="206" spans="19:34">
      <c r="S206" s="17">
        <v>13</v>
      </c>
      <c r="T206" s="18"/>
      <c r="U206" s="17">
        <v>2</v>
      </c>
      <c r="V206" s="17" t="s">
        <v>109</v>
      </c>
      <c r="W206" s="18">
        <v>4</v>
      </c>
      <c r="X206" s="18" t="s">
        <v>342</v>
      </c>
      <c r="Y206" s="18">
        <f t="shared" si="21"/>
        <v>0</v>
      </c>
      <c r="Z206" s="17" t="s">
        <v>343</v>
      </c>
      <c r="AA206" s="17">
        <v>1</v>
      </c>
      <c r="AB206" s="17" t="s">
        <v>183</v>
      </c>
      <c r="AC206" s="17" t="s">
        <v>208</v>
      </c>
      <c r="AD206" s="17" t="s">
        <v>189</v>
      </c>
      <c r="AE206" s="17" t="s">
        <v>196</v>
      </c>
      <c r="AF206" s="1">
        <f t="shared" si="22"/>
        <v>1</v>
      </c>
      <c r="AG206" s="1">
        <f t="shared" si="23"/>
        <v>0</v>
      </c>
      <c r="AH206" s="1">
        <f t="shared" si="24"/>
        <v>0</v>
      </c>
    </row>
    <row r="207" spans="19:34">
      <c r="S207" s="17">
        <v>14</v>
      </c>
      <c r="T207" s="18"/>
      <c r="U207" s="17">
        <v>1</v>
      </c>
      <c r="V207" s="17" t="s">
        <v>109</v>
      </c>
      <c r="W207" s="18">
        <v>0</v>
      </c>
      <c r="X207" s="18" t="s">
        <v>342</v>
      </c>
      <c r="Y207" s="18">
        <f t="shared" si="21"/>
        <v>4</v>
      </c>
      <c r="Z207" s="17" t="s">
        <v>85</v>
      </c>
      <c r="AA207" s="17">
        <v>2</v>
      </c>
      <c r="AB207" s="17" t="s">
        <v>204</v>
      </c>
      <c r="AC207" s="17" t="s">
        <v>185</v>
      </c>
      <c r="AD207" s="17" t="s">
        <v>164</v>
      </c>
      <c r="AE207" s="17" t="s">
        <v>187</v>
      </c>
      <c r="AF207" s="1">
        <f t="shared" si="22"/>
        <v>0</v>
      </c>
      <c r="AG207" s="1">
        <f t="shared" si="23"/>
        <v>0</v>
      </c>
      <c r="AH207" s="1">
        <f t="shared" si="24"/>
        <v>1</v>
      </c>
    </row>
    <row r="208" spans="19:34">
      <c r="S208" s="17">
        <v>15</v>
      </c>
      <c r="T208" s="18"/>
      <c r="U208" s="17">
        <v>1</v>
      </c>
      <c r="V208" s="17" t="s">
        <v>109</v>
      </c>
      <c r="W208" s="18">
        <v>0</v>
      </c>
      <c r="X208" s="18" t="s">
        <v>342</v>
      </c>
      <c r="Y208" s="18">
        <f t="shared" si="21"/>
        <v>4</v>
      </c>
      <c r="Z208" s="17" t="s">
        <v>33</v>
      </c>
      <c r="AA208" s="17">
        <v>2</v>
      </c>
      <c r="AB208" s="17" t="s">
        <v>198</v>
      </c>
      <c r="AC208" s="17" t="s">
        <v>212</v>
      </c>
      <c r="AD208" s="17" t="s">
        <v>200</v>
      </c>
      <c r="AE208" s="17" t="s">
        <v>191</v>
      </c>
      <c r="AF208" s="1">
        <f t="shared" si="22"/>
        <v>0</v>
      </c>
      <c r="AG208" s="1">
        <f t="shared" si="23"/>
        <v>0</v>
      </c>
      <c r="AH208" s="1">
        <f t="shared" si="24"/>
        <v>1</v>
      </c>
    </row>
    <row r="209" spans="19:34">
      <c r="S209" s="58" t="s">
        <v>339</v>
      </c>
      <c r="T209" s="58" t="s">
        <v>340</v>
      </c>
      <c r="U209" s="58" t="s">
        <v>341</v>
      </c>
      <c r="V209" s="58" t="s">
        <v>1</v>
      </c>
      <c r="W209" s="69" t="s">
        <v>220</v>
      </c>
      <c r="X209" s="70"/>
      <c r="Y209" s="71"/>
      <c r="Z209" s="58" t="s">
        <v>1</v>
      </c>
      <c r="AA209" s="58" t="s">
        <v>341</v>
      </c>
      <c r="AB209" s="58" t="s">
        <v>225</v>
      </c>
      <c r="AC209" s="58" t="s">
        <v>228</v>
      </c>
      <c r="AD209" s="58" t="s">
        <v>230</v>
      </c>
      <c r="AE209" s="58" t="s">
        <v>232</v>
      </c>
      <c r="AF209" s="1">
        <f t="shared" si="22"/>
        <v>1</v>
      </c>
      <c r="AG209" s="1">
        <f t="shared" si="23"/>
        <v>0</v>
      </c>
      <c r="AH209" s="1">
        <f t="shared" si="24"/>
        <v>0</v>
      </c>
    </row>
    <row r="210" spans="19:34">
      <c r="S210" s="17">
        <v>1</v>
      </c>
      <c r="T210" s="18"/>
      <c r="U210" s="17">
        <v>1</v>
      </c>
      <c r="V210" s="17" t="s">
        <v>33</v>
      </c>
      <c r="W210" s="18">
        <v>0</v>
      </c>
      <c r="X210" s="18" t="s">
        <v>342</v>
      </c>
      <c r="Y210" s="18">
        <f t="shared" ref="Y210:Y224" si="25">IF(W210="","",4-W210)</f>
        <v>4</v>
      </c>
      <c r="Z210" s="17" t="s">
        <v>71</v>
      </c>
      <c r="AA210" s="17">
        <v>2</v>
      </c>
      <c r="AB210" s="17" t="s">
        <v>191</v>
      </c>
      <c r="AC210" s="17" t="s">
        <v>185</v>
      </c>
      <c r="AD210" s="17" t="s">
        <v>206</v>
      </c>
      <c r="AE210" s="17" t="s">
        <v>202</v>
      </c>
      <c r="AF210" s="1">
        <f t="shared" si="22"/>
        <v>0</v>
      </c>
      <c r="AG210" s="1">
        <f t="shared" si="23"/>
        <v>0</v>
      </c>
      <c r="AH210" s="1">
        <f t="shared" si="24"/>
        <v>1</v>
      </c>
    </row>
    <row r="211" spans="19:34">
      <c r="S211" s="17">
        <v>2</v>
      </c>
      <c r="T211" s="18"/>
      <c r="U211" s="17">
        <v>1</v>
      </c>
      <c r="V211" s="17" t="s">
        <v>33</v>
      </c>
      <c r="W211" s="18">
        <v>0</v>
      </c>
      <c r="X211" s="18" t="s">
        <v>342</v>
      </c>
      <c r="Y211" s="18">
        <f t="shared" si="25"/>
        <v>4</v>
      </c>
      <c r="Z211" s="17" t="s">
        <v>67</v>
      </c>
      <c r="AA211" s="17">
        <v>2</v>
      </c>
      <c r="AB211" s="17" t="s">
        <v>180</v>
      </c>
      <c r="AC211" s="17" t="s">
        <v>172</v>
      </c>
      <c r="AD211" s="17" t="s">
        <v>200</v>
      </c>
      <c r="AE211" s="17" t="s">
        <v>198</v>
      </c>
      <c r="AF211" s="1">
        <f t="shared" si="22"/>
        <v>0</v>
      </c>
      <c r="AG211" s="1">
        <f t="shared" si="23"/>
        <v>0</v>
      </c>
      <c r="AH211" s="1">
        <f t="shared" si="24"/>
        <v>1</v>
      </c>
    </row>
    <row r="212" spans="19:34">
      <c r="S212" s="17">
        <v>3</v>
      </c>
      <c r="T212" s="18"/>
      <c r="U212" s="17">
        <v>1</v>
      </c>
      <c r="V212" s="17" t="s">
        <v>33</v>
      </c>
      <c r="W212" s="18">
        <v>0</v>
      </c>
      <c r="X212" s="18" t="s">
        <v>342</v>
      </c>
      <c r="Y212" s="18">
        <f t="shared" si="25"/>
        <v>4</v>
      </c>
      <c r="Z212" s="17" t="s">
        <v>115</v>
      </c>
      <c r="AA212" s="17">
        <v>2</v>
      </c>
      <c r="AB212" s="17" t="s">
        <v>176</v>
      </c>
      <c r="AC212" s="17" t="s">
        <v>183</v>
      </c>
      <c r="AD212" s="17" t="s">
        <v>204</v>
      </c>
      <c r="AE212" s="17" t="s">
        <v>212</v>
      </c>
      <c r="AF212" s="1">
        <f t="shared" si="22"/>
        <v>0</v>
      </c>
      <c r="AG212" s="1">
        <f t="shared" si="23"/>
        <v>0</v>
      </c>
      <c r="AH212" s="1">
        <f t="shared" si="24"/>
        <v>1</v>
      </c>
    </row>
    <row r="213" spans="19:34">
      <c r="S213" s="17">
        <v>4</v>
      </c>
      <c r="T213" s="18"/>
      <c r="U213" s="17">
        <v>1</v>
      </c>
      <c r="V213" s="17" t="s">
        <v>33</v>
      </c>
      <c r="W213" s="18">
        <v>0</v>
      </c>
      <c r="X213" s="18" t="s">
        <v>342</v>
      </c>
      <c r="Y213" s="18">
        <f t="shared" si="25"/>
        <v>4</v>
      </c>
      <c r="Z213" s="17" t="s">
        <v>121</v>
      </c>
      <c r="AA213" s="17">
        <v>2</v>
      </c>
      <c r="AB213" s="17" t="s">
        <v>196</v>
      </c>
      <c r="AC213" s="17" t="s">
        <v>193</v>
      </c>
      <c r="AD213" s="17" t="s">
        <v>208</v>
      </c>
      <c r="AE213" s="17" t="s">
        <v>164</v>
      </c>
      <c r="AF213" s="1">
        <f t="shared" si="22"/>
        <v>0</v>
      </c>
      <c r="AG213" s="1">
        <f t="shared" si="23"/>
        <v>0</v>
      </c>
      <c r="AH213" s="1">
        <f t="shared" si="24"/>
        <v>1</v>
      </c>
    </row>
    <row r="214" spans="19:34">
      <c r="S214" s="17">
        <v>5</v>
      </c>
      <c r="T214" s="18"/>
      <c r="U214" s="17">
        <v>1</v>
      </c>
      <c r="V214" s="17" t="s">
        <v>33</v>
      </c>
      <c r="W214" s="18">
        <v>0</v>
      </c>
      <c r="X214" s="18" t="s">
        <v>342</v>
      </c>
      <c r="Y214" s="18">
        <f t="shared" si="25"/>
        <v>4</v>
      </c>
      <c r="Z214" s="17" t="s">
        <v>117</v>
      </c>
      <c r="AA214" s="17">
        <v>2</v>
      </c>
      <c r="AB214" s="17" t="s">
        <v>214</v>
      </c>
      <c r="AC214" s="17" t="s">
        <v>210</v>
      </c>
      <c r="AD214" s="17" t="s">
        <v>187</v>
      </c>
      <c r="AE214" s="17" t="s">
        <v>189</v>
      </c>
      <c r="AF214" s="1">
        <f t="shared" si="22"/>
        <v>0</v>
      </c>
      <c r="AG214" s="1">
        <f t="shared" si="23"/>
        <v>0</v>
      </c>
      <c r="AH214" s="1">
        <f t="shared" si="24"/>
        <v>1</v>
      </c>
    </row>
    <row r="215" spans="19:34">
      <c r="S215" s="17">
        <v>6</v>
      </c>
      <c r="T215" s="18"/>
      <c r="U215" s="17">
        <v>2</v>
      </c>
      <c r="V215" s="17" t="s">
        <v>33</v>
      </c>
      <c r="W215" s="18">
        <v>0</v>
      </c>
      <c r="X215" s="18" t="s">
        <v>342</v>
      </c>
      <c r="Y215" s="18">
        <f t="shared" si="25"/>
        <v>4</v>
      </c>
      <c r="Z215" s="17" t="s">
        <v>101</v>
      </c>
      <c r="AA215" s="17">
        <v>1</v>
      </c>
      <c r="AB215" s="17" t="s">
        <v>204</v>
      </c>
      <c r="AC215" s="17" t="s">
        <v>210</v>
      </c>
      <c r="AD215" s="17" t="s">
        <v>180</v>
      </c>
      <c r="AE215" s="17" t="s">
        <v>189</v>
      </c>
      <c r="AF215" s="1">
        <f t="shared" si="22"/>
        <v>0</v>
      </c>
      <c r="AG215" s="1">
        <f t="shared" si="23"/>
        <v>0</v>
      </c>
      <c r="AH215" s="1">
        <f t="shared" si="24"/>
        <v>1</v>
      </c>
    </row>
    <row r="216" spans="19:34">
      <c r="S216" s="17">
        <v>7</v>
      </c>
      <c r="T216" s="18"/>
      <c r="U216" s="17">
        <v>1</v>
      </c>
      <c r="V216" s="17" t="s">
        <v>33</v>
      </c>
      <c r="W216" s="18">
        <v>0</v>
      </c>
      <c r="X216" s="18" t="s">
        <v>342</v>
      </c>
      <c r="Y216" s="18">
        <f t="shared" si="25"/>
        <v>4</v>
      </c>
      <c r="Z216" s="17" t="s">
        <v>103</v>
      </c>
      <c r="AA216" s="17">
        <v>2</v>
      </c>
      <c r="AB216" s="17" t="s">
        <v>187</v>
      </c>
      <c r="AC216" s="17" t="s">
        <v>206</v>
      </c>
      <c r="AD216" s="17" t="s">
        <v>183</v>
      </c>
      <c r="AE216" s="17" t="s">
        <v>196</v>
      </c>
      <c r="AF216" s="1">
        <f t="shared" si="22"/>
        <v>0</v>
      </c>
      <c r="AG216" s="1">
        <f t="shared" si="23"/>
        <v>0</v>
      </c>
      <c r="AH216" s="1">
        <f t="shared" si="24"/>
        <v>1</v>
      </c>
    </row>
    <row r="217" spans="19:34">
      <c r="S217" s="17">
        <v>8</v>
      </c>
      <c r="T217" s="18"/>
      <c r="U217" s="17">
        <v>2</v>
      </c>
      <c r="V217" s="17" t="s">
        <v>33</v>
      </c>
      <c r="W217" s="18">
        <v>0</v>
      </c>
      <c r="X217" s="18" t="s">
        <v>342</v>
      </c>
      <c r="Y217" s="18">
        <f t="shared" si="25"/>
        <v>4</v>
      </c>
      <c r="Z217" s="17" t="s">
        <v>59</v>
      </c>
      <c r="AA217" s="17">
        <v>1</v>
      </c>
      <c r="AB217" s="17" t="s">
        <v>200</v>
      </c>
      <c r="AC217" s="17" t="s">
        <v>198</v>
      </c>
      <c r="AD217" s="17" t="s">
        <v>212</v>
      </c>
      <c r="AE217" s="17" t="s">
        <v>185</v>
      </c>
      <c r="AF217" s="1">
        <f t="shared" si="22"/>
        <v>0</v>
      </c>
      <c r="AG217" s="1">
        <f t="shared" si="23"/>
        <v>0</v>
      </c>
      <c r="AH217" s="1">
        <f t="shared" si="24"/>
        <v>1</v>
      </c>
    </row>
    <row r="218" spans="19:34">
      <c r="S218" s="17">
        <v>9</v>
      </c>
      <c r="T218" s="18"/>
      <c r="U218" s="17">
        <v>1</v>
      </c>
      <c r="V218" s="17" t="s">
        <v>33</v>
      </c>
      <c r="W218" s="18">
        <v>0</v>
      </c>
      <c r="X218" s="18" t="s">
        <v>342</v>
      </c>
      <c r="Y218" s="18">
        <f t="shared" si="25"/>
        <v>4</v>
      </c>
      <c r="Z218" s="17" t="s">
        <v>43</v>
      </c>
      <c r="AA218" s="17">
        <v>2</v>
      </c>
      <c r="AB218" s="17" t="s">
        <v>202</v>
      </c>
      <c r="AC218" s="17" t="s">
        <v>164</v>
      </c>
      <c r="AD218" s="17" t="s">
        <v>191</v>
      </c>
      <c r="AE218" s="17" t="s">
        <v>176</v>
      </c>
      <c r="AF218" s="1">
        <f t="shared" si="22"/>
        <v>0</v>
      </c>
      <c r="AG218" s="1">
        <f t="shared" si="23"/>
        <v>0</v>
      </c>
      <c r="AH218" s="1">
        <f t="shared" si="24"/>
        <v>1</v>
      </c>
    </row>
    <row r="219" spans="19:34">
      <c r="S219" s="17">
        <v>10</v>
      </c>
      <c r="T219" s="18"/>
      <c r="U219" s="17">
        <v>1</v>
      </c>
      <c r="V219" s="17" t="s">
        <v>33</v>
      </c>
      <c r="W219" s="18">
        <v>2</v>
      </c>
      <c r="X219" s="18" t="s">
        <v>342</v>
      </c>
      <c r="Y219" s="18">
        <f t="shared" si="25"/>
        <v>2</v>
      </c>
      <c r="Z219" s="17" t="s">
        <v>95</v>
      </c>
      <c r="AA219" s="17">
        <v>2</v>
      </c>
      <c r="AB219" s="17" t="s">
        <v>172</v>
      </c>
      <c r="AC219" s="17" t="s">
        <v>208</v>
      </c>
      <c r="AD219" s="17" t="s">
        <v>214</v>
      </c>
      <c r="AE219" s="17" t="s">
        <v>193</v>
      </c>
      <c r="AF219" s="1">
        <f t="shared" si="22"/>
        <v>0</v>
      </c>
      <c r="AG219" s="1">
        <f t="shared" si="23"/>
        <v>1</v>
      </c>
      <c r="AH219" s="1">
        <f t="shared" si="24"/>
        <v>0</v>
      </c>
    </row>
    <row r="220" spans="19:34">
      <c r="S220" s="17">
        <v>11</v>
      </c>
      <c r="T220" s="18"/>
      <c r="U220" s="17">
        <v>1</v>
      </c>
      <c r="V220" s="17" t="s">
        <v>33</v>
      </c>
      <c r="W220" s="18">
        <v>0</v>
      </c>
      <c r="X220" s="18" t="s">
        <v>342</v>
      </c>
      <c r="Y220" s="18">
        <f t="shared" si="25"/>
        <v>4</v>
      </c>
      <c r="Z220" s="17" t="s">
        <v>37</v>
      </c>
      <c r="AA220" s="17">
        <v>2</v>
      </c>
      <c r="AB220" s="17" t="s">
        <v>193</v>
      </c>
      <c r="AC220" s="17" t="s">
        <v>206</v>
      </c>
      <c r="AD220" s="17" t="s">
        <v>172</v>
      </c>
      <c r="AE220" s="17" t="s">
        <v>210</v>
      </c>
      <c r="AF220" s="1">
        <f t="shared" si="22"/>
        <v>0</v>
      </c>
      <c r="AG220" s="1">
        <f t="shared" si="23"/>
        <v>0</v>
      </c>
      <c r="AH220" s="1">
        <f t="shared" si="24"/>
        <v>1</v>
      </c>
    </row>
    <row r="221" spans="19:34">
      <c r="S221" s="17">
        <v>12</v>
      </c>
      <c r="T221" s="18"/>
      <c r="U221" s="17">
        <v>2</v>
      </c>
      <c r="V221" s="17" t="s">
        <v>33</v>
      </c>
      <c r="W221" s="18">
        <v>0</v>
      </c>
      <c r="X221" s="18" t="s">
        <v>342</v>
      </c>
      <c r="Y221" s="18">
        <f t="shared" si="25"/>
        <v>4</v>
      </c>
      <c r="Z221" s="17" t="s">
        <v>45</v>
      </c>
      <c r="AA221" s="17">
        <v>1</v>
      </c>
      <c r="AB221" s="17" t="s">
        <v>214</v>
      </c>
      <c r="AC221" s="17" t="s">
        <v>180</v>
      </c>
      <c r="AD221" s="17" t="s">
        <v>176</v>
      </c>
      <c r="AE221" s="17" t="s">
        <v>202</v>
      </c>
      <c r="AF221" s="1">
        <f t="shared" si="22"/>
        <v>0</v>
      </c>
      <c r="AG221" s="1">
        <f t="shared" si="23"/>
        <v>0</v>
      </c>
      <c r="AH221" s="1">
        <f t="shared" si="24"/>
        <v>1</v>
      </c>
    </row>
    <row r="222" spans="19:34">
      <c r="S222" s="17">
        <v>13</v>
      </c>
      <c r="T222" s="18"/>
      <c r="U222" s="17">
        <v>2</v>
      </c>
      <c r="V222" s="17" t="s">
        <v>33</v>
      </c>
      <c r="W222" s="18">
        <v>4</v>
      </c>
      <c r="X222" s="18" t="s">
        <v>342</v>
      </c>
      <c r="Y222" s="18">
        <f t="shared" si="25"/>
        <v>0</v>
      </c>
      <c r="Z222" s="17" t="s">
        <v>85</v>
      </c>
      <c r="AA222" s="17">
        <v>1</v>
      </c>
      <c r="AB222" s="17" t="s">
        <v>183</v>
      </c>
      <c r="AC222" s="17" t="s">
        <v>208</v>
      </c>
      <c r="AD222" s="17" t="s">
        <v>189</v>
      </c>
      <c r="AE222" s="17" t="s">
        <v>196</v>
      </c>
      <c r="AF222" s="1">
        <f t="shared" si="22"/>
        <v>1</v>
      </c>
      <c r="AG222" s="1">
        <f t="shared" si="23"/>
        <v>0</v>
      </c>
      <c r="AH222" s="1">
        <f t="shared" si="24"/>
        <v>0</v>
      </c>
    </row>
    <row r="223" spans="19:34">
      <c r="S223" s="17">
        <v>14</v>
      </c>
      <c r="T223" s="18"/>
      <c r="U223" s="17">
        <v>2</v>
      </c>
      <c r="V223" s="17" t="s">
        <v>33</v>
      </c>
      <c r="W223" s="18">
        <v>4</v>
      </c>
      <c r="X223" s="18" t="s">
        <v>342</v>
      </c>
      <c r="Y223" s="18">
        <f t="shared" si="25"/>
        <v>0</v>
      </c>
      <c r="Z223" s="17" t="s">
        <v>343</v>
      </c>
      <c r="AA223" s="17">
        <v>1</v>
      </c>
      <c r="AB223" s="17" t="s">
        <v>204</v>
      </c>
      <c r="AC223" s="17" t="s">
        <v>185</v>
      </c>
      <c r="AD223" s="17" t="s">
        <v>164</v>
      </c>
      <c r="AE223" s="17" t="s">
        <v>187</v>
      </c>
      <c r="AF223" s="1">
        <f t="shared" si="22"/>
        <v>1</v>
      </c>
      <c r="AG223" s="1">
        <f t="shared" si="23"/>
        <v>0</v>
      </c>
      <c r="AH223" s="1">
        <f t="shared" si="24"/>
        <v>0</v>
      </c>
    </row>
    <row r="224" spans="19:34">
      <c r="S224" s="17">
        <v>15</v>
      </c>
      <c r="T224" s="18"/>
      <c r="U224" s="17">
        <v>2</v>
      </c>
      <c r="V224" s="17" t="s">
        <v>33</v>
      </c>
      <c r="W224" s="18">
        <v>4</v>
      </c>
      <c r="X224" s="18" t="s">
        <v>342</v>
      </c>
      <c r="Y224" s="18">
        <f t="shared" si="25"/>
        <v>0</v>
      </c>
      <c r="Z224" s="17" t="s">
        <v>109</v>
      </c>
      <c r="AA224" s="17">
        <v>1</v>
      </c>
      <c r="AB224" s="17" t="s">
        <v>198</v>
      </c>
      <c r="AC224" s="17" t="s">
        <v>212</v>
      </c>
      <c r="AD224" s="17" t="s">
        <v>200</v>
      </c>
      <c r="AE224" s="17" t="s">
        <v>191</v>
      </c>
      <c r="AF224" s="1">
        <f t="shared" si="22"/>
        <v>1</v>
      </c>
      <c r="AG224" s="1">
        <f t="shared" si="23"/>
        <v>0</v>
      </c>
      <c r="AH224" s="1">
        <f t="shared" si="24"/>
        <v>0</v>
      </c>
    </row>
    <row r="225" spans="19:34">
      <c r="S225" s="58" t="s">
        <v>339</v>
      </c>
      <c r="T225" s="58" t="s">
        <v>340</v>
      </c>
      <c r="U225" s="58" t="s">
        <v>341</v>
      </c>
      <c r="V225" s="58" t="s">
        <v>1</v>
      </c>
      <c r="W225" s="69" t="s">
        <v>220</v>
      </c>
      <c r="X225" s="70"/>
      <c r="Y225" s="71"/>
      <c r="Z225" s="58" t="s">
        <v>1</v>
      </c>
      <c r="AA225" s="58" t="s">
        <v>341</v>
      </c>
      <c r="AB225" s="58" t="s">
        <v>225</v>
      </c>
      <c r="AC225" s="58" t="s">
        <v>228</v>
      </c>
      <c r="AD225" s="58" t="s">
        <v>230</v>
      </c>
      <c r="AE225" s="58" t="s">
        <v>232</v>
      </c>
      <c r="AF225" s="1">
        <f t="shared" si="22"/>
        <v>1</v>
      </c>
      <c r="AG225" s="1">
        <f t="shared" si="23"/>
        <v>0</v>
      </c>
      <c r="AH225" s="1">
        <f t="shared" si="24"/>
        <v>0</v>
      </c>
    </row>
    <row r="226" spans="19:34">
      <c r="S226" s="17">
        <v>1</v>
      </c>
      <c r="T226" s="18"/>
      <c r="U226" s="17">
        <v>2</v>
      </c>
      <c r="V226" s="17" t="s">
        <v>85</v>
      </c>
      <c r="W226" s="18">
        <v>0</v>
      </c>
      <c r="X226" s="18" t="s">
        <v>342</v>
      </c>
      <c r="Y226" s="18">
        <f t="shared" ref="Y226:Y240" si="26">IF(W226="","",4-W226)</f>
        <v>4</v>
      </c>
      <c r="Z226" s="17" t="s">
        <v>121</v>
      </c>
      <c r="AA226" s="17">
        <v>1</v>
      </c>
      <c r="AB226" s="17" t="s">
        <v>191</v>
      </c>
      <c r="AC226" s="17" t="s">
        <v>185</v>
      </c>
      <c r="AD226" s="17" t="s">
        <v>206</v>
      </c>
      <c r="AE226" s="17" t="s">
        <v>202</v>
      </c>
      <c r="AF226" s="1">
        <f t="shared" si="22"/>
        <v>0</v>
      </c>
      <c r="AG226" s="1">
        <f t="shared" si="23"/>
        <v>0</v>
      </c>
      <c r="AH226" s="1">
        <f t="shared" si="24"/>
        <v>1</v>
      </c>
    </row>
    <row r="227" spans="19:34">
      <c r="S227" s="17">
        <v>2</v>
      </c>
      <c r="T227" s="18"/>
      <c r="U227" s="17">
        <v>2</v>
      </c>
      <c r="V227" s="17" t="s">
        <v>85</v>
      </c>
      <c r="W227" s="18">
        <v>0</v>
      </c>
      <c r="X227" s="18" t="s">
        <v>342</v>
      </c>
      <c r="Y227" s="18">
        <f t="shared" si="26"/>
        <v>4</v>
      </c>
      <c r="Z227" s="17" t="s">
        <v>115</v>
      </c>
      <c r="AA227" s="17">
        <v>1</v>
      </c>
      <c r="AB227" s="17" t="s">
        <v>180</v>
      </c>
      <c r="AC227" s="17" t="s">
        <v>172</v>
      </c>
      <c r="AD227" s="17" t="s">
        <v>200</v>
      </c>
      <c r="AE227" s="17" t="s">
        <v>198</v>
      </c>
      <c r="AF227" s="1">
        <f t="shared" si="22"/>
        <v>0</v>
      </c>
      <c r="AG227" s="1">
        <f t="shared" si="23"/>
        <v>0</v>
      </c>
      <c r="AH227" s="1">
        <f t="shared" si="24"/>
        <v>1</v>
      </c>
    </row>
    <row r="228" spans="19:34">
      <c r="S228" s="17">
        <v>3</v>
      </c>
      <c r="T228" s="18"/>
      <c r="U228" s="17">
        <v>1</v>
      </c>
      <c r="V228" s="17" t="s">
        <v>85</v>
      </c>
      <c r="W228" s="18">
        <v>0</v>
      </c>
      <c r="X228" s="18" t="s">
        <v>342</v>
      </c>
      <c r="Y228" s="18">
        <f t="shared" si="26"/>
        <v>4</v>
      </c>
      <c r="Z228" s="17" t="s">
        <v>67</v>
      </c>
      <c r="AA228" s="17">
        <v>2</v>
      </c>
      <c r="AB228" s="17" t="s">
        <v>176</v>
      </c>
      <c r="AC228" s="17" t="s">
        <v>183</v>
      </c>
      <c r="AD228" s="17" t="s">
        <v>204</v>
      </c>
      <c r="AE228" s="17" t="s">
        <v>212</v>
      </c>
      <c r="AF228" s="1">
        <f t="shared" si="22"/>
        <v>0</v>
      </c>
      <c r="AG228" s="1">
        <f t="shared" si="23"/>
        <v>0</v>
      </c>
      <c r="AH228" s="1">
        <f t="shared" si="24"/>
        <v>1</v>
      </c>
    </row>
    <row r="229" spans="19:34">
      <c r="S229" s="17">
        <v>4</v>
      </c>
      <c r="T229" s="18"/>
      <c r="U229" s="17">
        <v>2</v>
      </c>
      <c r="V229" s="17" t="s">
        <v>85</v>
      </c>
      <c r="W229" s="18">
        <v>0</v>
      </c>
      <c r="X229" s="18" t="s">
        <v>342</v>
      </c>
      <c r="Y229" s="18">
        <f t="shared" si="26"/>
        <v>4</v>
      </c>
      <c r="Z229" s="17" t="s">
        <v>71</v>
      </c>
      <c r="AA229" s="17">
        <v>1</v>
      </c>
      <c r="AB229" s="17" t="s">
        <v>196</v>
      </c>
      <c r="AC229" s="17" t="s">
        <v>193</v>
      </c>
      <c r="AD229" s="17" t="s">
        <v>208</v>
      </c>
      <c r="AE229" s="17" t="s">
        <v>164</v>
      </c>
      <c r="AF229" s="1">
        <f t="shared" si="22"/>
        <v>0</v>
      </c>
      <c r="AG229" s="1">
        <f t="shared" si="23"/>
        <v>0</v>
      </c>
      <c r="AH229" s="1">
        <f t="shared" si="24"/>
        <v>1</v>
      </c>
    </row>
    <row r="230" spans="19:34">
      <c r="S230" s="17">
        <v>5</v>
      </c>
      <c r="T230" s="18"/>
      <c r="U230" s="17">
        <v>1</v>
      </c>
      <c r="V230" s="17" t="s">
        <v>85</v>
      </c>
      <c r="W230" s="18">
        <v>0</v>
      </c>
      <c r="X230" s="18" t="s">
        <v>342</v>
      </c>
      <c r="Y230" s="18">
        <f t="shared" si="26"/>
        <v>4</v>
      </c>
      <c r="Z230" s="17" t="s">
        <v>59</v>
      </c>
      <c r="AA230" s="17">
        <v>2</v>
      </c>
      <c r="AB230" s="17" t="s">
        <v>214</v>
      </c>
      <c r="AC230" s="17" t="s">
        <v>210</v>
      </c>
      <c r="AD230" s="17" t="s">
        <v>187</v>
      </c>
      <c r="AE230" s="17" t="s">
        <v>189</v>
      </c>
      <c r="AF230" s="1">
        <f t="shared" si="22"/>
        <v>0</v>
      </c>
      <c r="AG230" s="1">
        <f t="shared" si="23"/>
        <v>0</v>
      </c>
      <c r="AH230" s="1">
        <f t="shared" si="24"/>
        <v>1</v>
      </c>
    </row>
    <row r="231" spans="19:34">
      <c r="S231" s="17">
        <v>6</v>
      </c>
      <c r="T231" s="18"/>
      <c r="U231" s="17">
        <v>2</v>
      </c>
      <c r="V231" s="17" t="s">
        <v>85</v>
      </c>
      <c r="W231" s="18">
        <v>0</v>
      </c>
      <c r="X231" s="18" t="s">
        <v>342</v>
      </c>
      <c r="Y231" s="18">
        <f t="shared" si="26"/>
        <v>4</v>
      </c>
      <c r="Z231" s="17" t="s">
        <v>103</v>
      </c>
      <c r="AA231" s="17">
        <v>1</v>
      </c>
      <c r="AB231" s="17" t="s">
        <v>204</v>
      </c>
      <c r="AC231" s="17" t="s">
        <v>210</v>
      </c>
      <c r="AD231" s="17" t="s">
        <v>180</v>
      </c>
      <c r="AE231" s="17" t="s">
        <v>189</v>
      </c>
      <c r="AF231" s="1">
        <f t="shared" si="22"/>
        <v>0</v>
      </c>
      <c r="AG231" s="1">
        <f t="shared" si="23"/>
        <v>0</v>
      </c>
      <c r="AH231" s="1">
        <f t="shared" si="24"/>
        <v>1</v>
      </c>
    </row>
    <row r="232" spans="19:34">
      <c r="S232" s="17">
        <v>7</v>
      </c>
      <c r="T232" s="18"/>
      <c r="U232" s="17">
        <v>1</v>
      </c>
      <c r="V232" s="17" t="s">
        <v>85</v>
      </c>
      <c r="W232" s="18">
        <v>0</v>
      </c>
      <c r="X232" s="18" t="s">
        <v>342</v>
      </c>
      <c r="Y232" s="18">
        <f t="shared" si="26"/>
        <v>4</v>
      </c>
      <c r="Z232" s="17" t="s">
        <v>101</v>
      </c>
      <c r="AA232" s="17">
        <v>2</v>
      </c>
      <c r="AB232" s="17" t="s">
        <v>187</v>
      </c>
      <c r="AC232" s="17" t="s">
        <v>206</v>
      </c>
      <c r="AD232" s="17" t="s">
        <v>183</v>
      </c>
      <c r="AE232" s="17" t="s">
        <v>196</v>
      </c>
      <c r="AF232" s="1">
        <f t="shared" si="22"/>
        <v>0</v>
      </c>
      <c r="AG232" s="1">
        <f t="shared" si="23"/>
        <v>0</v>
      </c>
      <c r="AH232" s="1">
        <f t="shared" si="24"/>
        <v>1</v>
      </c>
    </row>
    <row r="233" spans="19:34">
      <c r="S233" s="17">
        <v>8</v>
      </c>
      <c r="T233" s="18"/>
      <c r="U233" s="17">
        <v>1</v>
      </c>
      <c r="V233" s="17" t="s">
        <v>85</v>
      </c>
      <c r="W233" s="18">
        <v>0</v>
      </c>
      <c r="X233" s="18" t="s">
        <v>342</v>
      </c>
      <c r="Y233" s="18">
        <f t="shared" si="26"/>
        <v>4</v>
      </c>
      <c r="Z233" s="17" t="s">
        <v>117</v>
      </c>
      <c r="AA233" s="17">
        <v>2</v>
      </c>
      <c r="AB233" s="17" t="s">
        <v>200</v>
      </c>
      <c r="AC233" s="17" t="s">
        <v>198</v>
      </c>
      <c r="AD233" s="17" t="s">
        <v>212</v>
      </c>
      <c r="AE233" s="17" t="s">
        <v>185</v>
      </c>
      <c r="AF233" s="1">
        <f t="shared" si="22"/>
        <v>0</v>
      </c>
      <c r="AG233" s="1">
        <f t="shared" si="23"/>
        <v>0</v>
      </c>
      <c r="AH233" s="1">
        <f t="shared" si="24"/>
        <v>1</v>
      </c>
    </row>
    <row r="234" spans="19:34">
      <c r="S234" s="17">
        <v>9</v>
      </c>
      <c r="T234" s="18"/>
      <c r="U234" s="17">
        <v>2</v>
      </c>
      <c r="V234" s="17" t="s">
        <v>85</v>
      </c>
      <c r="W234" s="18">
        <v>0</v>
      </c>
      <c r="X234" s="18" t="s">
        <v>342</v>
      </c>
      <c r="Y234" s="18">
        <f t="shared" si="26"/>
        <v>4</v>
      </c>
      <c r="Z234" s="17" t="s">
        <v>45</v>
      </c>
      <c r="AA234" s="17">
        <v>1</v>
      </c>
      <c r="AB234" s="17" t="s">
        <v>202</v>
      </c>
      <c r="AC234" s="17" t="s">
        <v>164</v>
      </c>
      <c r="AD234" s="17" t="s">
        <v>191</v>
      </c>
      <c r="AE234" s="17" t="s">
        <v>176</v>
      </c>
      <c r="AF234" s="1">
        <f t="shared" si="22"/>
        <v>0</v>
      </c>
      <c r="AG234" s="1">
        <f t="shared" si="23"/>
        <v>0</v>
      </c>
      <c r="AH234" s="1">
        <f t="shared" si="24"/>
        <v>1</v>
      </c>
    </row>
    <row r="235" spans="19:34">
      <c r="S235" s="17">
        <v>10</v>
      </c>
      <c r="T235" s="18"/>
      <c r="U235" s="17">
        <v>1</v>
      </c>
      <c r="V235" s="17" t="s">
        <v>85</v>
      </c>
      <c r="W235" s="18">
        <v>0</v>
      </c>
      <c r="X235" s="18" t="s">
        <v>342</v>
      </c>
      <c r="Y235" s="18">
        <f t="shared" si="26"/>
        <v>4</v>
      </c>
      <c r="Z235" s="17" t="s">
        <v>37</v>
      </c>
      <c r="AA235" s="17">
        <v>2</v>
      </c>
      <c r="AB235" s="17" t="s">
        <v>172</v>
      </c>
      <c r="AC235" s="17" t="s">
        <v>208</v>
      </c>
      <c r="AD235" s="17" t="s">
        <v>214</v>
      </c>
      <c r="AE235" s="17" t="s">
        <v>193</v>
      </c>
      <c r="AF235" s="1">
        <f t="shared" si="22"/>
        <v>0</v>
      </c>
      <c r="AG235" s="1">
        <f t="shared" si="23"/>
        <v>0</v>
      </c>
      <c r="AH235" s="1">
        <f t="shared" si="24"/>
        <v>1</v>
      </c>
    </row>
    <row r="236" spans="19:34">
      <c r="S236" s="17">
        <v>11</v>
      </c>
      <c r="T236" s="18"/>
      <c r="U236" s="17">
        <v>2</v>
      </c>
      <c r="V236" s="17" t="s">
        <v>85</v>
      </c>
      <c r="W236" s="18">
        <v>1</v>
      </c>
      <c r="X236" s="18" t="s">
        <v>342</v>
      </c>
      <c r="Y236" s="18">
        <f t="shared" si="26"/>
        <v>3</v>
      </c>
      <c r="Z236" s="17" t="s">
        <v>95</v>
      </c>
      <c r="AA236" s="17">
        <v>1</v>
      </c>
      <c r="AB236" s="17" t="s">
        <v>193</v>
      </c>
      <c r="AC236" s="17" t="s">
        <v>206</v>
      </c>
      <c r="AD236" s="17" t="s">
        <v>172</v>
      </c>
      <c r="AE236" s="17" t="s">
        <v>210</v>
      </c>
      <c r="AF236" s="1">
        <f t="shared" si="22"/>
        <v>0</v>
      </c>
      <c r="AG236" s="1">
        <f t="shared" si="23"/>
        <v>0</v>
      </c>
      <c r="AH236" s="1">
        <f t="shared" si="24"/>
        <v>1</v>
      </c>
    </row>
    <row r="237" spans="19:34">
      <c r="S237" s="17">
        <v>12</v>
      </c>
      <c r="T237" s="18"/>
      <c r="U237" s="17">
        <v>2</v>
      </c>
      <c r="V237" s="17" t="s">
        <v>85</v>
      </c>
      <c r="W237" s="18">
        <v>0</v>
      </c>
      <c r="X237" s="18" t="s">
        <v>342</v>
      </c>
      <c r="Y237" s="18">
        <f t="shared" si="26"/>
        <v>4</v>
      </c>
      <c r="Z237" s="17" t="s">
        <v>43</v>
      </c>
      <c r="AA237" s="17">
        <v>1</v>
      </c>
      <c r="AB237" s="17" t="s">
        <v>214</v>
      </c>
      <c r="AC237" s="17" t="s">
        <v>180</v>
      </c>
      <c r="AD237" s="17" t="s">
        <v>176</v>
      </c>
      <c r="AE237" s="17" t="s">
        <v>202</v>
      </c>
      <c r="AF237" s="1">
        <f t="shared" si="22"/>
        <v>0</v>
      </c>
      <c r="AG237" s="1">
        <f t="shared" si="23"/>
        <v>0</v>
      </c>
      <c r="AH237" s="1">
        <f t="shared" si="24"/>
        <v>1</v>
      </c>
    </row>
    <row r="238" spans="19:34">
      <c r="S238" s="17">
        <v>13</v>
      </c>
      <c r="T238" s="18"/>
      <c r="U238" s="17">
        <v>1</v>
      </c>
      <c r="V238" s="17" t="s">
        <v>85</v>
      </c>
      <c r="W238" s="18">
        <v>0</v>
      </c>
      <c r="X238" s="18" t="s">
        <v>342</v>
      </c>
      <c r="Y238" s="18">
        <f t="shared" si="26"/>
        <v>4</v>
      </c>
      <c r="Z238" s="17" t="s">
        <v>33</v>
      </c>
      <c r="AA238" s="17">
        <v>2</v>
      </c>
      <c r="AB238" s="17" t="s">
        <v>183</v>
      </c>
      <c r="AC238" s="17" t="s">
        <v>208</v>
      </c>
      <c r="AD238" s="17" t="s">
        <v>189</v>
      </c>
      <c r="AE238" s="17" t="s">
        <v>196</v>
      </c>
      <c r="AF238" s="1">
        <f t="shared" si="22"/>
        <v>0</v>
      </c>
      <c r="AG238" s="1">
        <f t="shared" si="23"/>
        <v>0</v>
      </c>
      <c r="AH238" s="1">
        <f t="shared" si="24"/>
        <v>1</v>
      </c>
    </row>
    <row r="239" spans="19:34">
      <c r="S239" s="17">
        <v>14</v>
      </c>
      <c r="T239" s="18"/>
      <c r="U239" s="17">
        <v>2</v>
      </c>
      <c r="V239" s="17" t="s">
        <v>85</v>
      </c>
      <c r="W239" s="18">
        <v>4</v>
      </c>
      <c r="X239" s="18" t="s">
        <v>342</v>
      </c>
      <c r="Y239" s="18">
        <f t="shared" si="26"/>
        <v>0</v>
      </c>
      <c r="Z239" s="17" t="s">
        <v>109</v>
      </c>
      <c r="AA239" s="17">
        <v>1</v>
      </c>
      <c r="AB239" s="17" t="s">
        <v>204</v>
      </c>
      <c r="AC239" s="17" t="s">
        <v>185</v>
      </c>
      <c r="AD239" s="17" t="s">
        <v>164</v>
      </c>
      <c r="AE239" s="17" t="s">
        <v>187</v>
      </c>
      <c r="AF239" s="1">
        <f t="shared" si="22"/>
        <v>1</v>
      </c>
      <c r="AG239" s="1">
        <f t="shared" si="23"/>
        <v>0</v>
      </c>
      <c r="AH239" s="1">
        <f t="shared" si="24"/>
        <v>0</v>
      </c>
    </row>
    <row r="240" spans="19:34">
      <c r="S240" s="17">
        <v>15</v>
      </c>
      <c r="T240" s="18"/>
      <c r="U240" s="17">
        <v>2</v>
      </c>
      <c r="V240" s="17" t="s">
        <v>85</v>
      </c>
      <c r="W240" s="18">
        <v>4</v>
      </c>
      <c r="X240" s="18" t="s">
        <v>342</v>
      </c>
      <c r="Y240" s="18">
        <f t="shared" si="26"/>
        <v>0</v>
      </c>
      <c r="Z240" s="17" t="s">
        <v>343</v>
      </c>
      <c r="AA240" s="17">
        <v>1</v>
      </c>
      <c r="AB240" s="17" t="s">
        <v>198</v>
      </c>
      <c r="AC240" s="17" t="s">
        <v>212</v>
      </c>
      <c r="AD240" s="17" t="s">
        <v>200</v>
      </c>
      <c r="AE240" s="17" t="s">
        <v>191</v>
      </c>
      <c r="AF240" s="1">
        <f t="shared" si="22"/>
        <v>1</v>
      </c>
      <c r="AG240" s="1">
        <f t="shared" si="23"/>
        <v>0</v>
      </c>
      <c r="AH240" s="1">
        <f t="shared" si="24"/>
        <v>0</v>
      </c>
    </row>
    <row r="241" spans="19:34">
      <c r="S241" s="58" t="s">
        <v>339</v>
      </c>
      <c r="T241" s="58" t="s">
        <v>340</v>
      </c>
      <c r="U241" s="58" t="s">
        <v>341</v>
      </c>
      <c r="V241" s="58" t="s">
        <v>1</v>
      </c>
      <c r="W241" s="69" t="s">
        <v>220</v>
      </c>
      <c r="X241" s="70"/>
      <c r="Y241" s="71"/>
      <c r="Z241" s="58" t="s">
        <v>1</v>
      </c>
      <c r="AA241" s="58" t="s">
        <v>341</v>
      </c>
      <c r="AB241" s="58" t="s">
        <v>225</v>
      </c>
      <c r="AC241" s="58" t="s">
        <v>228</v>
      </c>
      <c r="AD241" s="58" t="s">
        <v>230</v>
      </c>
      <c r="AE241" s="58" t="s">
        <v>232</v>
      </c>
      <c r="AF241" s="1">
        <f t="shared" si="22"/>
        <v>1</v>
      </c>
      <c r="AG241" s="1">
        <f t="shared" si="23"/>
        <v>0</v>
      </c>
      <c r="AH241" s="1">
        <f t="shared" si="24"/>
        <v>0</v>
      </c>
    </row>
    <row r="242" spans="19:34">
      <c r="S242" s="17">
        <v>1</v>
      </c>
      <c r="T242" s="18"/>
      <c r="U242" s="17">
        <v>1</v>
      </c>
      <c r="V242" s="17" t="s">
        <v>343</v>
      </c>
      <c r="W242" s="18">
        <v>0</v>
      </c>
      <c r="X242" s="18" t="s">
        <v>342</v>
      </c>
      <c r="Y242" s="18">
        <f t="shared" ref="Y242:Y256" si="27">IF(W242="","",4-W242)</f>
        <v>4</v>
      </c>
      <c r="Z242" s="17" t="s">
        <v>115</v>
      </c>
      <c r="AA242" s="17">
        <v>2</v>
      </c>
      <c r="AB242" s="17" t="s">
        <v>191</v>
      </c>
      <c r="AC242" s="17" t="s">
        <v>185</v>
      </c>
      <c r="AD242" s="17" t="s">
        <v>206</v>
      </c>
      <c r="AE242" s="17" t="s">
        <v>202</v>
      </c>
      <c r="AF242" s="1">
        <f t="shared" si="22"/>
        <v>0</v>
      </c>
      <c r="AG242" s="1">
        <f t="shared" si="23"/>
        <v>0</v>
      </c>
      <c r="AH242" s="1">
        <f t="shared" si="24"/>
        <v>1</v>
      </c>
    </row>
    <row r="243" spans="19:34">
      <c r="S243" s="17">
        <v>2</v>
      </c>
      <c r="T243" s="18"/>
      <c r="U243" s="17">
        <v>1</v>
      </c>
      <c r="V243" s="17" t="s">
        <v>343</v>
      </c>
      <c r="W243" s="18">
        <v>0</v>
      </c>
      <c r="X243" s="18" t="s">
        <v>342</v>
      </c>
      <c r="Y243" s="18">
        <f t="shared" si="27"/>
        <v>4</v>
      </c>
      <c r="Z243" s="17" t="s">
        <v>121</v>
      </c>
      <c r="AA243" s="17">
        <v>2</v>
      </c>
      <c r="AB243" s="17" t="s">
        <v>180</v>
      </c>
      <c r="AC243" s="17" t="s">
        <v>172</v>
      </c>
      <c r="AD243" s="17" t="s">
        <v>200</v>
      </c>
      <c r="AE243" s="17" t="s">
        <v>198</v>
      </c>
      <c r="AF243" s="1">
        <f t="shared" si="22"/>
        <v>0</v>
      </c>
      <c r="AG243" s="1">
        <f t="shared" si="23"/>
        <v>0</v>
      </c>
      <c r="AH243" s="1">
        <f t="shared" si="24"/>
        <v>1</v>
      </c>
    </row>
    <row r="244" spans="19:34">
      <c r="S244" s="17">
        <v>3</v>
      </c>
      <c r="T244" s="18"/>
      <c r="U244" s="17">
        <v>2</v>
      </c>
      <c r="V244" s="17" t="s">
        <v>343</v>
      </c>
      <c r="W244" s="18">
        <v>0</v>
      </c>
      <c r="X244" s="18" t="s">
        <v>342</v>
      </c>
      <c r="Y244" s="18">
        <f t="shared" si="27"/>
        <v>4</v>
      </c>
      <c r="Z244" s="17" t="s">
        <v>71</v>
      </c>
      <c r="AA244" s="17">
        <v>1</v>
      </c>
      <c r="AB244" s="17" t="s">
        <v>176</v>
      </c>
      <c r="AC244" s="17" t="s">
        <v>183</v>
      </c>
      <c r="AD244" s="17" t="s">
        <v>204</v>
      </c>
      <c r="AE244" s="17" t="s">
        <v>212</v>
      </c>
      <c r="AF244" s="1">
        <f t="shared" si="22"/>
        <v>0</v>
      </c>
      <c r="AG244" s="1">
        <f t="shared" si="23"/>
        <v>0</v>
      </c>
      <c r="AH244" s="1">
        <f t="shared" si="24"/>
        <v>1</v>
      </c>
    </row>
    <row r="245" spans="19:34">
      <c r="S245" s="17">
        <v>4</v>
      </c>
      <c r="T245" s="18"/>
      <c r="U245" s="17">
        <v>2</v>
      </c>
      <c r="V245" s="17" t="s">
        <v>343</v>
      </c>
      <c r="W245" s="18">
        <v>0</v>
      </c>
      <c r="X245" s="18" t="s">
        <v>342</v>
      </c>
      <c r="Y245" s="18">
        <f t="shared" si="27"/>
        <v>4</v>
      </c>
      <c r="Z245" s="17" t="s">
        <v>67</v>
      </c>
      <c r="AA245" s="17">
        <v>1</v>
      </c>
      <c r="AB245" s="17" t="s">
        <v>196</v>
      </c>
      <c r="AC245" s="17" t="s">
        <v>193</v>
      </c>
      <c r="AD245" s="17" t="s">
        <v>208</v>
      </c>
      <c r="AE245" s="17" t="s">
        <v>164</v>
      </c>
      <c r="AF245" s="1">
        <f t="shared" si="22"/>
        <v>0</v>
      </c>
      <c r="AG245" s="1">
        <f t="shared" si="23"/>
        <v>0</v>
      </c>
      <c r="AH245" s="1">
        <f t="shared" si="24"/>
        <v>1</v>
      </c>
    </row>
    <row r="246" spans="19:34">
      <c r="S246" s="17">
        <v>5</v>
      </c>
      <c r="T246" s="18"/>
      <c r="U246" s="17">
        <v>1</v>
      </c>
      <c r="V246" s="17" t="s">
        <v>343</v>
      </c>
      <c r="W246" s="18">
        <v>0</v>
      </c>
      <c r="X246" s="18" t="s">
        <v>342</v>
      </c>
      <c r="Y246" s="18">
        <f t="shared" si="27"/>
        <v>4</v>
      </c>
      <c r="Z246" s="17" t="s">
        <v>103</v>
      </c>
      <c r="AA246" s="17">
        <v>2</v>
      </c>
      <c r="AB246" s="17" t="s">
        <v>214</v>
      </c>
      <c r="AC246" s="17" t="s">
        <v>210</v>
      </c>
      <c r="AD246" s="17" t="s">
        <v>187</v>
      </c>
      <c r="AE246" s="17" t="s">
        <v>189</v>
      </c>
      <c r="AF246" s="1">
        <f t="shared" si="22"/>
        <v>0</v>
      </c>
      <c r="AG246" s="1">
        <f t="shared" si="23"/>
        <v>0</v>
      </c>
      <c r="AH246" s="1">
        <f t="shared" si="24"/>
        <v>1</v>
      </c>
    </row>
    <row r="247" spans="19:34">
      <c r="S247" s="17">
        <v>6</v>
      </c>
      <c r="T247" s="18"/>
      <c r="U247" s="17">
        <v>1</v>
      </c>
      <c r="V247" s="17" t="s">
        <v>343</v>
      </c>
      <c r="W247" s="18">
        <v>0</v>
      </c>
      <c r="X247" s="18" t="s">
        <v>342</v>
      </c>
      <c r="Y247" s="18">
        <f t="shared" si="27"/>
        <v>4</v>
      </c>
      <c r="Z247" s="17" t="s">
        <v>59</v>
      </c>
      <c r="AA247" s="17">
        <v>2</v>
      </c>
      <c r="AB247" s="17" t="s">
        <v>204</v>
      </c>
      <c r="AC247" s="17" t="s">
        <v>210</v>
      </c>
      <c r="AD247" s="17" t="s">
        <v>180</v>
      </c>
      <c r="AE247" s="17" t="s">
        <v>189</v>
      </c>
      <c r="AF247" s="1">
        <f t="shared" si="22"/>
        <v>0</v>
      </c>
      <c r="AG247" s="1">
        <f t="shared" si="23"/>
        <v>0</v>
      </c>
      <c r="AH247" s="1">
        <f t="shared" si="24"/>
        <v>1</v>
      </c>
    </row>
    <row r="248" spans="19:34">
      <c r="S248" s="17">
        <v>7</v>
      </c>
      <c r="T248" s="18"/>
      <c r="U248" s="17">
        <v>2</v>
      </c>
      <c r="V248" s="17" t="s">
        <v>343</v>
      </c>
      <c r="W248" s="18">
        <v>0</v>
      </c>
      <c r="X248" s="18" t="s">
        <v>342</v>
      </c>
      <c r="Y248" s="18">
        <f t="shared" si="27"/>
        <v>4</v>
      </c>
      <c r="Z248" s="17" t="s">
        <v>117</v>
      </c>
      <c r="AA248" s="17">
        <v>1</v>
      </c>
      <c r="AB248" s="17" t="s">
        <v>187</v>
      </c>
      <c r="AC248" s="17" t="s">
        <v>206</v>
      </c>
      <c r="AD248" s="17" t="s">
        <v>183</v>
      </c>
      <c r="AE248" s="17" t="s">
        <v>196</v>
      </c>
      <c r="AF248" s="1">
        <f t="shared" si="22"/>
        <v>0</v>
      </c>
      <c r="AG248" s="1">
        <f t="shared" si="23"/>
        <v>0</v>
      </c>
      <c r="AH248" s="1">
        <f t="shared" si="24"/>
        <v>1</v>
      </c>
    </row>
    <row r="249" spans="19:34">
      <c r="S249" s="17">
        <v>8</v>
      </c>
      <c r="T249" s="18"/>
      <c r="U249" s="17">
        <v>2</v>
      </c>
      <c r="V249" s="17" t="s">
        <v>343</v>
      </c>
      <c r="W249" s="18">
        <v>0</v>
      </c>
      <c r="X249" s="18" t="s">
        <v>342</v>
      </c>
      <c r="Y249" s="18">
        <f t="shared" si="27"/>
        <v>4</v>
      </c>
      <c r="Z249" s="17" t="s">
        <v>101</v>
      </c>
      <c r="AA249" s="17">
        <v>1</v>
      </c>
      <c r="AB249" s="17" t="s">
        <v>200</v>
      </c>
      <c r="AC249" s="17" t="s">
        <v>198</v>
      </c>
      <c r="AD249" s="17" t="s">
        <v>212</v>
      </c>
      <c r="AE249" s="17" t="s">
        <v>185</v>
      </c>
      <c r="AF249" s="1">
        <f t="shared" si="22"/>
        <v>0</v>
      </c>
      <c r="AG249" s="1">
        <f t="shared" si="23"/>
        <v>0</v>
      </c>
      <c r="AH249" s="1">
        <f t="shared" si="24"/>
        <v>1</v>
      </c>
    </row>
    <row r="250" spans="19:34">
      <c r="S250" s="17">
        <v>9</v>
      </c>
      <c r="T250" s="18"/>
      <c r="U250" s="17">
        <v>2</v>
      </c>
      <c r="V250" s="17" t="s">
        <v>343</v>
      </c>
      <c r="W250" s="18">
        <v>0</v>
      </c>
      <c r="X250" s="18" t="s">
        <v>342</v>
      </c>
      <c r="Y250" s="18">
        <f t="shared" si="27"/>
        <v>4</v>
      </c>
      <c r="Z250" s="17" t="s">
        <v>37</v>
      </c>
      <c r="AA250" s="17">
        <v>1</v>
      </c>
      <c r="AB250" s="17" t="s">
        <v>202</v>
      </c>
      <c r="AC250" s="17" t="s">
        <v>164</v>
      </c>
      <c r="AD250" s="17" t="s">
        <v>191</v>
      </c>
      <c r="AE250" s="17" t="s">
        <v>176</v>
      </c>
      <c r="AF250" s="1">
        <f t="shared" si="22"/>
        <v>0</v>
      </c>
      <c r="AG250" s="1">
        <f t="shared" si="23"/>
        <v>0</v>
      </c>
      <c r="AH250" s="1">
        <f t="shared" si="24"/>
        <v>1</v>
      </c>
    </row>
    <row r="251" spans="19:34">
      <c r="S251" s="17">
        <v>10</v>
      </c>
      <c r="T251" s="18"/>
      <c r="U251" s="17">
        <v>1</v>
      </c>
      <c r="V251" s="17" t="s">
        <v>343</v>
      </c>
      <c r="W251" s="18">
        <v>0</v>
      </c>
      <c r="X251" s="18" t="s">
        <v>342</v>
      </c>
      <c r="Y251" s="18">
        <f t="shared" si="27"/>
        <v>4</v>
      </c>
      <c r="Z251" s="17" t="s">
        <v>45</v>
      </c>
      <c r="AA251" s="17">
        <v>2</v>
      </c>
      <c r="AB251" s="17" t="s">
        <v>172</v>
      </c>
      <c r="AC251" s="17" t="s">
        <v>208</v>
      </c>
      <c r="AD251" s="17" t="s">
        <v>214</v>
      </c>
      <c r="AE251" s="17" t="s">
        <v>193</v>
      </c>
      <c r="AF251" s="1">
        <f t="shared" si="22"/>
        <v>0</v>
      </c>
      <c r="AG251" s="1">
        <f t="shared" si="23"/>
        <v>0</v>
      </c>
      <c r="AH251" s="1">
        <f t="shared" si="24"/>
        <v>1</v>
      </c>
    </row>
    <row r="252" spans="19:34">
      <c r="S252" s="17">
        <v>11</v>
      </c>
      <c r="T252" s="18"/>
      <c r="U252" s="17">
        <v>2</v>
      </c>
      <c r="V252" s="17" t="s">
        <v>343</v>
      </c>
      <c r="W252" s="18">
        <v>0</v>
      </c>
      <c r="X252" s="18" t="s">
        <v>342</v>
      </c>
      <c r="Y252" s="18">
        <f t="shared" si="27"/>
        <v>4</v>
      </c>
      <c r="Z252" s="17" t="s">
        <v>43</v>
      </c>
      <c r="AA252" s="17">
        <v>1</v>
      </c>
      <c r="AB252" s="17" t="s">
        <v>193</v>
      </c>
      <c r="AC252" s="17" t="s">
        <v>206</v>
      </c>
      <c r="AD252" s="17" t="s">
        <v>172</v>
      </c>
      <c r="AE252" s="17" t="s">
        <v>210</v>
      </c>
      <c r="AF252" s="1">
        <f t="shared" si="22"/>
        <v>0</v>
      </c>
      <c r="AG252" s="1">
        <f t="shared" si="23"/>
        <v>0</v>
      </c>
      <c r="AH252" s="1">
        <f t="shared" si="24"/>
        <v>1</v>
      </c>
    </row>
    <row r="253" spans="19:34">
      <c r="S253" s="17">
        <v>12</v>
      </c>
      <c r="T253" s="18"/>
      <c r="U253" s="17">
        <v>2</v>
      </c>
      <c r="V253" s="17" t="s">
        <v>343</v>
      </c>
      <c r="W253" s="18">
        <v>0</v>
      </c>
      <c r="X253" s="18" t="s">
        <v>342</v>
      </c>
      <c r="Y253" s="18">
        <f t="shared" si="27"/>
        <v>4</v>
      </c>
      <c r="Z253" s="17" t="s">
        <v>95</v>
      </c>
      <c r="AA253" s="17">
        <v>1</v>
      </c>
      <c r="AB253" s="17" t="s">
        <v>214</v>
      </c>
      <c r="AC253" s="17" t="s">
        <v>180</v>
      </c>
      <c r="AD253" s="17" t="s">
        <v>176</v>
      </c>
      <c r="AE253" s="17" t="s">
        <v>202</v>
      </c>
      <c r="AF253" s="1">
        <f t="shared" si="22"/>
        <v>0</v>
      </c>
      <c r="AG253" s="1">
        <f t="shared" si="23"/>
        <v>0</v>
      </c>
      <c r="AH253" s="1">
        <f t="shared" si="24"/>
        <v>1</v>
      </c>
    </row>
    <row r="254" spans="19:34">
      <c r="S254" s="17">
        <v>13</v>
      </c>
      <c r="T254" s="18"/>
      <c r="U254" s="17">
        <v>1</v>
      </c>
      <c r="V254" s="17" t="s">
        <v>343</v>
      </c>
      <c r="W254" s="18">
        <v>0</v>
      </c>
      <c r="X254" s="18" t="s">
        <v>342</v>
      </c>
      <c r="Y254" s="18">
        <f t="shared" si="27"/>
        <v>4</v>
      </c>
      <c r="Z254" s="17" t="s">
        <v>109</v>
      </c>
      <c r="AA254" s="17">
        <v>2</v>
      </c>
      <c r="AB254" s="17" t="s">
        <v>183</v>
      </c>
      <c r="AC254" s="17" t="s">
        <v>208</v>
      </c>
      <c r="AD254" s="17" t="s">
        <v>189</v>
      </c>
      <c r="AE254" s="17" t="s">
        <v>196</v>
      </c>
      <c r="AF254" s="1">
        <f t="shared" si="22"/>
        <v>0</v>
      </c>
      <c r="AG254" s="1">
        <f t="shared" si="23"/>
        <v>0</v>
      </c>
      <c r="AH254" s="1">
        <f t="shared" si="24"/>
        <v>1</v>
      </c>
    </row>
    <row r="255" spans="19:34">
      <c r="S255" s="17">
        <v>14</v>
      </c>
      <c r="T255" s="18"/>
      <c r="U255" s="17">
        <v>1</v>
      </c>
      <c r="V255" s="17" t="s">
        <v>343</v>
      </c>
      <c r="W255" s="18">
        <v>0</v>
      </c>
      <c r="X255" s="18" t="s">
        <v>342</v>
      </c>
      <c r="Y255" s="18">
        <f t="shared" si="27"/>
        <v>4</v>
      </c>
      <c r="Z255" s="17" t="s">
        <v>33</v>
      </c>
      <c r="AA255" s="17">
        <v>2</v>
      </c>
      <c r="AB255" s="17" t="s">
        <v>204</v>
      </c>
      <c r="AC255" s="17" t="s">
        <v>185</v>
      </c>
      <c r="AD255" s="17" t="s">
        <v>164</v>
      </c>
      <c r="AE255" s="17" t="s">
        <v>187</v>
      </c>
      <c r="AF255" s="1">
        <f t="shared" si="22"/>
        <v>0</v>
      </c>
      <c r="AG255" s="1">
        <f t="shared" si="23"/>
        <v>0</v>
      </c>
      <c r="AH255" s="1">
        <f t="shared" si="24"/>
        <v>1</v>
      </c>
    </row>
    <row r="256" spans="19:34">
      <c r="S256" s="17">
        <v>15</v>
      </c>
      <c r="T256" s="18"/>
      <c r="U256" s="17">
        <v>1</v>
      </c>
      <c r="V256" s="17" t="s">
        <v>343</v>
      </c>
      <c r="W256" s="18">
        <v>0</v>
      </c>
      <c r="X256" s="18" t="s">
        <v>342</v>
      </c>
      <c r="Y256" s="18">
        <f t="shared" si="27"/>
        <v>4</v>
      </c>
      <c r="Z256" s="17" t="s">
        <v>85</v>
      </c>
      <c r="AA256" s="17">
        <v>2</v>
      </c>
      <c r="AB256" s="17" t="s">
        <v>198</v>
      </c>
      <c r="AC256" s="17" t="s">
        <v>212</v>
      </c>
      <c r="AD256" s="17" t="s">
        <v>200</v>
      </c>
      <c r="AE256" s="17" t="s">
        <v>191</v>
      </c>
      <c r="AF256" s="1">
        <f t="shared" si="22"/>
        <v>0</v>
      </c>
      <c r="AG256" s="1">
        <f t="shared" si="23"/>
        <v>0</v>
      </c>
      <c r="AH256" s="1">
        <f t="shared" si="24"/>
        <v>1</v>
      </c>
    </row>
    <row r="257" spans="19:34">
      <c r="S257" s="58" t="s">
        <v>339</v>
      </c>
      <c r="T257" s="58" t="s">
        <v>340</v>
      </c>
      <c r="U257" s="58" t="s">
        <v>341</v>
      </c>
      <c r="V257" s="58" t="s">
        <v>1</v>
      </c>
      <c r="W257" s="66" t="s">
        <v>220</v>
      </c>
      <c r="X257" s="66"/>
      <c r="Y257" s="66"/>
      <c r="Z257" s="58" t="s">
        <v>1</v>
      </c>
      <c r="AA257" s="58" t="s">
        <v>341</v>
      </c>
      <c r="AB257" s="58" t="s">
        <v>225</v>
      </c>
      <c r="AC257" s="58" t="s">
        <v>228</v>
      </c>
      <c r="AD257" s="58" t="s">
        <v>230</v>
      </c>
      <c r="AE257" s="58" t="s">
        <v>232</v>
      </c>
      <c r="AF257" s="1">
        <f t="shared" ref="AF257:AF320" si="28">IF(W257="",0,IF(W257&gt;Y257,1,0))</f>
        <v>1</v>
      </c>
      <c r="AG257" s="1">
        <f t="shared" ref="AG257:AG320" si="29">IF(W257="",0,IF(W257=Y257,1,0))</f>
        <v>0</v>
      </c>
      <c r="AH257" s="1">
        <f t="shared" ref="AH257:AH320" si="30">IF(W257="",0,IF(W257&lt;Y257,1,0))</f>
        <v>0</v>
      </c>
    </row>
    <row r="258" spans="19:34">
      <c r="S258" s="17">
        <v>1</v>
      </c>
      <c r="T258" s="18"/>
      <c r="U258" s="17">
        <v>1</v>
      </c>
      <c r="V258" s="17" t="s">
        <v>73</v>
      </c>
      <c r="W258" s="18">
        <v>4</v>
      </c>
      <c r="X258" s="18" t="s">
        <v>342</v>
      </c>
      <c r="Y258" s="18">
        <f>IF(W258="","",4-W258)</f>
        <v>0</v>
      </c>
      <c r="Z258" s="17" t="s">
        <v>378</v>
      </c>
      <c r="AA258" s="17">
        <v>2</v>
      </c>
      <c r="AB258" s="17" t="s">
        <v>191</v>
      </c>
      <c r="AC258" s="17" t="s">
        <v>185</v>
      </c>
      <c r="AD258" s="17" t="s">
        <v>206</v>
      </c>
      <c r="AE258" s="17" t="s">
        <v>202</v>
      </c>
      <c r="AF258" s="1">
        <f t="shared" si="28"/>
        <v>1</v>
      </c>
      <c r="AG258" s="1">
        <f t="shared" si="29"/>
        <v>0</v>
      </c>
      <c r="AH258" s="1">
        <f t="shared" si="30"/>
        <v>0</v>
      </c>
    </row>
    <row r="259" spans="19:34">
      <c r="S259" s="17">
        <v>2</v>
      </c>
      <c r="T259" s="18"/>
      <c r="U259" s="17">
        <v>1</v>
      </c>
      <c r="V259" s="17" t="s">
        <v>73</v>
      </c>
      <c r="W259" s="18">
        <v>4</v>
      </c>
      <c r="X259" s="18" t="s">
        <v>342</v>
      </c>
      <c r="Y259" s="18">
        <f t="shared" ref="Y259:Y272" si="31">IF(W259="","",4-W259)</f>
        <v>0</v>
      </c>
      <c r="Z259" s="17" t="s">
        <v>91</v>
      </c>
      <c r="AA259" s="17">
        <v>2</v>
      </c>
      <c r="AB259" s="17" t="s">
        <v>180</v>
      </c>
      <c r="AC259" s="17" t="s">
        <v>172</v>
      </c>
      <c r="AD259" s="17" t="s">
        <v>200</v>
      </c>
      <c r="AE259" s="17" t="s">
        <v>198</v>
      </c>
      <c r="AF259" s="1">
        <f t="shared" si="28"/>
        <v>1</v>
      </c>
      <c r="AG259" s="1">
        <f t="shared" si="29"/>
        <v>0</v>
      </c>
      <c r="AH259" s="1">
        <f t="shared" si="30"/>
        <v>0</v>
      </c>
    </row>
    <row r="260" spans="19:34">
      <c r="S260" s="17">
        <v>3</v>
      </c>
      <c r="T260" s="18"/>
      <c r="U260" s="17">
        <v>2</v>
      </c>
      <c r="V260" s="17" t="s">
        <v>73</v>
      </c>
      <c r="W260" s="18">
        <v>4</v>
      </c>
      <c r="X260" s="18" t="s">
        <v>342</v>
      </c>
      <c r="Y260" s="18">
        <f t="shared" si="31"/>
        <v>0</v>
      </c>
      <c r="Z260" s="17" t="s">
        <v>57</v>
      </c>
      <c r="AA260" s="17">
        <v>1</v>
      </c>
      <c r="AB260" s="17" t="s">
        <v>176</v>
      </c>
      <c r="AC260" s="17" t="s">
        <v>183</v>
      </c>
      <c r="AD260" s="17" t="s">
        <v>204</v>
      </c>
      <c r="AE260" s="17" t="s">
        <v>212</v>
      </c>
      <c r="AF260" s="1">
        <f t="shared" si="28"/>
        <v>1</v>
      </c>
      <c r="AG260" s="1">
        <f t="shared" si="29"/>
        <v>0</v>
      </c>
      <c r="AH260" s="1">
        <f t="shared" si="30"/>
        <v>0</v>
      </c>
    </row>
    <row r="261" spans="19:34">
      <c r="S261" s="17">
        <v>4</v>
      </c>
      <c r="T261" s="18"/>
      <c r="U261" s="17">
        <v>1</v>
      </c>
      <c r="V261" s="17" t="s">
        <v>73</v>
      </c>
      <c r="W261" s="18">
        <v>4</v>
      </c>
      <c r="X261" s="18" t="s">
        <v>342</v>
      </c>
      <c r="Y261" s="18">
        <f t="shared" si="31"/>
        <v>0</v>
      </c>
      <c r="Z261" s="17" t="s">
        <v>53</v>
      </c>
      <c r="AA261" s="17">
        <v>2</v>
      </c>
      <c r="AB261" s="17" t="s">
        <v>196</v>
      </c>
      <c r="AC261" s="17" t="s">
        <v>193</v>
      </c>
      <c r="AD261" s="17" t="s">
        <v>208</v>
      </c>
      <c r="AE261" s="17" t="s">
        <v>164</v>
      </c>
      <c r="AF261" s="1">
        <f t="shared" si="28"/>
        <v>1</v>
      </c>
      <c r="AG261" s="1">
        <f t="shared" si="29"/>
        <v>0</v>
      </c>
      <c r="AH261" s="1">
        <f t="shared" si="30"/>
        <v>0</v>
      </c>
    </row>
    <row r="262" spans="19:34">
      <c r="S262" s="17">
        <v>5</v>
      </c>
      <c r="T262" s="18"/>
      <c r="U262" s="17">
        <v>1</v>
      </c>
      <c r="V262" s="17" t="s">
        <v>73</v>
      </c>
      <c r="W262" s="18">
        <v>4</v>
      </c>
      <c r="X262" s="18" t="s">
        <v>342</v>
      </c>
      <c r="Y262" s="18">
        <f t="shared" si="31"/>
        <v>0</v>
      </c>
      <c r="Z262" s="17" t="s">
        <v>21</v>
      </c>
      <c r="AA262" s="17">
        <v>2</v>
      </c>
      <c r="AB262" s="17" t="s">
        <v>214</v>
      </c>
      <c r="AC262" s="17" t="s">
        <v>210</v>
      </c>
      <c r="AD262" s="17" t="s">
        <v>187</v>
      </c>
      <c r="AE262" s="17" t="s">
        <v>189</v>
      </c>
      <c r="AF262" s="1">
        <f t="shared" si="28"/>
        <v>1</v>
      </c>
      <c r="AG262" s="1">
        <f t="shared" si="29"/>
        <v>0</v>
      </c>
      <c r="AH262" s="1">
        <f t="shared" si="30"/>
        <v>0</v>
      </c>
    </row>
    <row r="263" spans="19:34">
      <c r="S263" s="17">
        <v>6</v>
      </c>
      <c r="T263" s="18"/>
      <c r="U263" s="17">
        <v>1</v>
      </c>
      <c r="V263" s="17" t="s">
        <v>73</v>
      </c>
      <c r="W263" s="18">
        <v>4</v>
      </c>
      <c r="X263" s="18" t="s">
        <v>342</v>
      </c>
      <c r="Y263" s="18">
        <f t="shared" si="31"/>
        <v>0</v>
      </c>
      <c r="Z263" s="17" t="s">
        <v>127</v>
      </c>
      <c r="AA263" s="17">
        <v>2</v>
      </c>
      <c r="AB263" s="17" t="s">
        <v>204</v>
      </c>
      <c r="AC263" s="17" t="s">
        <v>210</v>
      </c>
      <c r="AD263" s="17" t="s">
        <v>180</v>
      </c>
      <c r="AE263" s="17" t="s">
        <v>189</v>
      </c>
      <c r="AF263" s="1">
        <f t="shared" si="28"/>
        <v>1</v>
      </c>
      <c r="AG263" s="1">
        <f t="shared" si="29"/>
        <v>0</v>
      </c>
      <c r="AH263" s="1">
        <f t="shared" si="30"/>
        <v>0</v>
      </c>
    </row>
    <row r="264" spans="19:34">
      <c r="S264" s="17">
        <v>7</v>
      </c>
      <c r="T264" s="18"/>
      <c r="U264" s="17">
        <v>1</v>
      </c>
      <c r="V264" s="17" t="s">
        <v>73</v>
      </c>
      <c r="W264" s="18">
        <v>4</v>
      </c>
      <c r="X264" s="18" t="s">
        <v>342</v>
      </c>
      <c r="Y264" s="18">
        <f t="shared" si="31"/>
        <v>0</v>
      </c>
      <c r="Z264" s="17" t="s">
        <v>18</v>
      </c>
      <c r="AA264" s="17">
        <v>2</v>
      </c>
      <c r="AB264" s="17" t="s">
        <v>187</v>
      </c>
      <c r="AC264" s="17" t="s">
        <v>206</v>
      </c>
      <c r="AD264" s="17" t="s">
        <v>183</v>
      </c>
      <c r="AE264" s="17" t="s">
        <v>196</v>
      </c>
      <c r="AF264" s="1">
        <f t="shared" si="28"/>
        <v>1</v>
      </c>
      <c r="AG264" s="1">
        <f t="shared" si="29"/>
        <v>0</v>
      </c>
      <c r="AH264" s="1">
        <f t="shared" si="30"/>
        <v>0</v>
      </c>
    </row>
    <row r="265" spans="19:34">
      <c r="S265" s="17">
        <v>8</v>
      </c>
      <c r="T265" s="18"/>
      <c r="U265" s="17">
        <v>1</v>
      </c>
      <c r="V265" s="17" t="s">
        <v>73</v>
      </c>
      <c r="W265" s="18">
        <v>4</v>
      </c>
      <c r="X265" s="18" t="s">
        <v>342</v>
      </c>
      <c r="Y265" s="18">
        <f t="shared" si="31"/>
        <v>0</v>
      </c>
      <c r="Z265" s="17" t="s">
        <v>69</v>
      </c>
      <c r="AA265" s="17">
        <v>2</v>
      </c>
      <c r="AB265" s="17" t="s">
        <v>200</v>
      </c>
      <c r="AC265" s="17" t="s">
        <v>198</v>
      </c>
      <c r="AD265" s="17" t="s">
        <v>212</v>
      </c>
      <c r="AE265" s="17" t="s">
        <v>185</v>
      </c>
      <c r="AF265" s="1">
        <f t="shared" si="28"/>
        <v>1</v>
      </c>
      <c r="AG265" s="1">
        <f t="shared" si="29"/>
        <v>0</v>
      </c>
      <c r="AH265" s="1">
        <f t="shared" si="30"/>
        <v>0</v>
      </c>
    </row>
    <row r="266" spans="19:34">
      <c r="S266" s="17">
        <v>9</v>
      </c>
      <c r="T266" s="18"/>
      <c r="U266" s="17">
        <v>1</v>
      </c>
      <c r="V266" s="17" t="s">
        <v>73</v>
      </c>
      <c r="W266" s="18">
        <v>3</v>
      </c>
      <c r="X266" s="18" t="s">
        <v>342</v>
      </c>
      <c r="Y266" s="18">
        <f t="shared" si="31"/>
        <v>1</v>
      </c>
      <c r="Z266" s="17" t="s">
        <v>119</v>
      </c>
      <c r="AA266" s="17">
        <v>2</v>
      </c>
      <c r="AB266" s="17" t="s">
        <v>202</v>
      </c>
      <c r="AC266" s="17" t="s">
        <v>164</v>
      </c>
      <c r="AD266" s="17" t="s">
        <v>191</v>
      </c>
      <c r="AE266" s="17" t="s">
        <v>176</v>
      </c>
      <c r="AF266" s="1">
        <f t="shared" si="28"/>
        <v>1</v>
      </c>
      <c r="AG266" s="1">
        <f t="shared" si="29"/>
        <v>0</v>
      </c>
      <c r="AH266" s="1">
        <f t="shared" si="30"/>
        <v>0</v>
      </c>
    </row>
    <row r="267" spans="19:34">
      <c r="S267" s="17">
        <v>10</v>
      </c>
      <c r="T267" s="18"/>
      <c r="U267" s="17">
        <v>2</v>
      </c>
      <c r="V267" s="17" t="s">
        <v>73</v>
      </c>
      <c r="W267" s="18">
        <v>4</v>
      </c>
      <c r="X267" s="18" t="s">
        <v>342</v>
      </c>
      <c r="Y267" s="18">
        <f t="shared" si="31"/>
        <v>0</v>
      </c>
      <c r="Z267" s="17" t="s">
        <v>29</v>
      </c>
      <c r="AA267" s="17">
        <v>1</v>
      </c>
      <c r="AB267" s="17" t="s">
        <v>172</v>
      </c>
      <c r="AC267" s="17" t="s">
        <v>208</v>
      </c>
      <c r="AD267" s="17" t="s">
        <v>214</v>
      </c>
      <c r="AE267" s="17" t="s">
        <v>193</v>
      </c>
      <c r="AF267" s="1">
        <f t="shared" si="28"/>
        <v>1</v>
      </c>
      <c r="AG267" s="1">
        <f t="shared" si="29"/>
        <v>0</v>
      </c>
      <c r="AH267" s="1">
        <f t="shared" si="30"/>
        <v>0</v>
      </c>
    </row>
    <row r="268" spans="19:34">
      <c r="S268" s="17">
        <v>11</v>
      </c>
      <c r="T268" s="18"/>
      <c r="U268" s="17">
        <v>2</v>
      </c>
      <c r="V268" s="17" t="s">
        <v>73</v>
      </c>
      <c r="W268" s="18">
        <v>4</v>
      </c>
      <c r="X268" s="18" t="s">
        <v>342</v>
      </c>
      <c r="Y268" s="18">
        <f t="shared" si="31"/>
        <v>0</v>
      </c>
      <c r="Z268" s="17" t="s">
        <v>51</v>
      </c>
      <c r="AA268" s="17">
        <v>1</v>
      </c>
      <c r="AB268" s="17" t="s">
        <v>193</v>
      </c>
      <c r="AC268" s="17" t="s">
        <v>206</v>
      </c>
      <c r="AD268" s="17" t="s">
        <v>172</v>
      </c>
      <c r="AE268" s="17" t="s">
        <v>210</v>
      </c>
      <c r="AF268" s="1">
        <f t="shared" si="28"/>
        <v>1</v>
      </c>
      <c r="AG268" s="1">
        <f t="shared" si="29"/>
        <v>0</v>
      </c>
      <c r="AH268" s="1">
        <f t="shared" si="30"/>
        <v>0</v>
      </c>
    </row>
    <row r="269" spans="19:34">
      <c r="S269" s="17">
        <v>12</v>
      </c>
      <c r="T269" s="18"/>
      <c r="U269" s="17">
        <v>2</v>
      </c>
      <c r="V269" s="17" t="s">
        <v>73</v>
      </c>
      <c r="W269" s="18">
        <v>4</v>
      </c>
      <c r="X269" s="18" t="s">
        <v>342</v>
      </c>
      <c r="Y269" s="18">
        <f t="shared" si="31"/>
        <v>0</v>
      </c>
      <c r="Z269" s="17" t="s">
        <v>35</v>
      </c>
      <c r="AA269" s="17">
        <v>1</v>
      </c>
      <c r="AB269" s="17" t="s">
        <v>214</v>
      </c>
      <c r="AC269" s="17" t="s">
        <v>180</v>
      </c>
      <c r="AD269" s="17" t="s">
        <v>176</v>
      </c>
      <c r="AE269" s="17" t="s">
        <v>202</v>
      </c>
      <c r="AF269" s="1">
        <f t="shared" si="28"/>
        <v>1</v>
      </c>
      <c r="AG269" s="1">
        <f t="shared" si="29"/>
        <v>0</v>
      </c>
      <c r="AH269" s="1">
        <f t="shared" si="30"/>
        <v>0</v>
      </c>
    </row>
    <row r="270" spans="19:34">
      <c r="S270" s="17">
        <v>13</v>
      </c>
      <c r="T270" s="18"/>
      <c r="U270" s="17">
        <v>1</v>
      </c>
      <c r="V270" s="17" t="s">
        <v>73</v>
      </c>
      <c r="W270" s="18">
        <v>4</v>
      </c>
      <c r="X270" s="18" t="s">
        <v>342</v>
      </c>
      <c r="Y270" s="18">
        <f t="shared" si="31"/>
        <v>0</v>
      </c>
      <c r="Z270" s="17" t="s">
        <v>47</v>
      </c>
      <c r="AA270" s="17">
        <v>2</v>
      </c>
      <c r="AB270" s="17" t="s">
        <v>183</v>
      </c>
      <c r="AC270" s="17" t="s">
        <v>208</v>
      </c>
      <c r="AD270" s="17" t="s">
        <v>189</v>
      </c>
      <c r="AE270" s="17" t="s">
        <v>196</v>
      </c>
      <c r="AF270" s="1">
        <f t="shared" si="28"/>
        <v>1</v>
      </c>
      <c r="AG270" s="1">
        <f t="shared" si="29"/>
        <v>0</v>
      </c>
      <c r="AH270" s="1">
        <f t="shared" si="30"/>
        <v>0</v>
      </c>
    </row>
    <row r="271" spans="19:34">
      <c r="S271" s="17">
        <v>14</v>
      </c>
      <c r="T271" s="18"/>
      <c r="U271" s="17">
        <v>2</v>
      </c>
      <c r="V271" s="17" t="s">
        <v>73</v>
      </c>
      <c r="W271" s="18">
        <v>3</v>
      </c>
      <c r="X271" s="18" t="s">
        <v>342</v>
      </c>
      <c r="Y271" s="18">
        <f t="shared" si="31"/>
        <v>1</v>
      </c>
      <c r="Z271" s="17" t="s">
        <v>55</v>
      </c>
      <c r="AA271" s="17">
        <v>1</v>
      </c>
      <c r="AB271" s="17" t="s">
        <v>204</v>
      </c>
      <c r="AC271" s="17" t="s">
        <v>185</v>
      </c>
      <c r="AD271" s="17" t="s">
        <v>164</v>
      </c>
      <c r="AE271" s="17" t="s">
        <v>187</v>
      </c>
      <c r="AF271" s="1">
        <f t="shared" si="28"/>
        <v>1</v>
      </c>
      <c r="AG271" s="1">
        <f t="shared" si="29"/>
        <v>0</v>
      </c>
      <c r="AH271" s="1">
        <f t="shared" si="30"/>
        <v>0</v>
      </c>
    </row>
    <row r="272" spans="19:34">
      <c r="S272" s="17">
        <v>15</v>
      </c>
      <c r="T272" s="18"/>
      <c r="U272" s="17">
        <v>1</v>
      </c>
      <c r="V272" s="17" t="s">
        <v>73</v>
      </c>
      <c r="W272" s="18">
        <v>1</v>
      </c>
      <c r="X272" s="18" t="s">
        <v>342</v>
      </c>
      <c r="Y272" s="18">
        <f t="shared" si="31"/>
        <v>3</v>
      </c>
      <c r="Z272" s="17" t="s">
        <v>63</v>
      </c>
      <c r="AA272" s="17">
        <v>2</v>
      </c>
      <c r="AB272" s="17" t="s">
        <v>198</v>
      </c>
      <c r="AC272" s="17" t="s">
        <v>212</v>
      </c>
      <c r="AD272" s="17" t="s">
        <v>200</v>
      </c>
      <c r="AE272" s="17" t="s">
        <v>191</v>
      </c>
      <c r="AF272" s="1">
        <f t="shared" si="28"/>
        <v>0</v>
      </c>
      <c r="AG272" s="1">
        <f t="shared" si="29"/>
        <v>0</v>
      </c>
      <c r="AH272" s="1">
        <f t="shared" si="30"/>
        <v>1</v>
      </c>
    </row>
    <row r="273" spans="19:34">
      <c r="S273" s="58" t="s">
        <v>339</v>
      </c>
      <c r="T273" s="58" t="s">
        <v>340</v>
      </c>
      <c r="U273" s="58" t="s">
        <v>341</v>
      </c>
      <c r="V273" s="58" t="s">
        <v>1</v>
      </c>
      <c r="W273" s="66" t="s">
        <v>220</v>
      </c>
      <c r="X273" s="66"/>
      <c r="Y273" s="66"/>
      <c r="Z273" s="58" t="s">
        <v>1</v>
      </c>
      <c r="AA273" s="58" t="s">
        <v>341</v>
      </c>
      <c r="AB273" s="58" t="s">
        <v>225</v>
      </c>
      <c r="AC273" s="58" t="s">
        <v>228</v>
      </c>
      <c r="AD273" s="58" t="s">
        <v>230</v>
      </c>
      <c r="AE273" s="58" t="s">
        <v>232</v>
      </c>
      <c r="AF273" s="1">
        <f t="shared" si="28"/>
        <v>1</v>
      </c>
      <c r="AG273" s="1">
        <f t="shared" si="29"/>
        <v>0</v>
      </c>
      <c r="AH273" s="1">
        <f t="shared" si="30"/>
        <v>0</v>
      </c>
    </row>
    <row r="274" spans="19:34">
      <c r="S274" s="17">
        <v>1</v>
      </c>
      <c r="T274" s="18"/>
      <c r="U274" s="17">
        <v>1</v>
      </c>
      <c r="V274" s="17" t="s">
        <v>63</v>
      </c>
      <c r="W274" s="18">
        <v>4</v>
      </c>
      <c r="X274" s="18" t="s">
        <v>342</v>
      </c>
      <c r="Y274" s="18">
        <f t="shared" ref="Y274:Y288" si="32">IF(W274="","",4-W274)</f>
        <v>0</v>
      </c>
      <c r="Z274" s="17" t="s">
        <v>91</v>
      </c>
      <c r="AA274" s="17">
        <v>2</v>
      </c>
      <c r="AB274" s="17" t="s">
        <v>191</v>
      </c>
      <c r="AC274" s="17" t="s">
        <v>185</v>
      </c>
      <c r="AD274" s="17" t="s">
        <v>206</v>
      </c>
      <c r="AE274" s="17" t="s">
        <v>202</v>
      </c>
      <c r="AF274" s="1">
        <f t="shared" si="28"/>
        <v>1</v>
      </c>
      <c r="AG274" s="1">
        <f t="shared" si="29"/>
        <v>0</v>
      </c>
      <c r="AH274" s="1">
        <f t="shared" si="30"/>
        <v>0</v>
      </c>
    </row>
    <row r="275" spans="19:34">
      <c r="S275" s="17">
        <v>2</v>
      </c>
      <c r="T275" s="18"/>
      <c r="U275" s="17">
        <v>2</v>
      </c>
      <c r="V275" s="17" t="s">
        <v>63</v>
      </c>
      <c r="W275" s="18">
        <v>4</v>
      </c>
      <c r="X275" s="18" t="s">
        <v>342</v>
      </c>
      <c r="Y275" s="18">
        <f t="shared" si="32"/>
        <v>0</v>
      </c>
      <c r="Z275" s="17" t="s">
        <v>378</v>
      </c>
      <c r="AA275" s="17">
        <v>1</v>
      </c>
      <c r="AB275" s="17" t="s">
        <v>180</v>
      </c>
      <c r="AC275" s="17" t="s">
        <v>172</v>
      </c>
      <c r="AD275" s="17" t="s">
        <v>200</v>
      </c>
      <c r="AE275" s="17" t="s">
        <v>198</v>
      </c>
      <c r="AF275" s="1">
        <f t="shared" si="28"/>
        <v>1</v>
      </c>
      <c r="AG275" s="1">
        <f t="shared" si="29"/>
        <v>0</v>
      </c>
      <c r="AH275" s="1">
        <f t="shared" si="30"/>
        <v>0</v>
      </c>
    </row>
    <row r="276" spans="19:34">
      <c r="S276" s="17">
        <v>3</v>
      </c>
      <c r="T276" s="18"/>
      <c r="U276" s="17">
        <v>2</v>
      </c>
      <c r="V276" s="17" t="s">
        <v>63</v>
      </c>
      <c r="W276" s="18">
        <v>4</v>
      </c>
      <c r="X276" s="18" t="s">
        <v>342</v>
      </c>
      <c r="Y276" s="18">
        <f t="shared" si="32"/>
        <v>0</v>
      </c>
      <c r="Z276" s="17" t="s">
        <v>53</v>
      </c>
      <c r="AA276" s="17">
        <v>1</v>
      </c>
      <c r="AB276" s="17" t="s">
        <v>176</v>
      </c>
      <c r="AC276" s="17" t="s">
        <v>183</v>
      </c>
      <c r="AD276" s="17" t="s">
        <v>204</v>
      </c>
      <c r="AE276" s="17" t="s">
        <v>212</v>
      </c>
      <c r="AF276" s="1">
        <f t="shared" si="28"/>
        <v>1</v>
      </c>
      <c r="AG276" s="1">
        <f t="shared" si="29"/>
        <v>0</v>
      </c>
      <c r="AH276" s="1">
        <f t="shared" si="30"/>
        <v>0</v>
      </c>
    </row>
    <row r="277" spans="19:34">
      <c r="S277" s="17">
        <v>4</v>
      </c>
      <c r="T277" s="18"/>
      <c r="U277" s="17">
        <v>2</v>
      </c>
      <c r="V277" s="17" t="s">
        <v>63</v>
      </c>
      <c r="W277" s="18">
        <v>4</v>
      </c>
      <c r="X277" s="18" t="s">
        <v>342</v>
      </c>
      <c r="Y277" s="18">
        <f t="shared" si="32"/>
        <v>0</v>
      </c>
      <c r="Z277" s="17" t="s">
        <v>57</v>
      </c>
      <c r="AA277" s="17">
        <v>1</v>
      </c>
      <c r="AB277" s="17" t="s">
        <v>196</v>
      </c>
      <c r="AC277" s="17" t="s">
        <v>193</v>
      </c>
      <c r="AD277" s="17" t="s">
        <v>208</v>
      </c>
      <c r="AE277" s="17" t="s">
        <v>164</v>
      </c>
      <c r="AF277" s="1">
        <f t="shared" si="28"/>
        <v>1</v>
      </c>
      <c r="AG277" s="1">
        <f t="shared" si="29"/>
        <v>0</v>
      </c>
      <c r="AH277" s="1">
        <f t="shared" si="30"/>
        <v>0</v>
      </c>
    </row>
    <row r="278" spans="19:34">
      <c r="S278" s="17">
        <v>5</v>
      </c>
      <c r="T278" s="18"/>
      <c r="U278" s="17">
        <v>1</v>
      </c>
      <c r="V278" s="17" t="s">
        <v>63</v>
      </c>
      <c r="W278" s="18">
        <v>4</v>
      </c>
      <c r="X278" s="18" t="s">
        <v>342</v>
      </c>
      <c r="Y278" s="18">
        <f t="shared" si="32"/>
        <v>0</v>
      </c>
      <c r="Z278" s="17" t="s">
        <v>127</v>
      </c>
      <c r="AA278" s="17">
        <v>2</v>
      </c>
      <c r="AB278" s="17" t="s">
        <v>214</v>
      </c>
      <c r="AC278" s="17" t="s">
        <v>210</v>
      </c>
      <c r="AD278" s="17" t="s">
        <v>187</v>
      </c>
      <c r="AE278" s="17" t="s">
        <v>189</v>
      </c>
      <c r="AF278" s="1">
        <f t="shared" si="28"/>
        <v>1</v>
      </c>
      <c r="AG278" s="1">
        <f t="shared" si="29"/>
        <v>0</v>
      </c>
      <c r="AH278" s="1">
        <f t="shared" si="30"/>
        <v>0</v>
      </c>
    </row>
    <row r="279" spans="19:34">
      <c r="S279" s="17">
        <v>6</v>
      </c>
      <c r="T279" s="18"/>
      <c r="U279" s="17">
        <v>2</v>
      </c>
      <c r="V279" s="17" t="s">
        <v>63</v>
      </c>
      <c r="W279" s="18">
        <v>4</v>
      </c>
      <c r="X279" s="18" t="s">
        <v>342</v>
      </c>
      <c r="Y279" s="18">
        <f t="shared" si="32"/>
        <v>0</v>
      </c>
      <c r="Z279" s="17" t="s">
        <v>21</v>
      </c>
      <c r="AA279" s="17">
        <v>1</v>
      </c>
      <c r="AB279" s="17" t="s">
        <v>204</v>
      </c>
      <c r="AC279" s="17" t="s">
        <v>210</v>
      </c>
      <c r="AD279" s="17" t="s">
        <v>180</v>
      </c>
      <c r="AE279" s="17" t="s">
        <v>189</v>
      </c>
      <c r="AF279" s="1">
        <f t="shared" si="28"/>
        <v>1</v>
      </c>
      <c r="AG279" s="1">
        <f t="shared" si="29"/>
        <v>0</v>
      </c>
      <c r="AH279" s="1">
        <f t="shared" si="30"/>
        <v>0</v>
      </c>
    </row>
    <row r="280" spans="19:34">
      <c r="S280" s="17">
        <v>7</v>
      </c>
      <c r="T280" s="18"/>
      <c r="U280" s="17">
        <v>1</v>
      </c>
      <c r="V280" s="17" t="s">
        <v>63</v>
      </c>
      <c r="W280" s="18">
        <v>3</v>
      </c>
      <c r="X280" s="18" t="s">
        <v>342</v>
      </c>
      <c r="Y280" s="18">
        <f t="shared" si="32"/>
        <v>1</v>
      </c>
      <c r="Z280" s="17" t="s">
        <v>69</v>
      </c>
      <c r="AA280" s="17">
        <v>2</v>
      </c>
      <c r="AB280" s="17" t="s">
        <v>187</v>
      </c>
      <c r="AC280" s="17" t="s">
        <v>206</v>
      </c>
      <c r="AD280" s="17" t="s">
        <v>183</v>
      </c>
      <c r="AE280" s="17" t="s">
        <v>196</v>
      </c>
      <c r="AF280" s="1">
        <f t="shared" si="28"/>
        <v>1</v>
      </c>
      <c r="AG280" s="1">
        <f t="shared" si="29"/>
        <v>0</v>
      </c>
      <c r="AH280" s="1">
        <f t="shared" si="30"/>
        <v>0</v>
      </c>
    </row>
    <row r="281" spans="19:34">
      <c r="S281" s="17">
        <v>8</v>
      </c>
      <c r="T281" s="18"/>
      <c r="U281" s="17">
        <v>1</v>
      </c>
      <c r="V281" s="17" t="s">
        <v>63</v>
      </c>
      <c r="W281" s="18">
        <v>4</v>
      </c>
      <c r="X281" s="18" t="s">
        <v>342</v>
      </c>
      <c r="Y281" s="18">
        <f t="shared" si="32"/>
        <v>0</v>
      </c>
      <c r="Z281" s="17" t="s">
        <v>18</v>
      </c>
      <c r="AA281" s="17">
        <v>2</v>
      </c>
      <c r="AB281" s="17" t="s">
        <v>200</v>
      </c>
      <c r="AC281" s="17" t="s">
        <v>198</v>
      </c>
      <c r="AD281" s="17" t="s">
        <v>212</v>
      </c>
      <c r="AE281" s="17" t="s">
        <v>185</v>
      </c>
      <c r="AF281" s="1">
        <f t="shared" si="28"/>
        <v>1</v>
      </c>
      <c r="AG281" s="1">
        <f t="shared" si="29"/>
        <v>0</v>
      </c>
      <c r="AH281" s="1">
        <f t="shared" si="30"/>
        <v>0</v>
      </c>
    </row>
    <row r="282" spans="19:34">
      <c r="S282" s="17">
        <v>9</v>
      </c>
      <c r="T282" s="18"/>
      <c r="U282" s="17">
        <v>2</v>
      </c>
      <c r="V282" s="17" t="s">
        <v>63</v>
      </c>
      <c r="W282" s="18">
        <v>3</v>
      </c>
      <c r="X282" s="18" t="s">
        <v>342</v>
      </c>
      <c r="Y282" s="18">
        <f t="shared" si="32"/>
        <v>1</v>
      </c>
      <c r="Z282" s="17" t="s">
        <v>29</v>
      </c>
      <c r="AA282" s="17">
        <v>1</v>
      </c>
      <c r="AB282" s="17" t="s">
        <v>202</v>
      </c>
      <c r="AC282" s="17" t="s">
        <v>164</v>
      </c>
      <c r="AD282" s="17" t="s">
        <v>191</v>
      </c>
      <c r="AE282" s="17" t="s">
        <v>176</v>
      </c>
      <c r="AF282" s="1">
        <f t="shared" si="28"/>
        <v>1</v>
      </c>
      <c r="AG282" s="1">
        <f t="shared" si="29"/>
        <v>0</v>
      </c>
      <c r="AH282" s="1">
        <f t="shared" si="30"/>
        <v>0</v>
      </c>
    </row>
    <row r="283" spans="19:34">
      <c r="S283" s="17">
        <v>10</v>
      </c>
      <c r="T283" s="18"/>
      <c r="U283" s="17">
        <v>2</v>
      </c>
      <c r="V283" s="17" t="s">
        <v>63</v>
      </c>
      <c r="W283" s="18">
        <v>4</v>
      </c>
      <c r="X283" s="18" t="s">
        <v>342</v>
      </c>
      <c r="Y283" s="18">
        <f t="shared" si="32"/>
        <v>0</v>
      </c>
      <c r="Z283" s="17" t="s">
        <v>119</v>
      </c>
      <c r="AA283" s="17">
        <v>1</v>
      </c>
      <c r="AB283" s="17" t="s">
        <v>172</v>
      </c>
      <c r="AC283" s="17" t="s">
        <v>208</v>
      </c>
      <c r="AD283" s="17" t="s">
        <v>214</v>
      </c>
      <c r="AE283" s="17" t="s">
        <v>193</v>
      </c>
      <c r="AF283" s="1">
        <f t="shared" si="28"/>
        <v>1</v>
      </c>
      <c r="AG283" s="1">
        <f t="shared" si="29"/>
        <v>0</v>
      </c>
      <c r="AH283" s="1">
        <f t="shared" si="30"/>
        <v>0</v>
      </c>
    </row>
    <row r="284" spans="19:34">
      <c r="S284" s="17">
        <v>11</v>
      </c>
      <c r="T284" s="18"/>
      <c r="U284" s="17">
        <v>1</v>
      </c>
      <c r="V284" s="17" t="s">
        <v>63</v>
      </c>
      <c r="W284" s="18">
        <v>3</v>
      </c>
      <c r="X284" s="18" t="s">
        <v>342</v>
      </c>
      <c r="Y284" s="18">
        <f t="shared" si="32"/>
        <v>1</v>
      </c>
      <c r="Z284" s="17" t="s">
        <v>35</v>
      </c>
      <c r="AA284" s="17">
        <v>2</v>
      </c>
      <c r="AB284" s="17" t="s">
        <v>193</v>
      </c>
      <c r="AC284" s="17" t="s">
        <v>206</v>
      </c>
      <c r="AD284" s="17" t="s">
        <v>172</v>
      </c>
      <c r="AE284" s="17" t="s">
        <v>210</v>
      </c>
      <c r="AF284" s="1">
        <f t="shared" si="28"/>
        <v>1</v>
      </c>
      <c r="AG284" s="1">
        <f t="shared" si="29"/>
        <v>0</v>
      </c>
      <c r="AH284" s="1">
        <f t="shared" si="30"/>
        <v>0</v>
      </c>
    </row>
    <row r="285" spans="19:34">
      <c r="S285" s="17">
        <v>12</v>
      </c>
      <c r="T285" s="18"/>
      <c r="U285" s="17">
        <v>2</v>
      </c>
      <c r="V285" s="17" t="s">
        <v>63</v>
      </c>
      <c r="W285" s="18">
        <v>4</v>
      </c>
      <c r="X285" s="18" t="s">
        <v>342</v>
      </c>
      <c r="Y285" s="18">
        <f t="shared" si="32"/>
        <v>0</v>
      </c>
      <c r="Z285" s="17" t="s">
        <v>51</v>
      </c>
      <c r="AA285" s="17">
        <v>1</v>
      </c>
      <c r="AB285" s="17" t="s">
        <v>214</v>
      </c>
      <c r="AC285" s="17" t="s">
        <v>180</v>
      </c>
      <c r="AD285" s="17" t="s">
        <v>176</v>
      </c>
      <c r="AE285" s="17" t="s">
        <v>202</v>
      </c>
      <c r="AF285" s="1">
        <f t="shared" si="28"/>
        <v>1</v>
      </c>
      <c r="AG285" s="1">
        <f t="shared" si="29"/>
        <v>0</v>
      </c>
      <c r="AH285" s="1">
        <f t="shared" si="30"/>
        <v>0</v>
      </c>
    </row>
    <row r="286" spans="19:34">
      <c r="S286" s="17">
        <v>13</v>
      </c>
      <c r="T286" s="18"/>
      <c r="U286" s="17">
        <v>1</v>
      </c>
      <c r="V286" s="17" t="s">
        <v>63</v>
      </c>
      <c r="W286" s="18">
        <v>4</v>
      </c>
      <c r="X286" s="18" t="s">
        <v>342</v>
      </c>
      <c r="Y286" s="18">
        <f t="shared" si="32"/>
        <v>0</v>
      </c>
      <c r="Z286" s="17" t="s">
        <v>55</v>
      </c>
      <c r="AA286" s="17">
        <v>2</v>
      </c>
      <c r="AB286" s="17" t="s">
        <v>183</v>
      </c>
      <c r="AC286" s="17" t="s">
        <v>208</v>
      </c>
      <c r="AD286" s="17" t="s">
        <v>189</v>
      </c>
      <c r="AE286" s="17" t="s">
        <v>196</v>
      </c>
      <c r="AF286" s="1">
        <f t="shared" si="28"/>
        <v>1</v>
      </c>
      <c r="AG286" s="1">
        <f t="shared" si="29"/>
        <v>0</v>
      </c>
      <c r="AH286" s="1">
        <f t="shared" si="30"/>
        <v>0</v>
      </c>
    </row>
    <row r="287" spans="19:34">
      <c r="S287" s="17">
        <v>14</v>
      </c>
      <c r="T287" s="18"/>
      <c r="U287" s="17">
        <v>1</v>
      </c>
      <c r="V287" s="17" t="s">
        <v>63</v>
      </c>
      <c r="W287" s="18">
        <v>4</v>
      </c>
      <c r="X287" s="18" t="s">
        <v>342</v>
      </c>
      <c r="Y287" s="18">
        <f t="shared" si="32"/>
        <v>0</v>
      </c>
      <c r="Z287" s="17" t="s">
        <v>47</v>
      </c>
      <c r="AA287" s="17">
        <v>2</v>
      </c>
      <c r="AB287" s="17" t="s">
        <v>204</v>
      </c>
      <c r="AC287" s="17" t="s">
        <v>185</v>
      </c>
      <c r="AD287" s="17" t="s">
        <v>164</v>
      </c>
      <c r="AE287" s="17" t="s">
        <v>187</v>
      </c>
      <c r="AF287" s="1">
        <f t="shared" si="28"/>
        <v>1</v>
      </c>
      <c r="AG287" s="1">
        <f t="shared" si="29"/>
        <v>0</v>
      </c>
      <c r="AH287" s="1">
        <f t="shared" si="30"/>
        <v>0</v>
      </c>
    </row>
    <row r="288" spans="19:34">
      <c r="S288" s="17">
        <v>15</v>
      </c>
      <c r="T288" s="18"/>
      <c r="U288" s="17">
        <v>2</v>
      </c>
      <c r="V288" s="17" t="s">
        <v>63</v>
      </c>
      <c r="W288" s="18">
        <v>3</v>
      </c>
      <c r="X288" s="18" t="s">
        <v>342</v>
      </c>
      <c r="Y288" s="18">
        <f t="shared" si="32"/>
        <v>1</v>
      </c>
      <c r="Z288" s="17" t="s">
        <v>73</v>
      </c>
      <c r="AA288" s="17">
        <v>1</v>
      </c>
      <c r="AB288" s="17" t="s">
        <v>198</v>
      </c>
      <c r="AC288" s="17" t="s">
        <v>212</v>
      </c>
      <c r="AD288" s="17" t="s">
        <v>200</v>
      </c>
      <c r="AE288" s="17" t="s">
        <v>191</v>
      </c>
      <c r="AF288" s="1">
        <f t="shared" si="28"/>
        <v>1</v>
      </c>
      <c r="AG288" s="1">
        <f t="shared" si="29"/>
        <v>0</v>
      </c>
      <c r="AH288" s="1">
        <f t="shared" si="30"/>
        <v>0</v>
      </c>
    </row>
    <row r="289" spans="19:34">
      <c r="S289" s="58" t="s">
        <v>339</v>
      </c>
      <c r="T289" s="58" t="s">
        <v>340</v>
      </c>
      <c r="U289" s="58" t="s">
        <v>341</v>
      </c>
      <c r="V289" s="58" t="s">
        <v>1</v>
      </c>
      <c r="W289" s="66" t="s">
        <v>220</v>
      </c>
      <c r="X289" s="66"/>
      <c r="Y289" s="66"/>
      <c r="Z289" s="58" t="s">
        <v>1</v>
      </c>
      <c r="AA289" s="58" t="s">
        <v>341</v>
      </c>
      <c r="AB289" s="58" t="s">
        <v>225</v>
      </c>
      <c r="AC289" s="58" t="s">
        <v>228</v>
      </c>
      <c r="AD289" s="58" t="s">
        <v>230</v>
      </c>
      <c r="AE289" s="58" t="s">
        <v>232</v>
      </c>
      <c r="AF289" s="1">
        <f t="shared" si="28"/>
        <v>1</v>
      </c>
      <c r="AG289" s="1">
        <f t="shared" si="29"/>
        <v>0</v>
      </c>
      <c r="AH289" s="1">
        <f t="shared" si="30"/>
        <v>0</v>
      </c>
    </row>
    <row r="290" spans="19:34">
      <c r="S290" s="17">
        <v>1</v>
      </c>
      <c r="T290" s="18"/>
      <c r="U290" s="17">
        <v>2</v>
      </c>
      <c r="V290" s="17" t="s">
        <v>55</v>
      </c>
      <c r="W290" s="18">
        <v>4</v>
      </c>
      <c r="X290" s="18" t="s">
        <v>342</v>
      </c>
      <c r="Y290" s="18">
        <f t="shared" ref="Y290:Y304" si="33">IF(W290="","",4-W290)</f>
        <v>0</v>
      </c>
      <c r="Z290" s="17" t="s">
        <v>57</v>
      </c>
      <c r="AA290" s="17">
        <v>1</v>
      </c>
      <c r="AB290" s="17" t="s">
        <v>191</v>
      </c>
      <c r="AC290" s="17" t="s">
        <v>185</v>
      </c>
      <c r="AD290" s="17" t="s">
        <v>206</v>
      </c>
      <c r="AE290" s="17" t="s">
        <v>202</v>
      </c>
      <c r="AF290" s="1">
        <f t="shared" si="28"/>
        <v>1</v>
      </c>
      <c r="AG290" s="1">
        <f t="shared" si="29"/>
        <v>0</v>
      </c>
      <c r="AH290" s="1">
        <f t="shared" si="30"/>
        <v>0</v>
      </c>
    </row>
    <row r="291" spans="19:34">
      <c r="S291" s="17">
        <v>2</v>
      </c>
      <c r="T291" s="18"/>
      <c r="U291" s="17">
        <v>1</v>
      </c>
      <c r="V291" s="17" t="s">
        <v>55</v>
      </c>
      <c r="W291" s="18">
        <v>4</v>
      </c>
      <c r="X291" s="18" t="s">
        <v>342</v>
      </c>
      <c r="Y291" s="18">
        <f t="shared" si="33"/>
        <v>0</v>
      </c>
      <c r="Z291" s="17" t="s">
        <v>53</v>
      </c>
      <c r="AA291" s="17">
        <v>2</v>
      </c>
      <c r="AB291" s="17" t="s">
        <v>180</v>
      </c>
      <c r="AC291" s="17" t="s">
        <v>172</v>
      </c>
      <c r="AD291" s="17" t="s">
        <v>200</v>
      </c>
      <c r="AE291" s="17" t="s">
        <v>198</v>
      </c>
      <c r="AF291" s="1">
        <f t="shared" si="28"/>
        <v>1</v>
      </c>
      <c r="AG291" s="1">
        <f t="shared" si="29"/>
        <v>0</v>
      </c>
      <c r="AH291" s="1">
        <f t="shared" si="30"/>
        <v>0</v>
      </c>
    </row>
    <row r="292" spans="19:34">
      <c r="S292" s="17">
        <v>3</v>
      </c>
      <c r="T292" s="18"/>
      <c r="U292" s="17">
        <v>1</v>
      </c>
      <c r="V292" s="17" t="s">
        <v>55</v>
      </c>
      <c r="W292" s="18">
        <v>4</v>
      </c>
      <c r="X292" s="18" t="s">
        <v>342</v>
      </c>
      <c r="Y292" s="18">
        <f t="shared" si="33"/>
        <v>0</v>
      </c>
      <c r="Z292" s="17" t="s">
        <v>378</v>
      </c>
      <c r="AA292" s="17">
        <v>2</v>
      </c>
      <c r="AB292" s="17" t="s">
        <v>176</v>
      </c>
      <c r="AC292" s="17" t="s">
        <v>183</v>
      </c>
      <c r="AD292" s="17" t="s">
        <v>204</v>
      </c>
      <c r="AE292" s="17" t="s">
        <v>212</v>
      </c>
      <c r="AF292" s="1">
        <f t="shared" si="28"/>
        <v>1</v>
      </c>
      <c r="AG292" s="1">
        <f t="shared" si="29"/>
        <v>0</v>
      </c>
      <c r="AH292" s="1">
        <f t="shared" si="30"/>
        <v>0</v>
      </c>
    </row>
    <row r="293" spans="19:34">
      <c r="S293" s="17">
        <v>4</v>
      </c>
      <c r="T293" s="18"/>
      <c r="U293" s="17">
        <v>1</v>
      </c>
      <c r="V293" s="17" t="s">
        <v>55</v>
      </c>
      <c r="W293" s="18">
        <v>4</v>
      </c>
      <c r="X293" s="18" t="s">
        <v>342</v>
      </c>
      <c r="Y293" s="18">
        <f t="shared" si="33"/>
        <v>0</v>
      </c>
      <c r="Z293" s="17" t="s">
        <v>91</v>
      </c>
      <c r="AA293" s="17">
        <v>2</v>
      </c>
      <c r="AB293" s="17" t="s">
        <v>196</v>
      </c>
      <c r="AC293" s="17" t="s">
        <v>193</v>
      </c>
      <c r="AD293" s="17" t="s">
        <v>208</v>
      </c>
      <c r="AE293" s="17" t="s">
        <v>164</v>
      </c>
      <c r="AF293" s="1">
        <f t="shared" si="28"/>
        <v>1</v>
      </c>
      <c r="AG293" s="1">
        <f t="shared" si="29"/>
        <v>0</v>
      </c>
      <c r="AH293" s="1">
        <f t="shared" si="30"/>
        <v>0</v>
      </c>
    </row>
    <row r="294" spans="19:34">
      <c r="S294" s="17">
        <v>5</v>
      </c>
      <c r="T294" s="18"/>
      <c r="U294" s="17">
        <v>1</v>
      </c>
      <c r="V294" s="17" t="s">
        <v>55</v>
      </c>
      <c r="W294" s="18">
        <v>4</v>
      </c>
      <c r="X294" s="18" t="s">
        <v>342</v>
      </c>
      <c r="Y294" s="18">
        <f t="shared" si="33"/>
        <v>0</v>
      </c>
      <c r="Z294" s="17" t="s">
        <v>18</v>
      </c>
      <c r="AA294" s="17">
        <v>2</v>
      </c>
      <c r="AB294" s="17" t="s">
        <v>214</v>
      </c>
      <c r="AC294" s="17" t="s">
        <v>210</v>
      </c>
      <c r="AD294" s="17" t="s">
        <v>187</v>
      </c>
      <c r="AE294" s="17" t="s">
        <v>189</v>
      </c>
      <c r="AF294" s="1">
        <f t="shared" si="28"/>
        <v>1</v>
      </c>
      <c r="AG294" s="1">
        <f t="shared" si="29"/>
        <v>0</v>
      </c>
      <c r="AH294" s="1">
        <f t="shared" si="30"/>
        <v>0</v>
      </c>
    </row>
    <row r="295" spans="19:34">
      <c r="S295" s="17">
        <v>6</v>
      </c>
      <c r="T295" s="18"/>
      <c r="U295" s="17">
        <v>2</v>
      </c>
      <c r="V295" s="17" t="s">
        <v>55</v>
      </c>
      <c r="W295" s="18">
        <v>3</v>
      </c>
      <c r="X295" s="18" t="s">
        <v>342</v>
      </c>
      <c r="Y295" s="18">
        <f t="shared" si="33"/>
        <v>1</v>
      </c>
      <c r="Z295" s="17" t="s">
        <v>69</v>
      </c>
      <c r="AA295" s="17">
        <v>1</v>
      </c>
      <c r="AB295" s="17" t="s">
        <v>204</v>
      </c>
      <c r="AC295" s="17" t="s">
        <v>210</v>
      </c>
      <c r="AD295" s="17" t="s">
        <v>180</v>
      </c>
      <c r="AE295" s="17" t="s">
        <v>189</v>
      </c>
      <c r="AF295" s="1">
        <f t="shared" si="28"/>
        <v>1</v>
      </c>
      <c r="AG295" s="1">
        <f t="shared" si="29"/>
        <v>0</v>
      </c>
      <c r="AH295" s="1">
        <f t="shared" si="30"/>
        <v>0</v>
      </c>
    </row>
    <row r="296" spans="19:34">
      <c r="S296" s="17">
        <v>7</v>
      </c>
      <c r="T296" s="18"/>
      <c r="U296" s="17">
        <v>2</v>
      </c>
      <c r="V296" s="17" t="s">
        <v>55</v>
      </c>
      <c r="W296" s="18">
        <v>4</v>
      </c>
      <c r="X296" s="18" t="s">
        <v>342</v>
      </c>
      <c r="Y296" s="18">
        <f t="shared" si="33"/>
        <v>0</v>
      </c>
      <c r="Z296" s="17" t="s">
        <v>21</v>
      </c>
      <c r="AA296" s="17">
        <v>1</v>
      </c>
      <c r="AB296" s="17" t="s">
        <v>187</v>
      </c>
      <c r="AC296" s="17" t="s">
        <v>206</v>
      </c>
      <c r="AD296" s="17" t="s">
        <v>183</v>
      </c>
      <c r="AE296" s="17" t="s">
        <v>196</v>
      </c>
      <c r="AF296" s="1">
        <f t="shared" si="28"/>
        <v>1</v>
      </c>
      <c r="AG296" s="1">
        <f t="shared" si="29"/>
        <v>0</v>
      </c>
      <c r="AH296" s="1">
        <f t="shared" si="30"/>
        <v>0</v>
      </c>
    </row>
    <row r="297" spans="19:34">
      <c r="S297" s="17">
        <v>8</v>
      </c>
      <c r="T297" s="18"/>
      <c r="U297" s="17">
        <v>2</v>
      </c>
      <c r="V297" s="17" t="s">
        <v>55</v>
      </c>
      <c r="W297" s="18">
        <v>4</v>
      </c>
      <c r="X297" s="18" t="s">
        <v>342</v>
      </c>
      <c r="Y297" s="18">
        <f t="shared" si="33"/>
        <v>0</v>
      </c>
      <c r="Z297" s="17" t="s">
        <v>127</v>
      </c>
      <c r="AA297" s="17">
        <v>1</v>
      </c>
      <c r="AB297" s="17" t="s">
        <v>200</v>
      </c>
      <c r="AC297" s="17" t="s">
        <v>198</v>
      </c>
      <c r="AD297" s="17" t="s">
        <v>212</v>
      </c>
      <c r="AE297" s="17" t="s">
        <v>185</v>
      </c>
      <c r="AF297" s="1">
        <f t="shared" si="28"/>
        <v>1</v>
      </c>
      <c r="AG297" s="1">
        <f t="shared" si="29"/>
        <v>0</v>
      </c>
      <c r="AH297" s="1">
        <f t="shared" si="30"/>
        <v>0</v>
      </c>
    </row>
    <row r="298" spans="19:34">
      <c r="S298" s="17">
        <v>9</v>
      </c>
      <c r="T298" s="18"/>
      <c r="U298" s="17">
        <v>2</v>
      </c>
      <c r="V298" s="17" t="s">
        <v>55</v>
      </c>
      <c r="W298" s="18">
        <v>4</v>
      </c>
      <c r="X298" s="18" t="s">
        <v>342</v>
      </c>
      <c r="Y298" s="18">
        <f t="shared" si="33"/>
        <v>0</v>
      </c>
      <c r="Z298" s="17" t="s">
        <v>51</v>
      </c>
      <c r="AA298" s="17">
        <v>1</v>
      </c>
      <c r="AB298" s="17" t="s">
        <v>202</v>
      </c>
      <c r="AC298" s="17" t="s">
        <v>164</v>
      </c>
      <c r="AD298" s="17" t="s">
        <v>191</v>
      </c>
      <c r="AE298" s="17" t="s">
        <v>176</v>
      </c>
      <c r="AF298" s="1">
        <f t="shared" si="28"/>
        <v>1</v>
      </c>
      <c r="AG298" s="1">
        <f t="shared" si="29"/>
        <v>0</v>
      </c>
      <c r="AH298" s="1">
        <f t="shared" si="30"/>
        <v>0</v>
      </c>
    </row>
    <row r="299" spans="19:34">
      <c r="S299" s="17">
        <v>10</v>
      </c>
      <c r="T299" s="18"/>
      <c r="U299" s="17">
        <v>1</v>
      </c>
      <c r="V299" s="17" t="s">
        <v>55</v>
      </c>
      <c r="W299" s="18">
        <v>3</v>
      </c>
      <c r="X299" s="18" t="s">
        <v>342</v>
      </c>
      <c r="Y299" s="18">
        <f t="shared" si="33"/>
        <v>1</v>
      </c>
      <c r="Z299" s="17" t="s">
        <v>35</v>
      </c>
      <c r="AA299" s="17">
        <v>2</v>
      </c>
      <c r="AB299" s="17" t="s">
        <v>172</v>
      </c>
      <c r="AC299" s="17" t="s">
        <v>208</v>
      </c>
      <c r="AD299" s="17" t="s">
        <v>214</v>
      </c>
      <c r="AE299" s="17" t="s">
        <v>193</v>
      </c>
      <c r="AF299" s="1">
        <f t="shared" si="28"/>
        <v>1</v>
      </c>
      <c r="AG299" s="1">
        <f t="shared" si="29"/>
        <v>0</v>
      </c>
      <c r="AH299" s="1">
        <f t="shared" si="30"/>
        <v>0</v>
      </c>
    </row>
    <row r="300" spans="19:34">
      <c r="S300" s="17">
        <v>11</v>
      </c>
      <c r="T300" s="18"/>
      <c r="U300" s="17">
        <v>2</v>
      </c>
      <c r="V300" s="17" t="s">
        <v>55</v>
      </c>
      <c r="W300" s="18">
        <v>4</v>
      </c>
      <c r="X300" s="18" t="s">
        <v>342</v>
      </c>
      <c r="Y300" s="18">
        <f t="shared" si="33"/>
        <v>0</v>
      </c>
      <c r="Z300" s="17" t="s">
        <v>119</v>
      </c>
      <c r="AA300" s="17">
        <v>1</v>
      </c>
      <c r="AB300" s="17" t="s">
        <v>193</v>
      </c>
      <c r="AC300" s="17" t="s">
        <v>206</v>
      </c>
      <c r="AD300" s="17" t="s">
        <v>172</v>
      </c>
      <c r="AE300" s="17" t="s">
        <v>210</v>
      </c>
      <c r="AF300" s="1">
        <f t="shared" si="28"/>
        <v>1</v>
      </c>
      <c r="AG300" s="1">
        <f t="shared" si="29"/>
        <v>0</v>
      </c>
      <c r="AH300" s="1">
        <f t="shared" si="30"/>
        <v>0</v>
      </c>
    </row>
    <row r="301" spans="19:34">
      <c r="S301" s="17">
        <v>12</v>
      </c>
      <c r="T301" s="18"/>
      <c r="U301" s="17">
        <v>2</v>
      </c>
      <c r="V301" s="17" t="s">
        <v>55</v>
      </c>
      <c r="W301" s="18">
        <v>3</v>
      </c>
      <c r="X301" s="18" t="s">
        <v>342</v>
      </c>
      <c r="Y301" s="18">
        <f t="shared" si="33"/>
        <v>1</v>
      </c>
      <c r="Z301" s="17" t="s">
        <v>29</v>
      </c>
      <c r="AA301" s="17">
        <v>1</v>
      </c>
      <c r="AB301" s="17" t="s">
        <v>214</v>
      </c>
      <c r="AC301" s="17" t="s">
        <v>180</v>
      </c>
      <c r="AD301" s="17" t="s">
        <v>176</v>
      </c>
      <c r="AE301" s="17" t="s">
        <v>202</v>
      </c>
      <c r="AF301" s="1">
        <f t="shared" si="28"/>
        <v>1</v>
      </c>
      <c r="AG301" s="1">
        <f t="shared" si="29"/>
        <v>0</v>
      </c>
      <c r="AH301" s="1">
        <f t="shared" si="30"/>
        <v>0</v>
      </c>
    </row>
    <row r="302" spans="19:34">
      <c r="S302" s="17">
        <v>13</v>
      </c>
      <c r="T302" s="18"/>
      <c r="U302" s="17">
        <v>2</v>
      </c>
      <c r="V302" s="17" t="s">
        <v>55</v>
      </c>
      <c r="W302" s="18">
        <v>0</v>
      </c>
      <c r="X302" s="18" t="s">
        <v>342</v>
      </c>
      <c r="Y302" s="18">
        <f t="shared" si="33"/>
        <v>4</v>
      </c>
      <c r="Z302" s="17" t="s">
        <v>63</v>
      </c>
      <c r="AA302" s="17">
        <v>1</v>
      </c>
      <c r="AB302" s="17" t="s">
        <v>183</v>
      </c>
      <c r="AC302" s="17" t="s">
        <v>208</v>
      </c>
      <c r="AD302" s="17" t="s">
        <v>189</v>
      </c>
      <c r="AE302" s="17" t="s">
        <v>196</v>
      </c>
      <c r="AF302" s="1">
        <f t="shared" si="28"/>
        <v>0</v>
      </c>
      <c r="AG302" s="1">
        <f t="shared" si="29"/>
        <v>0</v>
      </c>
      <c r="AH302" s="1">
        <f t="shared" si="30"/>
        <v>1</v>
      </c>
    </row>
    <row r="303" spans="19:34">
      <c r="S303" s="17">
        <v>14</v>
      </c>
      <c r="T303" s="18"/>
      <c r="U303" s="17">
        <v>1</v>
      </c>
      <c r="V303" s="17" t="s">
        <v>55</v>
      </c>
      <c r="W303" s="18">
        <v>1</v>
      </c>
      <c r="X303" s="18" t="s">
        <v>342</v>
      </c>
      <c r="Y303" s="18">
        <f t="shared" si="33"/>
        <v>3</v>
      </c>
      <c r="Z303" s="17" t="s">
        <v>73</v>
      </c>
      <c r="AA303" s="17">
        <v>2</v>
      </c>
      <c r="AB303" s="17" t="s">
        <v>204</v>
      </c>
      <c r="AC303" s="17" t="s">
        <v>185</v>
      </c>
      <c r="AD303" s="17" t="s">
        <v>164</v>
      </c>
      <c r="AE303" s="17" t="s">
        <v>187</v>
      </c>
      <c r="AF303" s="1">
        <f t="shared" si="28"/>
        <v>0</v>
      </c>
      <c r="AG303" s="1">
        <f t="shared" si="29"/>
        <v>0</v>
      </c>
      <c r="AH303" s="1">
        <f t="shared" si="30"/>
        <v>1</v>
      </c>
    </row>
    <row r="304" spans="19:34">
      <c r="S304" s="17">
        <v>15</v>
      </c>
      <c r="T304" s="18"/>
      <c r="U304" s="17">
        <v>1</v>
      </c>
      <c r="V304" s="17" t="s">
        <v>55</v>
      </c>
      <c r="W304" s="18">
        <v>2</v>
      </c>
      <c r="X304" s="18" t="s">
        <v>342</v>
      </c>
      <c r="Y304" s="18">
        <f t="shared" si="33"/>
        <v>2</v>
      </c>
      <c r="Z304" s="17" t="s">
        <v>47</v>
      </c>
      <c r="AA304" s="17">
        <v>2</v>
      </c>
      <c r="AB304" s="17" t="s">
        <v>198</v>
      </c>
      <c r="AC304" s="17" t="s">
        <v>212</v>
      </c>
      <c r="AD304" s="17" t="s">
        <v>200</v>
      </c>
      <c r="AE304" s="17" t="s">
        <v>191</v>
      </c>
      <c r="AF304" s="1">
        <f t="shared" si="28"/>
        <v>0</v>
      </c>
      <c r="AG304" s="1">
        <f t="shared" si="29"/>
        <v>1</v>
      </c>
      <c r="AH304" s="1">
        <f t="shared" si="30"/>
        <v>0</v>
      </c>
    </row>
    <row r="305" spans="19:34">
      <c r="S305" s="58" t="s">
        <v>339</v>
      </c>
      <c r="T305" s="58" t="s">
        <v>340</v>
      </c>
      <c r="U305" s="58" t="s">
        <v>341</v>
      </c>
      <c r="V305" s="58" t="s">
        <v>1</v>
      </c>
      <c r="W305" s="66" t="s">
        <v>220</v>
      </c>
      <c r="X305" s="66"/>
      <c r="Y305" s="66"/>
      <c r="Z305" s="58" t="s">
        <v>1</v>
      </c>
      <c r="AA305" s="58" t="s">
        <v>341</v>
      </c>
      <c r="AB305" s="58" t="s">
        <v>225</v>
      </c>
      <c r="AC305" s="58" t="s">
        <v>228</v>
      </c>
      <c r="AD305" s="58" t="s">
        <v>230</v>
      </c>
      <c r="AE305" s="58" t="s">
        <v>232</v>
      </c>
      <c r="AF305" s="1">
        <f t="shared" si="28"/>
        <v>1</v>
      </c>
      <c r="AG305" s="1">
        <f t="shared" si="29"/>
        <v>0</v>
      </c>
      <c r="AH305" s="1">
        <f t="shared" si="30"/>
        <v>0</v>
      </c>
    </row>
    <row r="306" spans="19:34">
      <c r="S306" s="17">
        <v>1</v>
      </c>
      <c r="T306" s="18"/>
      <c r="U306" s="17">
        <v>1</v>
      </c>
      <c r="V306" s="17" t="s">
        <v>47</v>
      </c>
      <c r="W306" s="18">
        <v>4</v>
      </c>
      <c r="X306" s="18" t="s">
        <v>342</v>
      </c>
      <c r="Y306" s="18">
        <f t="shared" ref="Y306:Y320" si="34">IF(W306="","",4-W306)</f>
        <v>0</v>
      </c>
      <c r="Z306" s="17" t="s">
        <v>53</v>
      </c>
      <c r="AA306" s="17">
        <v>2</v>
      </c>
      <c r="AB306" s="17" t="s">
        <v>191</v>
      </c>
      <c r="AC306" s="17" t="s">
        <v>185</v>
      </c>
      <c r="AD306" s="17" t="s">
        <v>206</v>
      </c>
      <c r="AE306" s="17" t="s">
        <v>202</v>
      </c>
      <c r="AF306" s="1">
        <f t="shared" si="28"/>
        <v>1</v>
      </c>
      <c r="AG306" s="1">
        <f t="shared" si="29"/>
        <v>0</v>
      </c>
      <c r="AH306" s="1">
        <f t="shared" si="30"/>
        <v>0</v>
      </c>
    </row>
    <row r="307" spans="19:34">
      <c r="S307" s="17">
        <v>2</v>
      </c>
      <c r="T307" s="18"/>
      <c r="U307" s="17">
        <v>2</v>
      </c>
      <c r="V307" s="17" t="s">
        <v>47</v>
      </c>
      <c r="W307" s="18">
        <v>4</v>
      </c>
      <c r="X307" s="18" t="s">
        <v>342</v>
      </c>
      <c r="Y307" s="18">
        <f t="shared" si="34"/>
        <v>0</v>
      </c>
      <c r="Z307" s="17" t="s">
        <v>57</v>
      </c>
      <c r="AA307" s="17">
        <v>1</v>
      </c>
      <c r="AB307" s="17" t="s">
        <v>180</v>
      </c>
      <c r="AC307" s="17" t="s">
        <v>172</v>
      </c>
      <c r="AD307" s="17" t="s">
        <v>200</v>
      </c>
      <c r="AE307" s="17" t="s">
        <v>198</v>
      </c>
      <c r="AF307" s="1">
        <f t="shared" si="28"/>
        <v>1</v>
      </c>
      <c r="AG307" s="1">
        <f t="shared" si="29"/>
        <v>0</v>
      </c>
      <c r="AH307" s="1">
        <f t="shared" si="30"/>
        <v>0</v>
      </c>
    </row>
    <row r="308" spans="19:34">
      <c r="S308" s="17">
        <v>3</v>
      </c>
      <c r="T308" s="18"/>
      <c r="U308" s="17">
        <v>2</v>
      </c>
      <c r="V308" s="17" t="s">
        <v>47</v>
      </c>
      <c r="W308" s="18">
        <v>4</v>
      </c>
      <c r="X308" s="18" t="s">
        <v>342</v>
      </c>
      <c r="Y308" s="18">
        <f t="shared" si="34"/>
        <v>0</v>
      </c>
      <c r="Z308" s="17" t="s">
        <v>91</v>
      </c>
      <c r="AA308" s="17">
        <v>1</v>
      </c>
      <c r="AB308" s="17" t="s">
        <v>176</v>
      </c>
      <c r="AC308" s="17" t="s">
        <v>183</v>
      </c>
      <c r="AD308" s="17" t="s">
        <v>204</v>
      </c>
      <c r="AE308" s="17" t="s">
        <v>212</v>
      </c>
      <c r="AF308" s="1">
        <f t="shared" si="28"/>
        <v>1</v>
      </c>
      <c r="AG308" s="1">
        <f t="shared" si="29"/>
        <v>0</v>
      </c>
      <c r="AH308" s="1">
        <f t="shared" si="30"/>
        <v>0</v>
      </c>
    </row>
    <row r="309" spans="19:34">
      <c r="S309" s="17">
        <v>4</v>
      </c>
      <c r="T309" s="18"/>
      <c r="U309" s="17">
        <v>1</v>
      </c>
      <c r="V309" s="17" t="s">
        <v>47</v>
      </c>
      <c r="W309" s="18">
        <v>4</v>
      </c>
      <c r="X309" s="18" t="s">
        <v>342</v>
      </c>
      <c r="Y309" s="18">
        <f t="shared" si="34"/>
        <v>0</v>
      </c>
      <c r="Z309" s="17" t="s">
        <v>378</v>
      </c>
      <c r="AA309" s="17">
        <v>2</v>
      </c>
      <c r="AB309" s="17" t="s">
        <v>196</v>
      </c>
      <c r="AC309" s="17" t="s">
        <v>193</v>
      </c>
      <c r="AD309" s="17" t="s">
        <v>208</v>
      </c>
      <c r="AE309" s="17" t="s">
        <v>164</v>
      </c>
      <c r="AF309" s="1">
        <f t="shared" si="28"/>
        <v>1</v>
      </c>
      <c r="AG309" s="1">
        <f t="shared" si="29"/>
        <v>0</v>
      </c>
      <c r="AH309" s="1">
        <f t="shared" si="30"/>
        <v>0</v>
      </c>
    </row>
    <row r="310" spans="19:34">
      <c r="S310" s="17">
        <v>5</v>
      </c>
      <c r="T310" s="18"/>
      <c r="U310" s="17">
        <v>2</v>
      </c>
      <c r="V310" s="17" t="s">
        <v>47</v>
      </c>
      <c r="W310" s="18">
        <v>4</v>
      </c>
      <c r="X310" s="18" t="s">
        <v>342</v>
      </c>
      <c r="Y310" s="18">
        <f t="shared" si="34"/>
        <v>0</v>
      </c>
      <c r="Z310" s="17" t="s">
        <v>69</v>
      </c>
      <c r="AA310" s="17">
        <v>1</v>
      </c>
      <c r="AB310" s="17" t="s">
        <v>214</v>
      </c>
      <c r="AC310" s="17" t="s">
        <v>210</v>
      </c>
      <c r="AD310" s="17" t="s">
        <v>187</v>
      </c>
      <c r="AE310" s="17" t="s">
        <v>189</v>
      </c>
      <c r="AF310" s="1">
        <f t="shared" si="28"/>
        <v>1</v>
      </c>
      <c r="AG310" s="1">
        <f t="shared" si="29"/>
        <v>0</v>
      </c>
      <c r="AH310" s="1">
        <f t="shared" si="30"/>
        <v>0</v>
      </c>
    </row>
    <row r="311" spans="19:34">
      <c r="S311" s="17">
        <v>6</v>
      </c>
      <c r="T311" s="18"/>
      <c r="U311" s="17">
        <v>2</v>
      </c>
      <c r="V311" s="17" t="s">
        <v>47</v>
      </c>
      <c r="W311" s="18">
        <v>3</v>
      </c>
      <c r="X311" s="18" t="s">
        <v>342</v>
      </c>
      <c r="Y311" s="18">
        <f t="shared" si="34"/>
        <v>1</v>
      </c>
      <c r="Z311" s="17" t="s">
        <v>18</v>
      </c>
      <c r="AA311" s="17">
        <v>1</v>
      </c>
      <c r="AB311" s="17" t="s">
        <v>204</v>
      </c>
      <c r="AC311" s="17" t="s">
        <v>210</v>
      </c>
      <c r="AD311" s="17" t="s">
        <v>180</v>
      </c>
      <c r="AE311" s="17" t="s">
        <v>189</v>
      </c>
      <c r="AF311" s="1">
        <f t="shared" si="28"/>
        <v>1</v>
      </c>
      <c r="AG311" s="1">
        <f t="shared" si="29"/>
        <v>0</v>
      </c>
      <c r="AH311" s="1">
        <f t="shared" si="30"/>
        <v>0</v>
      </c>
    </row>
    <row r="312" spans="19:34">
      <c r="S312" s="17">
        <v>7</v>
      </c>
      <c r="T312" s="18"/>
      <c r="U312" s="17">
        <v>1</v>
      </c>
      <c r="V312" s="17" t="s">
        <v>47</v>
      </c>
      <c r="W312" s="18">
        <v>4</v>
      </c>
      <c r="X312" s="18" t="s">
        <v>342</v>
      </c>
      <c r="Y312" s="18">
        <f t="shared" si="34"/>
        <v>0</v>
      </c>
      <c r="Z312" s="17" t="s">
        <v>127</v>
      </c>
      <c r="AA312" s="17">
        <v>2</v>
      </c>
      <c r="AB312" s="17" t="s">
        <v>187</v>
      </c>
      <c r="AC312" s="17" t="s">
        <v>206</v>
      </c>
      <c r="AD312" s="17" t="s">
        <v>183</v>
      </c>
      <c r="AE312" s="17" t="s">
        <v>196</v>
      </c>
      <c r="AF312" s="1">
        <f t="shared" si="28"/>
        <v>1</v>
      </c>
      <c r="AG312" s="1">
        <f t="shared" si="29"/>
        <v>0</v>
      </c>
      <c r="AH312" s="1">
        <f t="shared" si="30"/>
        <v>0</v>
      </c>
    </row>
    <row r="313" spans="19:34">
      <c r="S313" s="17">
        <v>8</v>
      </c>
      <c r="T313" s="18"/>
      <c r="U313" s="17">
        <v>2</v>
      </c>
      <c r="V313" s="17" t="s">
        <v>47</v>
      </c>
      <c r="W313" s="18">
        <v>4</v>
      </c>
      <c r="X313" s="18" t="s">
        <v>342</v>
      </c>
      <c r="Y313" s="18">
        <f t="shared" si="34"/>
        <v>0</v>
      </c>
      <c r="Z313" s="17" t="s">
        <v>21</v>
      </c>
      <c r="AA313" s="17">
        <v>1</v>
      </c>
      <c r="AB313" s="17" t="s">
        <v>200</v>
      </c>
      <c r="AC313" s="17" t="s">
        <v>198</v>
      </c>
      <c r="AD313" s="17" t="s">
        <v>212</v>
      </c>
      <c r="AE313" s="17" t="s">
        <v>185</v>
      </c>
      <c r="AF313" s="1">
        <f t="shared" si="28"/>
        <v>1</v>
      </c>
      <c r="AG313" s="1">
        <f t="shared" si="29"/>
        <v>0</v>
      </c>
      <c r="AH313" s="1">
        <f t="shared" si="30"/>
        <v>0</v>
      </c>
    </row>
    <row r="314" spans="19:34">
      <c r="S314" s="17">
        <v>9</v>
      </c>
      <c r="T314" s="18"/>
      <c r="U314" s="17">
        <v>1</v>
      </c>
      <c r="V314" s="17" t="s">
        <v>47</v>
      </c>
      <c r="W314" s="18">
        <v>1</v>
      </c>
      <c r="X314" s="18" t="s">
        <v>342</v>
      </c>
      <c r="Y314" s="18">
        <f t="shared" si="34"/>
        <v>3</v>
      </c>
      <c r="Z314" s="17" t="s">
        <v>35</v>
      </c>
      <c r="AA314" s="17">
        <v>2</v>
      </c>
      <c r="AB314" s="17" t="s">
        <v>202</v>
      </c>
      <c r="AC314" s="17" t="s">
        <v>164</v>
      </c>
      <c r="AD314" s="17" t="s">
        <v>191</v>
      </c>
      <c r="AE314" s="17" t="s">
        <v>176</v>
      </c>
      <c r="AF314" s="1">
        <f t="shared" si="28"/>
        <v>0</v>
      </c>
      <c r="AG314" s="1">
        <f t="shared" si="29"/>
        <v>0</v>
      </c>
      <c r="AH314" s="1">
        <f t="shared" si="30"/>
        <v>1</v>
      </c>
    </row>
    <row r="315" spans="19:34">
      <c r="S315" s="17">
        <v>10</v>
      </c>
      <c r="T315" s="18"/>
      <c r="U315" s="17">
        <v>2</v>
      </c>
      <c r="V315" s="17" t="s">
        <v>47</v>
      </c>
      <c r="W315" s="18">
        <v>4</v>
      </c>
      <c r="X315" s="18" t="s">
        <v>342</v>
      </c>
      <c r="Y315" s="18">
        <f t="shared" si="34"/>
        <v>0</v>
      </c>
      <c r="Z315" s="17" t="s">
        <v>51</v>
      </c>
      <c r="AA315" s="17">
        <v>1</v>
      </c>
      <c r="AB315" s="17" t="s">
        <v>172</v>
      </c>
      <c r="AC315" s="17" t="s">
        <v>208</v>
      </c>
      <c r="AD315" s="17" t="s">
        <v>214</v>
      </c>
      <c r="AE315" s="17" t="s">
        <v>193</v>
      </c>
      <c r="AF315" s="1">
        <f t="shared" si="28"/>
        <v>1</v>
      </c>
      <c r="AG315" s="1">
        <f t="shared" si="29"/>
        <v>0</v>
      </c>
      <c r="AH315" s="1">
        <f t="shared" si="30"/>
        <v>0</v>
      </c>
    </row>
    <row r="316" spans="19:34">
      <c r="S316" s="17">
        <v>11</v>
      </c>
      <c r="T316" s="18"/>
      <c r="U316" s="17">
        <v>1</v>
      </c>
      <c r="V316" s="17" t="s">
        <v>47</v>
      </c>
      <c r="W316" s="18">
        <v>1</v>
      </c>
      <c r="X316" s="18" t="s">
        <v>342</v>
      </c>
      <c r="Y316" s="18">
        <f t="shared" si="34"/>
        <v>3</v>
      </c>
      <c r="Z316" s="17" t="s">
        <v>29</v>
      </c>
      <c r="AA316" s="17">
        <v>2</v>
      </c>
      <c r="AB316" s="17" t="s">
        <v>193</v>
      </c>
      <c r="AC316" s="17" t="s">
        <v>206</v>
      </c>
      <c r="AD316" s="17" t="s">
        <v>172</v>
      </c>
      <c r="AE316" s="17" t="s">
        <v>210</v>
      </c>
      <c r="AF316" s="1">
        <f t="shared" si="28"/>
        <v>0</v>
      </c>
      <c r="AG316" s="1">
        <f t="shared" si="29"/>
        <v>0</v>
      </c>
      <c r="AH316" s="1">
        <f t="shared" si="30"/>
        <v>1</v>
      </c>
    </row>
    <row r="317" spans="19:34">
      <c r="S317" s="17">
        <v>12</v>
      </c>
      <c r="T317" s="18"/>
      <c r="U317" s="17">
        <v>2</v>
      </c>
      <c r="V317" s="17" t="s">
        <v>47</v>
      </c>
      <c r="W317" s="18">
        <v>2</v>
      </c>
      <c r="X317" s="18" t="s">
        <v>342</v>
      </c>
      <c r="Y317" s="18">
        <f t="shared" si="34"/>
        <v>2</v>
      </c>
      <c r="Z317" s="17" t="s">
        <v>119</v>
      </c>
      <c r="AA317" s="17">
        <v>1</v>
      </c>
      <c r="AB317" s="17" t="s">
        <v>214</v>
      </c>
      <c r="AC317" s="17" t="s">
        <v>180</v>
      </c>
      <c r="AD317" s="17" t="s">
        <v>176</v>
      </c>
      <c r="AE317" s="17" t="s">
        <v>202</v>
      </c>
      <c r="AF317" s="1">
        <f t="shared" si="28"/>
        <v>0</v>
      </c>
      <c r="AG317" s="1">
        <f t="shared" si="29"/>
        <v>1</v>
      </c>
      <c r="AH317" s="1">
        <f t="shared" si="30"/>
        <v>0</v>
      </c>
    </row>
    <row r="318" spans="19:34">
      <c r="S318" s="17">
        <v>13</v>
      </c>
      <c r="T318" s="18"/>
      <c r="U318" s="17">
        <v>2</v>
      </c>
      <c r="V318" s="17" t="s">
        <v>47</v>
      </c>
      <c r="W318" s="18">
        <v>0</v>
      </c>
      <c r="X318" s="18" t="s">
        <v>342</v>
      </c>
      <c r="Y318" s="18">
        <f t="shared" si="34"/>
        <v>4</v>
      </c>
      <c r="Z318" s="17" t="s">
        <v>73</v>
      </c>
      <c r="AA318" s="17">
        <v>1</v>
      </c>
      <c r="AB318" s="17" t="s">
        <v>183</v>
      </c>
      <c r="AC318" s="17" t="s">
        <v>208</v>
      </c>
      <c r="AD318" s="17" t="s">
        <v>189</v>
      </c>
      <c r="AE318" s="17" t="s">
        <v>196</v>
      </c>
      <c r="AF318" s="1">
        <f t="shared" si="28"/>
        <v>0</v>
      </c>
      <c r="AG318" s="1">
        <f t="shared" si="29"/>
        <v>0</v>
      </c>
      <c r="AH318" s="1">
        <f t="shared" si="30"/>
        <v>1</v>
      </c>
    </row>
    <row r="319" spans="19:34">
      <c r="S319" s="17">
        <v>14</v>
      </c>
      <c r="T319" s="18"/>
      <c r="U319" s="17">
        <v>2</v>
      </c>
      <c r="V319" s="17" t="s">
        <v>47</v>
      </c>
      <c r="W319" s="18">
        <v>0</v>
      </c>
      <c r="X319" s="18" t="s">
        <v>342</v>
      </c>
      <c r="Y319" s="18">
        <f t="shared" si="34"/>
        <v>4</v>
      </c>
      <c r="Z319" s="17" t="s">
        <v>63</v>
      </c>
      <c r="AA319" s="17">
        <v>1</v>
      </c>
      <c r="AB319" s="17" t="s">
        <v>204</v>
      </c>
      <c r="AC319" s="17" t="s">
        <v>185</v>
      </c>
      <c r="AD319" s="17" t="s">
        <v>164</v>
      </c>
      <c r="AE319" s="17" t="s">
        <v>187</v>
      </c>
      <c r="AF319" s="1">
        <f t="shared" si="28"/>
        <v>0</v>
      </c>
      <c r="AG319" s="1">
        <f t="shared" si="29"/>
        <v>0</v>
      </c>
      <c r="AH319" s="1">
        <f t="shared" si="30"/>
        <v>1</v>
      </c>
    </row>
    <row r="320" spans="19:34">
      <c r="S320" s="17">
        <v>15</v>
      </c>
      <c r="T320" s="18"/>
      <c r="U320" s="17">
        <v>2</v>
      </c>
      <c r="V320" s="17" t="s">
        <v>47</v>
      </c>
      <c r="W320" s="18">
        <v>2</v>
      </c>
      <c r="X320" s="18" t="s">
        <v>342</v>
      </c>
      <c r="Y320" s="18">
        <f t="shared" si="34"/>
        <v>2</v>
      </c>
      <c r="Z320" s="17" t="s">
        <v>55</v>
      </c>
      <c r="AA320" s="17">
        <v>1</v>
      </c>
      <c r="AB320" s="17" t="s">
        <v>198</v>
      </c>
      <c r="AC320" s="17" t="s">
        <v>212</v>
      </c>
      <c r="AD320" s="17" t="s">
        <v>200</v>
      </c>
      <c r="AE320" s="17" t="s">
        <v>191</v>
      </c>
      <c r="AF320" s="1">
        <f t="shared" si="28"/>
        <v>0</v>
      </c>
      <c r="AG320" s="1">
        <f t="shared" si="29"/>
        <v>1</v>
      </c>
      <c r="AH320" s="1">
        <f t="shared" si="30"/>
        <v>0</v>
      </c>
    </row>
    <row r="321" spans="19:34">
      <c r="S321" s="58" t="s">
        <v>339</v>
      </c>
      <c r="T321" s="58" t="s">
        <v>340</v>
      </c>
      <c r="U321" s="58" t="s">
        <v>341</v>
      </c>
      <c r="V321" s="58" t="s">
        <v>1</v>
      </c>
      <c r="W321" s="66" t="s">
        <v>220</v>
      </c>
      <c r="X321" s="66"/>
      <c r="Y321" s="66"/>
      <c r="Z321" s="58" t="s">
        <v>1</v>
      </c>
      <c r="AA321" s="58" t="s">
        <v>341</v>
      </c>
      <c r="AB321" s="58" t="s">
        <v>225</v>
      </c>
      <c r="AC321" s="58" t="s">
        <v>228</v>
      </c>
      <c r="AD321" s="58" t="s">
        <v>230</v>
      </c>
      <c r="AE321" s="58" t="s">
        <v>232</v>
      </c>
      <c r="AF321" s="1">
        <f t="shared" ref="AF321:AF384" si="35">IF(W321="",0,IF(W321&gt;Y321,1,0))</f>
        <v>1</v>
      </c>
      <c r="AG321" s="1">
        <f t="shared" ref="AG321:AG384" si="36">IF(W321="",0,IF(W321=Y321,1,0))</f>
        <v>0</v>
      </c>
      <c r="AH321" s="1">
        <f t="shared" ref="AH321:AH384" si="37">IF(W321="",0,IF(W321&lt;Y321,1,0))</f>
        <v>0</v>
      </c>
    </row>
    <row r="322" spans="19:34">
      <c r="S322" s="17">
        <v>1</v>
      </c>
      <c r="T322" s="18"/>
      <c r="U322" s="17">
        <v>2</v>
      </c>
      <c r="V322" s="17" t="s">
        <v>35</v>
      </c>
      <c r="W322" s="18">
        <v>4</v>
      </c>
      <c r="X322" s="18" t="s">
        <v>342</v>
      </c>
      <c r="Y322" s="18">
        <f t="shared" ref="Y322:Y336" si="38">IF(W322="","",4-W322)</f>
        <v>0</v>
      </c>
      <c r="Z322" s="17" t="s">
        <v>21</v>
      </c>
      <c r="AA322" s="17">
        <v>1</v>
      </c>
      <c r="AB322" s="17" t="s">
        <v>191</v>
      </c>
      <c r="AC322" s="17" t="s">
        <v>185</v>
      </c>
      <c r="AD322" s="17" t="s">
        <v>206</v>
      </c>
      <c r="AE322" s="17" t="s">
        <v>202</v>
      </c>
      <c r="AF322" s="1">
        <f t="shared" si="35"/>
        <v>1</v>
      </c>
      <c r="AG322" s="1">
        <f t="shared" si="36"/>
        <v>0</v>
      </c>
      <c r="AH322" s="1">
        <f t="shared" si="37"/>
        <v>0</v>
      </c>
    </row>
    <row r="323" spans="19:34">
      <c r="S323" s="17">
        <v>2</v>
      </c>
      <c r="T323" s="18"/>
      <c r="U323" s="17">
        <v>2</v>
      </c>
      <c r="V323" s="17" t="s">
        <v>35</v>
      </c>
      <c r="W323" s="18">
        <v>4</v>
      </c>
      <c r="X323" s="18" t="s">
        <v>342</v>
      </c>
      <c r="Y323" s="18">
        <f t="shared" si="38"/>
        <v>0</v>
      </c>
      <c r="Z323" s="17" t="s">
        <v>127</v>
      </c>
      <c r="AA323" s="17">
        <v>1</v>
      </c>
      <c r="AB323" s="17" t="s">
        <v>180</v>
      </c>
      <c r="AC323" s="17" t="s">
        <v>172</v>
      </c>
      <c r="AD323" s="17" t="s">
        <v>200</v>
      </c>
      <c r="AE323" s="17" t="s">
        <v>198</v>
      </c>
      <c r="AF323" s="1">
        <f t="shared" si="35"/>
        <v>1</v>
      </c>
      <c r="AG323" s="1">
        <f t="shared" si="36"/>
        <v>0</v>
      </c>
      <c r="AH323" s="1">
        <f t="shared" si="37"/>
        <v>0</v>
      </c>
    </row>
    <row r="324" spans="19:34">
      <c r="S324" s="17">
        <v>3</v>
      </c>
      <c r="T324" s="18"/>
      <c r="U324" s="17">
        <v>2</v>
      </c>
      <c r="V324" s="17" t="s">
        <v>35</v>
      </c>
      <c r="W324" s="18">
        <v>2</v>
      </c>
      <c r="X324" s="18" t="s">
        <v>342</v>
      </c>
      <c r="Y324" s="18">
        <f t="shared" si="38"/>
        <v>2</v>
      </c>
      <c r="Z324" s="17" t="s">
        <v>18</v>
      </c>
      <c r="AA324" s="17">
        <v>1</v>
      </c>
      <c r="AB324" s="17" t="s">
        <v>176</v>
      </c>
      <c r="AC324" s="17" t="s">
        <v>183</v>
      </c>
      <c r="AD324" s="17" t="s">
        <v>204</v>
      </c>
      <c r="AE324" s="17" t="s">
        <v>212</v>
      </c>
      <c r="AF324" s="1">
        <f t="shared" si="35"/>
        <v>0</v>
      </c>
      <c r="AG324" s="1">
        <f t="shared" si="36"/>
        <v>1</v>
      </c>
      <c r="AH324" s="1">
        <f t="shared" si="37"/>
        <v>0</v>
      </c>
    </row>
    <row r="325" spans="19:34">
      <c r="S325" s="17">
        <v>4</v>
      </c>
      <c r="T325" s="18"/>
      <c r="U325" s="17">
        <v>1</v>
      </c>
      <c r="V325" s="17" t="s">
        <v>35</v>
      </c>
      <c r="W325" s="18">
        <v>4</v>
      </c>
      <c r="X325" s="18" t="s">
        <v>342</v>
      </c>
      <c r="Y325" s="18">
        <f t="shared" si="38"/>
        <v>0</v>
      </c>
      <c r="Z325" s="17" t="s">
        <v>69</v>
      </c>
      <c r="AA325" s="17">
        <v>2</v>
      </c>
      <c r="AB325" s="17" t="s">
        <v>196</v>
      </c>
      <c r="AC325" s="17" t="s">
        <v>193</v>
      </c>
      <c r="AD325" s="17" t="s">
        <v>208</v>
      </c>
      <c r="AE325" s="17" t="s">
        <v>164</v>
      </c>
      <c r="AF325" s="1">
        <f t="shared" si="35"/>
        <v>1</v>
      </c>
      <c r="AG325" s="1">
        <f t="shared" si="36"/>
        <v>0</v>
      </c>
      <c r="AH325" s="1">
        <f t="shared" si="37"/>
        <v>0</v>
      </c>
    </row>
    <row r="326" spans="19:34">
      <c r="S326" s="17">
        <v>5</v>
      </c>
      <c r="T326" s="18"/>
      <c r="U326" s="17">
        <v>2</v>
      </c>
      <c r="V326" s="17" t="s">
        <v>35</v>
      </c>
      <c r="W326" s="18">
        <v>4</v>
      </c>
      <c r="X326" s="18" t="s">
        <v>342</v>
      </c>
      <c r="Y326" s="18">
        <f t="shared" si="38"/>
        <v>0</v>
      </c>
      <c r="Z326" s="17" t="s">
        <v>378</v>
      </c>
      <c r="AA326" s="17">
        <v>1</v>
      </c>
      <c r="AB326" s="17" t="s">
        <v>214</v>
      </c>
      <c r="AC326" s="17" t="s">
        <v>210</v>
      </c>
      <c r="AD326" s="17" t="s">
        <v>187</v>
      </c>
      <c r="AE326" s="17" t="s">
        <v>189</v>
      </c>
      <c r="AF326" s="1">
        <f t="shared" si="35"/>
        <v>1</v>
      </c>
      <c r="AG326" s="1">
        <f t="shared" si="36"/>
        <v>0</v>
      </c>
      <c r="AH326" s="1">
        <f t="shared" si="37"/>
        <v>0</v>
      </c>
    </row>
    <row r="327" spans="19:34">
      <c r="S327" s="17">
        <v>6</v>
      </c>
      <c r="T327" s="18"/>
      <c r="U327" s="17">
        <v>1</v>
      </c>
      <c r="V327" s="17" t="s">
        <v>35</v>
      </c>
      <c r="W327" s="18">
        <v>4</v>
      </c>
      <c r="X327" s="18" t="s">
        <v>342</v>
      </c>
      <c r="Y327" s="18">
        <f t="shared" si="38"/>
        <v>0</v>
      </c>
      <c r="Z327" s="17" t="s">
        <v>91</v>
      </c>
      <c r="AA327" s="17">
        <v>2</v>
      </c>
      <c r="AB327" s="17" t="s">
        <v>204</v>
      </c>
      <c r="AC327" s="17" t="s">
        <v>210</v>
      </c>
      <c r="AD327" s="17" t="s">
        <v>180</v>
      </c>
      <c r="AE327" s="17" t="s">
        <v>189</v>
      </c>
      <c r="AF327" s="1">
        <f t="shared" si="35"/>
        <v>1</v>
      </c>
      <c r="AG327" s="1">
        <f t="shared" si="36"/>
        <v>0</v>
      </c>
      <c r="AH327" s="1">
        <f t="shared" si="37"/>
        <v>0</v>
      </c>
    </row>
    <row r="328" spans="19:34">
      <c r="S328" s="17">
        <v>7</v>
      </c>
      <c r="T328" s="18"/>
      <c r="U328" s="17">
        <v>2</v>
      </c>
      <c r="V328" s="17" t="s">
        <v>35</v>
      </c>
      <c r="W328" s="18">
        <v>4</v>
      </c>
      <c r="X328" s="18" t="s">
        <v>342</v>
      </c>
      <c r="Y328" s="18">
        <f t="shared" si="38"/>
        <v>0</v>
      </c>
      <c r="Z328" s="17" t="s">
        <v>57</v>
      </c>
      <c r="AA328" s="17">
        <v>1</v>
      </c>
      <c r="AB328" s="17" t="s">
        <v>187</v>
      </c>
      <c r="AC328" s="17" t="s">
        <v>206</v>
      </c>
      <c r="AD328" s="17" t="s">
        <v>183</v>
      </c>
      <c r="AE328" s="17" t="s">
        <v>196</v>
      </c>
      <c r="AF328" s="1">
        <f t="shared" si="35"/>
        <v>1</v>
      </c>
      <c r="AG328" s="1">
        <f t="shared" si="36"/>
        <v>0</v>
      </c>
      <c r="AH328" s="1">
        <f t="shared" si="37"/>
        <v>0</v>
      </c>
    </row>
    <row r="329" spans="19:34">
      <c r="S329" s="17">
        <v>8</v>
      </c>
      <c r="T329" s="18"/>
      <c r="U329" s="17">
        <v>2</v>
      </c>
      <c r="V329" s="17" t="s">
        <v>35</v>
      </c>
      <c r="W329" s="18">
        <v>4</v>
      </c>
      <c r="X329" s="18" t="s">
        <v>342</v>
      </c>
      <c r="Y329" s="18">
        <f t="shared" si="38"/>
        <v>0</v>
      </c>
      <c r="Z329" s="17" t="s">
        <v>53</v>
      </c>
      <c r="AA329" s="17">
        <v>1</v>
      </c>
      <c r="AB329" s="17" t="s">
        <v>200</v>
      </c>
      <c r="AC329" s="17" t="s">
        <v>198</v>
      </c>
      <c r="AD329" s="17" t="s">
        <v>212</v>
      </c>
      <c r="AE329" s="17" t="s">
        <v>185</v>
      </c>
      <c r="AF329" s="1">
        <f t="shared" si="35"/>
        <v>1</v>
      </c>
      <c r="AG329" s="1">
        <f t="shared" si="36"/>
        <v>0</v>
      </c>
      <c r="AH329" s="1">
        <f t="shared" si="37"/>
        <v>0</v>
      </c>
    </row>
    <row r="330" spans="19:34">
      <c r="S330" s="17">
        <v>9</v>
      </c>
      <c r="T330" s="18"/>
      <c r="U330" s="17">
        <v>2</v>
      </c>
      <c r="V330" s="17" t="s">
        <v>35</v>
      </c>
      <c r="W330" s="18">
        <v>3</v>
      </c>
      <c r="X330" s="18" t="s">
        <v>342</v>
      </c>
      <c r="Y330" s="18">
        <f t="shared" si="38"/>
        <v>1</v>
      </c>
      <c r="Z330" s="17" t="s">
        <v>47</v>
      </c>
      <c r="AA330" s="17">
        <v>1</v>
      </c>
      <c r="AB330" s="17" t="s">
        <v>202</v>
      </c>
      <c r="AC330" s="17" t="s">
        <v>164</v>
      </c>
      <c r="AD330" s="17" t="s">
        <v>191</v>
      </c>
      <c r="AE330" s="17" t="s">
        <v>176</v>
      </c>
      <c r="AF330" s="1">
        <f t="shared" si="35"/>
        <v>1</v>
      </c>
      <c r="AG330" s="1">
        <f t="shared" si="36"/>
        <v>0</v>
      </c>
      <c r="AH330" s="1">
        <f t="shared" si="37"/>
        <v>0</v>
      </c>
    </row>
    <row r="331" spans="19:34">
      <c r="S331" s="17">
        <v>10</v>
      </c>
      <c r="T331" s="18"/>
      <c r="U331" s="17">
        <v>2</v>
      </c>
      <c r="V331" s="17" t="s">
        <v>35</v>
      </c>
      <c r="W331" s="18">
        <v>1</v>
      </c>
      <c r="X331" s="18" t="s">
        <v>342</v>
      </c>
      <c r="Y331" s="18">
        <f t="shared" si="38"/>
        <v>3</v>
      </c>
      <c r="Z331" s="17" t="s">
        <v>55</v>
      </c>
      <c r="AA331" s="17">
        <v>1</v>
      </c>
      <c r="AB331" s="17" t="s">
        <v>172</v>
      </c>
      <c r="AC331" s="17" t="s">
        <v>208</v>
      </c>
      <c r="AD331" s="17" t="s">
        <v>214</v>
      </c>
      <c r="AE331" s="17" t="s">
        <v>193</v>
      </c>
      <c r="AF331" s="1">
        <f t="shared" si="35"/>
        <v>0</v>
      </c>
      <c r="AG331" s="1">
        <f t="shared" si="36"/>
        <v>0</v>
      </c>
      <c r="AH331" s="1">
        <f t="shared" si="37"/>
        <v>1</v>
      </c>
    </row>
    <row r="332" spans="19:34">
      <c r="S332" s="17">
        <v>11</v>
      </c>
      <c r="T332" s="18"/>
      <c r="U332" s="17">
        <v>2</v>
      </c>
      <c r="V332" s="17" t="s">
        <v>35</v>
      </c>
      <c r="W332" s="18">
        <v>1</v>
      </c>
      <c r="X332" s="18" t="s">
        <v>342</v>
      </c>
      <c r="Y332" s="18">
        <f t="shared" si="38"/>
        <v>3</v>
      </c>
      <c r="Z332" s="17" t="s">
        <v>63</v>
      </c>
      <c r="AA332" s="17">
        <v>1</v>
      </c>
      <c r="AB332" s="17" t="s">
        <v>193</v>
      </c>
      <c r="AC332" s="17" t="s">
        <v>206</v>
      </c>
      <c r="AD332" s="17" t="s">
        <v>172</v>
      </c>
      <c r="AE332" s="17" t="s">
        <v>210</v>
      </c>
      <c r="AF332" s="1">
        <f t="shared" si="35"/>
        <v>0</v>
      </c>
      <c r="AG332" s="1">
        <f t="shared" si="36"/>
        <v>0</v>
      </c>
      <c r="AH332" s="1">
        <f t="shared" si="37"/>
        <v>1</v>
      </c>
    </row>
    <row r="333" spans="19:34">
      <c r="S333" s="17">
        <v>12</v>
      </c>
      <c r="T333" s="18"/>
      <c r="U333" s="17">
        <v>1</v>
      </c>
      <c r="V333" s="17" t="s">
        <v>35</v>
      </c>
      <c r="W333" s="18">
        <v>0</v>
      </c>
      <c r="X333" s="18" t="s">
        <v>342</v>
      </c>
      <c r="Y333" s="18">
        <f t="shared" si="38"/>
        <v>4</v>
      </c>
      <c r="Z333" s="17" t="s">
        <v>73</v>
      </c>
      <c r="AA333" s="17">
        <v>2</v>
      </c>
      <c r="AB333" s="17" t="s">
        <v>214</v>
      </c>
      <c r="AC333" s="17" t="s">
        <v>180</v>
      </c>
      <c r="AD333" s="17" t="s">
        <v>176</v>
      </c>
      <c r="AE333" s="17" t="s">
        <v>202</v>
      </c>
      <c r="AF333" s="1">
        <f t="shared" si="35"/>
        <v>0</v>
      </c>
      <c r="AG333" s="1">
        <f t="shared" si="36"/>
        <v>0</v>
      </c>
      <c r="AH333" s="1">
        <f t="shared" si="37"/>
        <v>1</v>
      </c>
    </row>
    <row r="334" spans="19:34">
      <c r="S334" s="17">
        <v>13</v>
      </c>
      <c r="T334" s="18"/>
      <c r="U334" s="17">
        <v>1</v>
      </c>
      <c r="V334" s="17" t="s">
        <v>35</v>
      </c>
      <c r="W334" s="18">
        <v>4</v>
      </c>
      <c r="X334" s="18" t="s">
        <v>342</v>
      </c>
      <c r="Y334" s="18">
        <f t="shared" si="38"/>
        <v>0</v>
      </c>
      <c r="Z334" s="17" t="s">
        <v>119</v>
      </c>
      <c r="AA334" s="17">
        <v>2</v>
      </c>
      <c r="AB334" s="17" t="s">
        <v>183</v>
      </c>
      <c r="AC334" s="17" t="s">
        <v>208</v>
      </c>
      <c r="AD334" s="17" t="s">
        <v>189</v>
      </c>
      <c r="AE334" s="17" t="s">
        <v>196</v>
      </c>
      <c r="AF334" s="1">
        <f t="shared" si="35"/>
        <v>1</v>
      </c>
      <c r="AG334" s="1">
        <f t="shared" si="36"/>
        <v>0</v>
      </c>
      <c r="AH334" s="1">
        <f t="shared" si="37"/>
        <v>0</v>
      </c>
    </row>
    <row r="335" spans="19:34">
      <c r="S335" s="17">
        <v>14</v>
      </c>
      <c r="T335" s="18"/>
      <c r="U335" s="17">
        <v>2</v>
      </c>
      <c r="V335" s="17" t="s">
        <v>35</v>
      </c>
      <c r="W335" s="18">
        <v>3</v>
      </c>
      <c r="X335" s="18" t="s">
        <v>342</v>
      </c>
      <c r="Y335" s="18">
        <f t="shared" si="38"/>
        <v>1</v>
      </c>
      <c r="Z335" s="17" t="s">
        <v>29</v>
      </c>
      <c r="AA335" s="17">
        <v>1</v>
      </c>
      <c r="AB335" s="17" t="s">
        <v>204</v>
      </c>
      <c r="AC335" s="17" t="s">
        <v>185</v>
      </c>
      <c r="AD335" s="17" t="s">
        <v>164</v>
      </c>
      <c r="AE335" s="17" t="s">
        <v>187</v>
      </c>
      <c r="AF335" s="1">
        <f t="shared" si="35"/>
        <v>1</v>
      </c>
      <c r="AG335" s="1">
        <f t="shared" si="36"/>
        <v>0</v>
      </c>
      <c r="AH335" s="1">
        <f t="shared" si="37"/>
        <v>0</v>
      </c>
    </row>
    <row r="336" spans="19:34">
      <c r="S336" s="17">
        <v>15</v>
      </c>
      <c r="T336" s="18"/>
      <c r="U336" s="17">
        <v>2</v>
      </c>
      <c r="V336" s="17" t="s">
        <v>35</v>
      </c>
      <c r="W336" s="18">
        <v>4</v>
      </c>
      <c r="X336" s="18" t="s">
        <v>342</v>
      </c>
      <c r="Y336" s="18">
        <f t="shared" si="38"/>
        <v>0</v>
      </c>
      <c r="Z336" s="17" t="s">
        <v>51</v>
      </c>
      <c r="AA336" s="17">
        <v>1</v>
      </c>
      <c r="AB336" s="17" t="s">
        <v>198</v>
      </c>
      <c r="AC336" s="17" t="s">
        <v>212</v>
      </c>
      <c r="AD336" s="17" t="s">
        <v>200</v>
      </c>
      <c r="AE336" s="17" t="s">
        <v>191</v>
      </c>
      <c r="AF336" s="1">
        <f t="shared" si="35"/>
        <v>1</v>
      </c>
      <c r="AG336" s="1">
        <f t="shared" si="36"/>
        <v>0</v>
      </c>
      <c r="AH336" s="1">
        <f t="shared" si="37"/>
        <v>0</v>
      </c>
    </row>
    <row r="337" spans="19:34">
      <c r="S337" s="58" t="s">
        <v>339</v>
      </c>
      <c r="T337" s="58" t="s">
        <v>340</v>
      </c>
      <c r="U337" s="58" t="s">
        <v>341</v>
      </c>
      <c r="V337" s="58" t="s">
        <v>1</v>
      </c>
      <c r="W337" s="66" t="s">
        <v>220</v>
      </c>
      <c r="X337" s="66"/>
      <c r="Y337" s="66"/>
      <c r="Z337" s="58" t="s">
        <v>1</v>
      </c>
      <c r="AA337" s="58" t="s">
        <v>341</v>
      </c>
      <c r="AB337" s="58" t="s">
        <v>225</v>
      </c>
      <c r="AC337" s="58" t="s">
        <v>228</v>
      </c>
      <c r="AD337" s="58" t="s">
        <v>230</v>
      </c>
      <c r="AE337" s="58" t="s">
        <v>232</v>
      </c>
      <c r="AF337" s="1">
        <f t="shared" si="35"/>
        <v>1</v>
      </c>
      <c r="AG337" s="1">
        <f t="shared" si="36"/>
        <v>0</v>
      </c>
      <c r="AH337" s="1">
        <f t="shared" si="37"/>
        <v>0</v>
      </c>
    </row>
    <row r="338" spans="19:34">
      <c r="S338" s="17">
        <v>1</v>
      </c>
      <c r="T338" s="18"/>
      <c r="U338" s="17">
        <v>1</v>
      </c>
      <c r="V338" s="17" t="s">
        <v>51</v>
      </c>
      <c r="W338" s="18">
        <v>4</v>
      </c>
      <c r="X338" s="18" t="s">
        <v>342</v>
      </c>
      <c r="Y338" s="18">
        <f t="shared" ref="Y338:Y352" si="39">IF(W338="","",4-W338)</f>
        <v>0</v>
      </c>
      <c r="Z338" s="17" t="s">
        <v>127</v>
      </c>
      <c r="AA338" s="17">
        <v>2</v>
      </c>
      <c r="AB338" s="17" t="s">
        <v>191</v>
      </c>
      <c r="AC338" s="17" t="s">
        <v>185</v>
      </c>
      <c r="AD338" s="17" t="s">
        <v>206</v>
      </c>
      <c r="AE338" s="17" t="s">
        <v>202</v>
      </c>
      <c r="AF338" s="1">
        <f t="shared" si="35"/>
        <v>1</v>
      </c>
      <c r="AG338" s="1">
        <f t="shared" si="36"/>
        <v>0</v>
      </c>
      <c r="AH338" s="1">
        <f t="shared" si="37"/>
        <v>0</v>
      </c>
    </row>
    <row r="339" spans="19:34">
      <c r="S339" s="17">
        <v>2</v>
      </c>
      <c r="T339" s="18"/>
      <c r="U339" s="17">
        <v>1</v>
      </c>
      <c r="V339" s="17" t="s">
        <v>51</v>
      </c>
      <c r="W339" s="18">
        <v>4</v>
      </c>
      <c r="X339" s="18" t="s">
        <v>342</v>
      </c>
      <c r="Y339" s="18">
        <f t="shared" si="39"/>
        <v>0</v>
      </c>
      <c r="Z339" s="17" t="s">
        <v>21</v>
      </c>
      <c r="AA339" s="17">
        <v>2</v>
      </c>
      <c r="AB339" s="17" t="s">
        <v>180</v>
      </c>
      <c r="AC339" s="17" t="s">
        <v>172</v>
      </c>
      <c r="AD339" s="17" t="s">
        <v>200</v>
      </c>
      <c r="AE339" s="17" t="s">
        <v>198</v>
      </c>
      <c r="AF339" s="1">
        <f t="shared" si="35"/>
        <v>1</v>
      </c>
      <c r="AG339" s="1">
        <f t="shared" si="36"/>
        <v>0</v>
      </c>
      <c r="AH339" s="1">
        <f t="shared" si="37"/>
        <v>0</v>
      </c>
    </row>
    <row r="340" spans="19:34">
      <c r="S340" s="17">
        <v>3</v>
      </c>
      <c r="T340" s="18"/>
      <c r="U340" s="17">
        <v>2</v>
      </c>
      <c r="V340" s="17" t="s">
        <v>51</v>
      </c>
      <c r="W340" s="18">
        <v>2</v>
      </c>
      <c r="X340" s="18" t="s">
        <v>342</v>
      </c>
      <c r="Y340" s="18">
        <f t="shared" si="39"/>
        <v>2</v>
      </c>
      <c r="Z340" s="17" t="s">
        <v>69</v>
      </c>
      <c r="AA340" s="17">
        <v>1</v>
      </c>
      <c r="AB340" s="17" t="s">
        <v>176</v>
      </c>
      <c r="AC340" s="17" t="s">
        <v>183</v>
      </c>
      <c r="AD340" s="17" t="s">
        <v>204</v>
      </c>
      <c r="AE340" s="17" t="s">
        <v>212</v>
      </c>
      <c r="AF340" s="1">
        <f t="shared" si="35"/>
        <v>0</v>
      </c>
      <c r="AG340" s="1">
        <f t="shared" si="36"/>
        <v>1</v>
      </c>
      <c r="AH340" s="1">
        <f t="shared" si="37"/>
        <v>0</v>
      </c>
    </row>
    <row r="341" spans="19:34">
      <c r="S341" s="17">
        <v>4</v>
      </c>
      <c r="T341" s="18"/>
      <c r="U341" s="17">
        <v>1</v>
      </c>
      <c r="V341" s="17" t="s">
        <v>51</v>
      </c>
      <c r="W341" s="18">
        <v>1</v>
      </c>
      <c r="X341" s="18" t="s">
        <v>342</v>
      </c>
      <c r="Y341" s="18">
        <f t="shared" si="39"/>
        <v>3</v>
      </c>
      <c r="Z341" s="17" t="s">
        <v>18</v>
      </c>
      <c r="AA341" s="17">
        <v>2</v>
      </c>
      <c r="AB341" s="17" t="s">
        <v>196</v>
      </c>
      <c r="AC341" s="17" t="s">
        <v>193</v>
      </c>
      <c r="AD341" s="17" t="s">
        <v>208</v>
      </c>
      <c r="AE341" s="17" t="s">
        <v>164</v>
      </c>
      <c r="AF341" s="1">
        <f t="shared" si="35"/>
        <v>0</v>
      </c>
      <c r="AG341" s="1">
        <f t="shared" si="36"/>
        <v>0</v>
      </c>
      <c r="AH341" s="1">
        <f t="shared" si="37"/>
        <v>1</v>
      </c>
    </row>
    <row r="342" spans="19:34">
      <c r="S342" s="17">
        <v>5</v>
      </c>
      <c r="T342" s="18"/>
      <c r="U342" s="17">
        <v>2</v>
      </c>
      <c r="V342" s="17" t="s">
        <v>51</v>
      </c>
      <c r="W342" s="18">
        <v>4</v>
      </c>
      <c r="X342" s="18" t="s">
        <v>342</v>
      </c>
      <c r="Y342" s="18">
        <f t="shared" si="39"/>
        <v>0</v>
      </c>
      <c r="Z342" s="17" t="s">
        <v>91</v>
      </c>
      <c r="AA342" s="17">
        <v>1</v>
      </c>
      <c r="AB342" s="17" t="s">
        <v>214</v>
      </c>
      <c r="AC342" s="17" t="s">
        <v>210</v>
      </c>
      <c r="AD342" s="17" t="s">
        <v>187</v>
      </c>
      <c r="AE342" s="17" t="s">
        <v>189</v>
      </c>
      <c r="AF342" s="1">
        <f t="shared" si="35"/>
        <v>1</v>
      </c>
      <c r="AG342" s="1">
        <f t="shared" si="36"/>
        <v>0</v>
      </c>
      <c r="AH342" s="1">
        <f t="shared" si="37"/>
        <v>0</v>
      </c>
    </row>
    <row r="343" spans="19:34">
      <c r="S343" s="17">
        <v>6</v>
      </c>
      <c r="T343" s="18"/>
      <c r="U343" s="17">
        <v>2</v>
      </c>
      <c r="V343" s="17" t="s">
        <v>51</v>
      </c>
      <c r="W343" s="18">
        <v>4</v>
      </c>
      <c r="X343" s="18" t="s">
        <v>342</v>
      </c>
      <c r="Y343" s="18">
        <f t="shared" si="39"/>
        <v>0</v>
      </c>
      <c r="Z343" s="17" t="s">
        <v>378</v>
      </c>
      <c r="AA343" s="17">
        <v>1</v>
      </c>
      <c r="AB343" s="17" t="s">
        <v>204</v>
      </c>
      <c r="AC343" s="17" t="s">
        <v>210</v>
      </c>
      <c r="AD343" s="17" t="s">
        <v>180</v>
      </c>
      <c r="AE343" s="17" t="s">
        <v>189</v>
      </c>
      <c r="AF343" s="1">
        <f t="shared" si="35"/>
        <v>1</v>
      </c>
      <c r="AG343" s="1">
        <f t="shared" si="36"/>
        <v>0</v>
      </c>
      <c r="AH343" s="1">
        <f t="shared" si="37"/>
        <v>0</v>
      </c>
    </row>
    <row r="344" spans="19:34">
      <c r="S344" s="17">
        <v>7</v>
      </c>
      <c r="T344" s="18"/>
      <c r="U344" s="17">
        <v>2</v>
      </c>
      <c r="V344" s="17" t="s">
        <v>51</v>
      </c>
      <c r="W344" s="18">
        <v>4</v>
      </c>
      <c r="X344" s="18" t="s">
        <v>342</v>
      </c>
      <c r="Y344" s="18">
        <f t="shared" si="39"/>
        <v>0</v>
      </c>
      <c r="Z344" s="17" t="s">
        <v>53</v>
      </c>
      <c r="AA344" s="17">
        <v>1</v>
      </c>
      <c r="AB344" s="17" t="s">
        <v>187</v>
      </c>
      <c r="AC344" s="17" t="s">
        <v>206</v>
      </c>
      <c r="AD344" s="17" t="s">
        <v>183</v>
      </c>
      <c r="AE344" s="17" t="s">
        <v>196</v>
      </c>
      <c r="AF344" s="1">
        <f t="shared" si="35"/>
        <v>1</v>
      </c>
      <c r="AG344" s="1">
        <f t="shared" si="36"/>
        <v>0</v>
      </c>
      <c r="AH344" s="1">
        <f t="shared" si="37"/>
        <v>0</v>
      </c>
    </row>
    <row r="345" spans="19:34">
      <c r="S345" s="17">
        <v>8</v>
      </c>
      <c r="T345" s="18"/>
      <c r="U345" s="17">
        <v>1</v>
      </c>
      <c r="V345" s="17" t="s">
        <v>51</v>
      </c>
      <c r="W345" s="18">
        <v>3</v>
      </c>
      <c r="X345" s="18" t="s">
        <v>342</v>
      </c>
      <c r="Y345" s="18">
        <f t="shared" si="39"/>
        <v>1</v>
      </c>
      <c r="Z345" s="17" t="s">
        <v>57</v>
      </c>
      <c r="AA345" s="17">
        <v>2</v>
      </c>
      <c r="AB345" s="17" t="s">
        <v>200</v>
      </c>
      <c r="AC345" s="17" t="s">
        <v>198</v>
      </c>
      <c r="AD345" s="17" t="s">
        <v>212</v>
      </c>
      <c r="AE345" s="17" t="s">
        <v>185</v>
      </c>
      <c r="AF345" s="1">
        <f t="shared" si="35"/>
        <v>1</v>
      </c>
      <c r="AG345" s="1">
        <f t="shared" si="36"/>
        <v>0</v>
      </c>
      <c r="AH345" s="1">
        <f t="shared" si="37"/>
        <v>0</v>
      </c>
    </row>
    <row r="346" spans="19:34">
      <c r="S346" s="17">
        <v>9</v>
      </c>
      <c r="T346" s="18"/>
      <c r="U346" s="17">
        <v>1</v>
      </c>
      <c r="V346" s="17" t="s">
        <v>51</v>
      </c>
      <c r="W346" s="18">
        <v>0</v>
      </c>
      <c r="X346" s="18" t="s">
        <v>342</v>
      </c>
      <c r="Y346" s="18">
        <f t="shared" si="39"/>
        <v>4</v>
      </c>
      <c r="Z346" s="17" t="s">
        <v>55</v>
      </c>
      <c r="AA346" s="17">
        <v>2</v>
      </c>
      <c r="AB346" s="17" t="s">
        <v>202</v>
      </c>
      <c r="AC346" s="17" t="s">
        <v>164</v>
      </c>
      <c r="AD346" s="17" t="s">
        <v>191</v>
      </c>
      <c r="AE346" s="17" t="s">
        <v>176</v>
      </c>
      <c r="AF346" s="1">
        <f t="shared" si="35"/>
        <v>0</v>
      </c>
      <c r="AG346" s="1">
        <f t="shared" si="36"/>
        <v>0</v>
      </c>
      <c r="AH346" s="1">
        <f t="shared" si="37"/>
        <v>1</v>
      </c>
    </row>
    <row r="347" spans="19:34">
      <c r="S347" s="17">
        <v>10</v>
      </c>
      <c r="T347" s="18"/>
      <c r="U347" s="17">
        <v>1</v>
      </c>
      <c r="V347" s="17" t="s">
        <v>51</v>
      </c>
      <c r="W347" s="18">
        <v>0</v>
      </c>
      <c r="X347" s="18" t="s">
        <v>342</v>
      </c>
      <c r="Y347" s="18">
        <f t="shared" si="39"/>
        <v>4</v>
      </c>
      <c r="Z347" s="17" t="s">
        <v>47</v>
      </c>
      <c r="AA347" s="17">
        <v>2</v>
      </c>
      <c r="AB347" s="17" t="s">
        <v>172</v>
      </c>
      <c r="AC347" s="17" t="s">
        <v>208</v>
      </c>
      <c r="AD347" s="17" t="s">
        <v>214</v>
      </c>
      <c r="AE347" s="17" t="s">
        <v>193</v>
      </c>
      <c r="AF347" s="1">
        <f t="shared" si="35"/>
        <v>0</v>
      </c>
      <c r="AG347" s="1">
        <f t="shared" si="36"/>
        <v>0</v>
      </c>
      <c r="AH347" s="1">
        <f t="shared" si="37"/>
        <v>1</v>
      </c>
    </row>
    <row r="348" spans="19:34">
      <c r="S348" s="17">
        <v>11</v>
      </c>
      <c r="T348" s="18"/>
      <c r="U348" s="17">
        <v>1</v>
      </c>
      <c r="V348" s="17" t="s">
        <v>51</v>
      </c>
      <c r="W348" s="18">
        <v>0</v>
      </c>
      <c r="X348" s="18" t="s">
        <v>342</v>
      </c>
      <c r="Y348" s="18">
        <f t="shared" si="39"/>
        <v>4</v>
      </c>
      <c r="Z348" s="17" t="s">
        <v>73</v>
      </c>
      <c r="AA348" s="17">
        <v>2</v>
      </c>
      <c r="AB348" s="17" t="s">
        <v>193</v>
      </c>
      <c r="AC348" s="17" t="s">
        <v>206</v>
      </c>
      <c r="AD348" s="17" t="s">
        <v>172</v>
      </c>
      <c r="AE348" s="17" t="s">
        <v>210</v>
      </c>
      <c r="AF348" s="1">
        <f t="shared" si="35"/>
        <v>0</v>
      </c>
      <c r="AG348" s="1">
        <f t="shared" si="36"/>
        <v>0</v>
      </c>
      <c r="AH348" s="1">
        <f t="shared" si="37"/>
        <v>1</v>
      </c>
    </row>
    <row r="349" spans="19:34">
      <c r="S349" s="17">
        <v>12</v>
      </c>
      <c r="T349" s="18"/>
      <c r="U349" s="17">
        <v>1</v>
      </c>
      <c r="V349" s="17" t="s">
        <v>51</v>
      </c>
      <c r="W349" s="18">
        <v>0</v>
      </c>
      <c r="X349" s="18" t="s">
        <v>342</v>
      </c>
      <c r="Y349" s="18">
        <f t="shared" si="39"/>
        <v>4</v>
      </c>
      <c r="Z349" s="17" t="s">
        <v>63</v>
      </c>
      <c r="AA349" s="17">
        <v>2</v>
      </c>
      <c r="AB349" s="17" t="s">
        <v>214</v>
      </c>
      <c r="AC349" s="17" t="s">
        <v>180</v>
      </c>
      <c r="AD349" s="17" t="s">
        <v>176</v>
      </c>
      <c r="AE349" s="17" t="s">
        <v>202</v>
      </c>
      <c r="AF349" s="1">
        <f t="shared" si="35"/>
        <v>0</v>
      </c>
      <c r="AG349" s="1">
        <f t="shared" si="36"/>
        <v>0</v>
      </c>
      <c r="AH349" s="1">
        <f t="shared" si="37"/>
        <v>1</v>
      </c>
    </row>
    <row r="350" spans="19:34">
      <c r="S350" s="17">
        <v>13</v>
      </c>
      <c r="T350" s="18"/>
      <c r="U350" s="17">
        <v>1</v>
      </c>
      <c r="V350" s="17" t="s">
        <v>51</v>
      </c>
      <c r="W350" s="18">
        <v>1</v>
      </c>
      <c r="X350" s="18" t="s">
        <v>342</v>
      </c>
      <c r="Y350" s="18">
        <f t="shared" si="39"/>
        <v>3</v>
      </c>
      <c r="Z350" s="17" t="s">
        <v>29</v>
      </c>
      <c r="AA350" s="17">
        <v>2</v>
      </c>
      <c r="AB350" s="17" t="s">
        <v>183</v>
      </c>
      <c r="AC350" s="17" t="s">
        <v>208</v>
      </c>
      <c r="AD350" s="17" t="s">
        <v>189</v>
      </c>
      <c r="AE350" s="17" t="s">
        <v>196</v>
      </c>
      <c r="AF350" s="1">
        <f t="shared" si="35"/>
        <v>0</v>
      </c>
      <c r="AG350" s="1">
        <f t="shared" si="36"/>
        <v>0</v>
      </c>
      <c r="AH350" s="1">
        <f t="shared" si="37"/>
        <v>1</v>
      </c>
    </row>
    <row r="351" spans="19:34">
      <c r="S351" s="17">
        <v>14</v>
      </c>
      <c r="T351" s="18"/>
      <c r="U351" s="17">
        <v>1</v>
      </c>
      <c r="V351" s="17" t="s">
        <v>51</v>
      </c>
      <c r="W351" s="18">
        <v>1</v>
      </c>
      <c r="X351" s="18" t="s">
        <v>342</v>
      </c>
      <c r="Y351" s="18">
        <f t="shared" si="39"/>
        <v>3</v>
      </c>
      <c r="Z351" s="17" t="s">
        <v>119</v>
      </c>
      <c r="AA351" s="17">
        <v>2</v>
      </c>
      <c r="AB351" s="17" t="s">
        <v>204</v>
      </c>
      <c r="AC351" s="17" t="s">
        <v>185</v>
      </c>
      <c r="AD351" s="17" t="s">
        <v>164</v>
      </c>
      <c r="AE351" s="17" t="s">
        <v>187</v>
      </c>
      <c r="AF351" s="1">
        <f t="shared" si="35"/>
        <v>0</v>
      </c>
      <c r="AG351" s="1">
        <f t="shared" si="36"/>
        <v>0</v>
      </c>
      <c r="AH351" s="1">
        <f t="shared" si="37"/>
        <v>1</v>
      </c>
    </row>
    <row r="352" spans="19:34">
      <c r="S352" s="17">
        <v>15</v>
      </c>
      <c r="T352" s="18"/>
      <c r="U352" s="17">
        <v>1</v>
      </c>
      <c r="V352" s="17" t="s">
        <v>51</v>
      </c>
      <c r="W352" s="18">
        <v>0</v>
      </c>
      <c r="X352" s="18" t="s">
        <v>342</v>
      </c>
      <c r="Y352" s="18">
        <f t="shared" si="39"/>
        <v>4</v>
      </c>
      <c r="Z352" s="17" t="s">
        <v>35</v>
      </c>
      <c r="AA352" s="17">
        <v>2</v>
      </c>
      <c r="AB352" s="17" t="s">
        <v>198</v>
      </c>
      <c r="AC352" s="17" t="s">
        <v>212</v>
      </c>
      <c r="AD352" s="17" t="s">
        <v>200</v>
      </c>
      <c r="AE352" s="17" t="s">
        <v>191</v>
      </c>
      <c r="AF352" s="1">
        <f t="shared" si="35"/>
        <v>0</v>
      </c>
      <c r="AG352" s="1">
        <f t="shared" si="36"/>
        <v>0</v>
      </c>
      <c r="AH352" s="1">
        <f t="shared" si="37"/>
        <v>1</v>
      </c>
    </row>
    <row r="353" spans="19:34">
      <c r="S353" s="58" t="s">
        <v>339</v>
      </c>
      <c r="T353" s="58" t="s">
        <v>340</v>
      </c>
      <c r="U353" s="58" t="s">
        <v>341</v>
      </c>
      <c r="V353" s="58" t="s">
        <v>1</v>
      </c>
      <c r="W353" s="66" t="s">
        <v>220</v>
      </c>
      <c r="X353" s="66"/>
      <c r="Y353" s="66"/>
      <c r="Z353" s="58" t="s">
        <v>1</v>
      </c>
      <c r="AA353" s="58" t="s">
        <v>341</v>
      </c>
      <c r="AB353" s="58" t="s">
        <v>225</v>
      </c>
      <c r="AC353" s="58" t="s">
        <v>228</v>
      </c>
      <c r="AD353" s="58" t="s">
        <v>230</v>
      </c>
      <c r="AE353" s="58" t="s">
        <v>232</v>
      </c>
      <c r="AF353" s="1">
        <f t="shared" si="35"/>
        <v>1</v>
      </c>
      <c r="AG353" s="1">
        <f t="shared" si="36"/>
        <v>0</v>
      </c>
      <c r="AH353" s="1">
        <f t="shared" si="37"/>
        <v>0</v>
      </c>
    </row>
    <row r="354" spans="19:34">
      <c r="S354" s="17">
        <v>1</v>
      </c>
      <c r="T354" s="18"/>
      <c r="U354" s="17">
        <v>1</v>
      </c>
      <c r="V354" s="17" t="s">
        <v>29</v>
      </c>
      <c r="W354" s="18">
        <v>3</v>
      </c>
      <c r="X354" s="18" t="s">
        <v>342</v>
      </c>
      <c r="Y354" s="18">
        <f t="shared" ref="Y354:Y368" si="40">IF(W354="","",4-W354)</f>
        <v>1</v>
      </c>
      <c r="Z354" s="17" t="s">
        <v>18</v>
      </c>
      <c r="AA354" s="17">
        <v>2</v>
      </c>
      <c r="AB354" s="17" t="s">
        <v>191</v>
      </c>
      <c r="AC354" s="17" t="s">
        <v>185</v>
      </c>
      <c r="AD354" s="17" t="s">
        <v>206</v>
      </c>
      <c r="AE354" s="17" t="s">
        <v>202</v>
      </c>
      <c r="AF354" s="1">
        <f t="shared" si="35"/>
        <v>1</v>
      </c>
      <c r="AG354" s="1">
        <f t="shared" si="36"/>
        <v>0</v>
      </c>
      <c r="AH354" s="1">
        <f t="shared" si="37"/>
        <v>0</v>
      </c>
    </row>
    <row r="355" spans="19:34">
      <c r="S355" s="17">
        <v>2</v>
      </c>
      <c r="T355" s="18"/>
      <c r="U355" s="17">
        <v>1</v>
      </c>
      <c r="V355" s="17" t="s">
        <v>29</v>
      </c>
      <c r="W355" s="18">
        <v>4</v>
      </c>
      <c r="X355" s="18" t="s">
        <v>342</v>
      </c>
      <c r="Y355" s="18">
        <f t="shared" si="40"/>
        <v>0</v>
      </c>
      <c r="Z355" s="17" t="s">
        <v>69</v>
      </c>
      <c r="AA355" s="17">
        <v>2</v>
      </c>
      <c r="AB355" s="17" t="s">
        <v>180</v>
      </c>
      <c r="AC355" s="17" t="s">
        <v>172</v>
      </c>
      <c r="AD355" s="17" t="s">
        <v>200</v>
      </c>
      <c r="AE355" s="17" t="s">
        <v>198</v>
      </c>
      <c r="AF355" s="1">
        <f t="shared" si="35"/>
        <v>1</v>
      </c>
      <c r="AG355" s="1">
        <f t="shared" si="36"/>
        <v>0</v>
      </c>
      <c r="AH355" s="1">
        <f t="shared" si="37"/>
        <v>0</v>
      </c>
    </row>
    <row r="356" spans="19:34">
      <c r="S356" s="17">
        <v>3</v>
      </c>
      <c r="T356" s="18"/>
      <c r="U356" s="17">
        <v>1</v>
      </c>
      <c r="V356" s="17" t="s">
        <v>29</v>
      </c>
      <c r="W356" s="18">
        <v>4</v>
      </c>
      <c r="X356" s="18" t="s">
        <v>342</v>
      </c>
      <c r="Y356" s="18">
        <f t="shared" si="40"/>
        <v>0</v>
      </c>
      <c r="Z356" s="17" t="s">
        <v>21</v>
      </c>
      <c r="AA356" s="17">
        <v>2</v>
      </c>
      <c r="AB356" s="17" t="s">
        <v>176</v>
      </c>
      <c r="AC356" s="17" t="s">
        <v>183</v>
      </c>
      <c r="AD356" s="17" t="s">
        <v>204</v>
      </c>
      <c r="AE356" s="17" t="s">
        <v>212</v>
      </c>
      <c r="AF356" s="1">
        <f t="shared" si="35"/>
        <v>1</v>
      </c>
      <c r="AG356" s="1">
        <f t="shared" si="36"/>
        <v>0</v>
      </c>
      <c r="AH356" s="1">
        <f t="shared" si="37"/>
        <v>0</v>
      </c>
    </row>
    <row r="357" spans="19:34">
      <c r="S357" s="17">
        <v>4</v>
      </c>
      <c r="T357" s="18"/>
      <c r="U357" s="17">
        <v>1</v>
      </c>
      <c r="V357" s="17" t="s">
        <v>29</v>
      </c>
      <c r="W357" s="18">
        <v>4</v>
      </c>
      <c r="X357" s="18" t="s">
        <v>342</v>
      </c>
      <c r="Y357" s="18">
        <f t="shared" si="40"/>
        <v>0</v>
      </c>
      <c r="Z357" s="17" t="s">
        <v>127</v>
      </c>
      <c r="AA357" s="17">
        <v>2</v>
      </c>
      <c r="AB357" s="17" t="s">
        <v>196</v>
      </c>
      <c r="AC357" s="17" t="s">
        <v>193</v>
      </c>
      <c r="AD357" s="17" t="s">
        <v>208</v>
      </c>
      <c r="AE357" s="17" t="s">
        <v>164</v>
      </c>
      <c r="AF357" s="1">
        <f t="shared" si="35"/>
        <v>1</v>
      </c>
      <c r="AG357" s="1">
        <f t="shared" si="36"/>
        <v>0</v>
      </c>
      <c r="AH357" s="1">
        <f t="shared" si="37"/>
        <v>0</v>
      </c>
    </row>
    <row r="358" spans="19:34">
      <c r="S358" s="17">
        <v>5</v>
      </c>
      <c r="T358" s="18"/>
      <c r="U358" s="17">
        <v>2</v>
      </c>
      <c r="V358" s="17" t="s">
        <v>29</v>
      </c>
      <c r="W358" s="18">
        <v>4</v>
      </c>
      <c r="X358" s="18" t="s">
        <v>342</v>
      </c>
      <c r="Y358" s="18">
        <f t="shared" si="40"/>
        <v>0</v>
      </c>
      <c r="Z358" s="17" t="s">
        <v>57</v>
      </c>
      <c r="AA358" s="17">
        <v>1</v>
      </c>
      <c r="AB358" s="17" t="s">
        <v>214</v>
      </c>
      <c r="AC358" s="17" t="s">
        <v>210</v>
      </c>
      <c r="AD358" s="17" t="s">
        <v>187</v>
      </c>
      <c r="AE358" s="17" t="s">
        <v>189</v>
      </c>
      <c r="AF358" s="1">
        <f t="shared" si="35"/>
        <v>1</v>
      </c>
      <c r="AG358" s="1">
        <f t="shared" si="36"/>
        <v>0</v>
      </c>
      <c r="AH358" s="1">
        <f t="shared" si="37"/>
        <v>0</v>
      </c>
    </row>
    <row r="359" spans="19:34">
      <c r="S359" s="17">
        <v>6</v>
      </c>
      <c r="T359" s="18"/>
      <c r="U359" s="17">
        <v>2</v>
      </c>
      <c r="V359" s="17" t="s">
        <v>29</v>
      </c>
      <c r="W359" s="18">
        <v>4</v>
      </c>
      <c r="X359" s="18" t="s">
        <v>342</v>
      </c>
      <c r="Y359" s="18">
        <f t="shared" si="40"/>
        <v>0</v>
      </c>
      <c r="Z359" s="17" t="s">
        <v>53</v>
      </c>
      <c r="AA359" s="17">
        <v>1</v>
      </c>
      <c r="AB359" s="17" t="s">
        <v>204</v>
      </c>
      <c r="AC359" s="17" t="s">
        <v>210</v>
      </c>
      <c r="AD359" s="17" t="s">
        <v>180</v>
      </c>
      <c r="AE359" s="17" t="s">
        <v>189</v>
      </c>
      <c r="AF359" s="1">
        <f t="shared" si="35"/>
        <v>1</v>
      </c>
      <c r="AG359" s="1">
        <f t="shared" si="36"/>
        <v>0</v>
      </c>
      <c r="AH359" s="1">
        <f t="shared" si="37"/>
        <v>0</v>
      </c>
    </row>
    <row r="360" spans="19:34">
      <c r="S360" s="17">
        <v>7</v>
      </c>
      <c r="T360" s="18"/>
      <c r="U360" s="17">
        <v>1</v>
      </c>
      <c r="V360" s="17" t="s">
        <v>29</v>
      </c>
      <c r="W360" s="18">
        <v>4</v>
      </c>
      <c r="X360" s="18" t="s">
        <v>342</v>
      </c>
      <c r="Y360" s="18">
        <f t="shared" si="40"/>
        <v>0</v>
      </c>
      <c r="Z360" s="17" t="s">
        <v>378</v>
      </c>
      <c r="AA360" s="17">
        <v>2</v>
      </c>
      <c r="AB360" s="17" t="s">
        <v>187</v>
      </c>
      <c r="AC360" s="17" t="s">
        <v>206</v>
      </c>
      <c r="AD360" s="17" t="s">
        <v>183</v>
      </c>
      <c r="AE360" s="17" t="s">
        <v>196</v>
      </c>
      <c r="AF360" s="1">
        <f t="shared" si="35"/>
        <v>1</v>
      </c>
      <c r="AG360" s="1">
        <f t="shared" si="36"/>
        <v>0</v>
      </c>
      <c r="AH360" s="1">
        <f t="shared" si="37"/>
        <v>0</v>
      </c>
    </row>
    <row r="361" spans="19:34">
      <c r="S361" s="17">
        <v>8</v>
      </c>
      <c r="T361" s="18"/>
      <c r="U361" s="17">
        <v>2</v>
      </c>
      <c r="V361" s="17" t="s">
        <v>29</v>
      </c>
      <c r="W361" s="18">
        <v>4</v>
      </c>
      <c r="X361" s="18" t="s">
        <v>342</v>
      </c>
      <c r="Y361" s="18">
        <f t="shared" si="40"/>
        <v>0</v>
      </c>
      <c r="Z361" s="17" t="s">
        <v>91</v>
      </c>
      <c r="AA361" s="17">
        <v>1</v>
      </c>
      <c r="AB361" s="17" t="s">
        <v>200</v>
      </c>
      <c r="AC361" s="17" t="s">
        <v>198</v>
      </c>
      <c r="AD361" s="17" t="s">
        <v>212</v>
      </c>
      <c r="AE361" s="17" t="s">
        <v>185</v>
      </c>
      <c r="AF361" s="1">
        <f t="shared" si="35"/>
        <v>1</v>
      </c>
      <c r="AG361" s="1">
        <f t="shared" si="36"/>
        <v>0</v>
      </c>
      <c r="AH361" s="1">
        <f t="shared" si="37"/>
        <v>0</v>
      </c>
    </row>
    <row r="362" spans="19:34">
      <c r="S362" s="17">
        <v>9</v>
      </c>
      <c r="T362" s="18"/>
      <c r="U362" s="17">
        <v>1</v>
      </c>
      <c r="V362" s="17" t="s">
        <v>29</v>
      </c>
      <c r="W362" s="18">
        <v>1</v>
      </c>
      <c r="X362" s="18" t="s">
        <v>342</v>
      </c>
      <c r="Y362" s="18">
        <f t="shared" si="40"/>
        <v>3</v>
      </c>
      <c r="Z362" s="17" t="s">
        <v>63</v>
      </c>
      <c r="AA362" s="17">
        <v>2</v>
      </c>
      <c r="AB362" s="17" t="s">
        <v>202</v>
      </c>
      <c r="AC362" s="17" t="s">
        <v>164</v>
      </c>
      <c r="AD362" s="17" t="s">
        <v>191</v>
      </c>
      <c r="AE362" s="17" t="s">
        <v>176</v>
      </c>
      <c r="AF362" s="1">
        <f t="shared" si="35"/>
        <v>0</v>
      </c>
      <c r="AG362" s="1">
        <f t="shared" si="36"/>
        <v>0</v>
      </c>
      <c r="AH362" s="1">
        <f t="shared" si="37"/>
        <v>1</v>
      </c>
    </row>
    <row r="363" spans="19:34">
      <c r="S363" s="17">
        <v>10</v>
      </c>
      <c r="T363" s="18"/>
      <c r="U363" s="17">
        <v>1</v>
      </c>
      <c r="V363" s="17" t="s">
        <v>29</v>
      </c>
      <c r="W363" s="18">
        <v>0</v>
      </c>
      <c r="X363" s="18" t="s">
        <v>342</v>
      </c>
      <c r="Y363" s="18">
        <f t="shared" si="40"/>
        <v>4</v>
      </c>
      <c r="Z363" s="17" t="s">
        <v>73</v>
      </c>
      <c r="AA363" s="17">
        <v>2</v>
      </c>
      <c r="AB363" s="17" t="s">
        <v>172</v>
      </c>
      <c r="AC363" s="17" t="s">
        <v>208</v>
      </c>
      <c r="AD363" s="17" t="s">
        <v>214</v>
      </c>
      <c r="AE363" s="17" t="s">
        <v>193</v>
      </c>
      <c r="AF363" s="1">
        <f t="shared" si="35"/>
        <v>0</v>
      </c>
      <c r="AG363" s="1">
        <f t="shared" si="36"/>
        <v>0</v>
      </c>
      <c r="AH363" s="1">
        <f t="shared" si="37"/>
        <v>1</v>
      </c>
    </row>
    <row r="364" spans="19:34">
      <c r="S364" s="17">
        <v>11</v>
      </c>
      <c r="T364" s="18"/>
      <c r="U364" s="17">
        <v>2</v>
      </c>
      <c r="V364" s="17" t="s">
        <v>29</v>
      </c>
      <c r="W364" s="18">
        <v>3</v>
      </c>
      <c r="X364" s="18" t="s">
        <v>342</v>
      </c>
      <c r="Y364" s="18">
        <f t="shared" si="40"/>
        <v>1</v>
      </c>
      <c r="Z364" s="17" t="s">
        <v>47</v>
      </c>
      <c r="AA364" s="17">
        <v>1</v>
      </c>
      <c r="AB364" s="17" t="s">
        <v>193</v>
      </c>
      <c r="AC364" s="17" t="s">
        <v>206</v>
      </c>
      <c r="AD364" s="17" t="s">
        <v>172</v>
      </c>
      <c r="AE364" s="17" t="s">
        <v>210</v>
      </c>
      <c r="AF364" s="1">
        <f t="shared" si="35"/>
        <v>1</v>
      </c>
      <c r="AG364" s="1">
        <f t="shared" si="36"/>
        <v>0</v>
      </c>
      <c r="AH364" s="1">
        <f t="shared" si="37"/>
        <v>0</v>
      </c>
    </row>
    <row r="365" spans="19:34">
      <c r="S365" s="17">
        <v>12</v>
      </c>
      <c r="T365" s="18"/>
      <c r="U365" s="17">
        <v>1</v>
      </c>
      <c r="V365" s="17" t="s">
        <v>29</v>
      </c>
      <c r="W365" s="18">
        <v>1</v>
      </c>
      <c r="X365" s="18" t="s">
        <v>342</v>
      </c>
      <c r="Y365" s="18">
        <f t="shared" si="40"/>
        <v>3</v>
      </c>
      <c r="Z365" s="17" t="s">
        <v>55</v>
      </c>
      <c r="AA365" s="17">
        <v>2</v>
      </c>
      <c r="AB365" s="17" t="s">
        <v>214</v>
      </c>
      <c r="AC365" s="17" t="s">
        <v>180</v>
      </c>
      <c r="AD365" s="17" t="s">
        <v>176</v>
      </c>
      <c r="AE365" s="17" t="s">
        <v>202</v>
      </c>
      <c r="AF365" s="1">
        <f t="shared" si="35"/>
        <v>0</v>
      </c>
      <c r="AG365" s="1">
        <f t="shared" si="36"/>
        <v>0</v>
      </c>
      <c r="AH365" s="1">
        <f t="shared" si="37"/>
        <v>1</v>
      </c>
    </row>
    <row r="366" spans="19:34">
      <c r="S366" s="17">
        <v>13</v>
      </c>
      <c r="T366" s="18"/>
      <c r="U366" s="17">
        <v>2</v>
      </c>
      <c r="V366" s="17" t="s">
        <v>29</v>
      </c>
      <c r="W366" s="18">
        <v>3</v>
      </c>
      <c r="X366" s="18" t="s">
        <v>342</v>
      </c>
      <c r="Y366" s="18">
        <f t="shared" si="40"/>
        <v>1</v>
      </c>
      <c r="Z366" s="17" t="s">
        <v>51</v>
      </c>
      <c r="AA366" s="17">
        <v>1</v>
      </c>
      <c r="AB366" s="17" t="s">
        <v>183</v>
      </c>
      <c r="AC366" s="17" t="s">
        <v>208</v>
      </c>
      <c r="AD366" s="17" t="s">
        <v>189</v>
      </c>
      <c r="AE366" s="17" t="s">
        <v>196</v>
      </c>
      <c r="AF366" s="1">
        <f t="shared" si="35"/>
        <v>1</v>
      </c>
      <c r="AG366" s="1">
        <f t="shared" si="36"/>
        <v>0</v>
      </c>
      <c r="AH366" s="1">
        <f t="shared" si="37"/>
        <v>0</v>
      </c>
    </row>
    <row r="367" spans="19:34">
      <c r="S367" s="17">
        <v>14</v>
      </c>
      <c r="T367" s="18"/>
      <c r="U367" s="17">
        <v>1</v>
      </c>
      <c r="V367" s="17" t="s">
        <v>29</v>
      </c>
      <c r="W367" s="18">
        <v>1</v>
      </c>
      <c r="X367" s="18" t="s">
        <v>342</v>
      </c>
      <c r="Y367" s="18">
        <f t="shared" si="40"/>
        <v>3</v>
      </c>
      <c r="Z367" s="17" t="s">
        <v>35</v>
      </c>
      <c r="AA367" s="17">
        <v>2</v>
      </c>
      <c r="AB367" s="17" t="s">
        <v>204</v>
      </c>
      <c r="AC367" s="17" t="s">
        <v>185</v>
      </c>
      <c r="AD367" s="17" t="s">
        <v>164</v>
      </c>
      <c r="AE367" s="17" t="s">
        <v>187</v>
      </c>
      <c r="AF367" s="1">
        <f t="shared" si="35"/>
        <v>0</v>
      </c>
      <c r="AG367" s="1">
        <f t="shared" si="36"/>
        <v>0</v>
      </c>
      <c r="AH367" s="1">
        <f t="shared" si="37"/>
        <v>1</v>
      </c>
    </row>
    <row r="368" spans="19:34">
      <c r="S368" s="17">
        <v>15</v>
      </c>
      <c r="T368" s="18"/>
      <c r="U368" s="17">
        <v>2</v>
      </c>
      <c r="V368" s="17" t="s">
        <v>29</v>
      </c>
      <c r="W368" s="18">
        <v>4</v>
      </c>
      <c r="X368" s="18" t="s">
        <v>342</v>
      </c>
      <c r="Y368" s="18">
        <f t="shared" si="40"/>
        <v>0</v>
      </c>
      <c r="Z368" s="17" t="s">
        <v>119</v>
      </c>
      <c r="AA368" s="17">
        <v>1</v>
      </c>
      <c r="AB368" s="17" t="s">
        <v>198</v>
      </c>
      <c r="AC368" s="17" t="s">
        <v>212</v>
      </c>
      <c r="AD368" s="17" t="s">
        <v>200</v>
      </c>
      <c r="AE368" s="17" t="s">
        <v>191</v>
      </c>
      <c r="AF368" s="1">
        <f t="shared" si="35"/>
        <v>1</v>
      </c>
      <c r="AG368" s="1">
        <f t="shared" si="36"/>
        <v>0</v>
      </c>
      <c r="AH368" s="1">
        <f t="shared" si="37"/>
        <v>0</v>
      </c>
    </row>
    <row r="369" spans="19:34">
      <c r="S369" s="58" t="s">
        <v>339</v>
      </c>
      <c r="T369" s="58" t="s">
        <v>340</v>
      </c>
      <c r="U369" s="58" t="s">
        <v>341</v>
      </c>
      <c r="V369" s="58" t="s">
        <v>1</v>
      </c>
      <c r="W369" s="66" t="s">
        <v>220</v>
      </c>
      <c r="X369" s="66"/>
      <c r="Y369" s="66"/>
      <c r="Z369" s="58" t="s">
        <v>1</v>
      </c>
      <c r="AA369" s="58" t="s">
        <v>341</v>
      </c>
      <c r="AB369" s="58" t="s">
        <v>225</v>
      </c>
      <c r="AC369" s="58" t="s">
        <v>228</v>
      </c>
      <c r="AD369" s="58" t="s">
        <v>230</v>
      </c>
      <c r="AE369" s="58" t="s">
        <v>232</v>
      </c>
      <c r="AF369" s="1">
        <f t="shared" si="35"/>
        <v>1</v>
      </c>
      <c r="AG369" s="1">
        <f t="shared" si="36"/>
        <v>0</v>
      </c>
      <c r="AH369" s="1">
        <f t="shared" si="37"/>
        <v>0</v>
      </c>
    </row>
    <row r="370" spans="19:34">
      <c r="S370" s="17">
        <v>1</v>
      </c>
      <c r="T370" s="18"/>
      <c r="U370" s="17">
        <v>1</v>
      </c>
      <c r="V370" s="17" t="s">
        <v>119</v>
      </c>
      <c r="W370" s="18">
        <v>1</v>
      </c>
      <c r="X370" s="18" t="s">
        <v>342</v>
      </c>
      <c r="Y370" s="18">
        <f t="shared" ref="Y370:Y384" si="41">IF(W370="","",4-W370)</f>
        <v>3</v>
      </c>
      <c r="Z370" s="17" t="s">
        <v>69</v>
      </c>
      <c r="AA370" s="17">
        <v>2</v>
      </c>
      <c r="AB370" s="17" t="s">
        <v>191</v>
      </c>
      <c r="AC370" s="17" t="s">
        <v>185</v>
      </c>
      <c r="AD370" s="17" t="s">
        <v>206</v>
      </c>
      <c r="AE370" s="17" t="s">
        <v>202</v>
      </c>
      <c r="AF370" s="1">
        <f t="shared" si="35"/>
        <v>0</v>
      </c>
      <c r="AG370" s="1">
        <f t="shared" si="36"/>
        <v>0</v>
      </c>
      <c r="AH370" s="1">
        <f t="shared" si="37"/>
        <v>1</v>
      </c>
    </row>
    <row r="371" spans="19:34">
      <c r="S371" s="17">
        <v>2</v>
      </c>
      <c r="T371" s="18"/>
      <c r="U371" s="17">
        <v>1</v>
      </c>
      <c r="V371" s="17" t="s">
        <v>119</v>
      </c>
      <c r="W371" s="18">
        <v>3</v>
      </c>
      <c r="X371" s="18" t="s">
        <v>342</v>
      </c>
      <c r="Y371" s="18">
        <f t="shared" si="41"/>
        <v>1</v>
      </c>
      <c r="Z371" s="17" t="s">
        <v>18</v>
      </c>
      <c r="AA371" s="17">
        <v>2</v>
      </c>
      <c r="AB371" s="17" t="s">
        <v>180</v>
      </c>
      <c r="AC371" s="17" t="s">
        <v>172</v>
      </c>
      <c r="AD371" s="17" t="s">
        <v>200</v>
      </c>
      <c r="AE371" s="17" t="s">
        <v>198</v>
      </c>
      <c r="AF371" s="1">
        <f t="shared" si="35"/>
        <v>1</v>
      </c>
      <c r="AG371" s="1">
        <f t="shared" si="36"/>
        <v>0</v>
      </c>
      <c r="AH371" s="1">
        <f t="shared" si="37"/>
        <v>0</v>
      </c>
    </row>
    <row r="372" spans="19:34">
      <c r="S372" s="17">
        <v>3</v>
      </c>
      <c r="T372" s="18"/>
      <c r="U372" s="17">
        <v>1</v>
      </c>
      <c r="V372" s="17" t="s">
        <v>119</v>
      </c>
      <c r="W372" s="18">
        <v>3</v>
      </c>
      <c r="X372" s="18" t="s">
        <v>342</v>
      </c>
      <c r="Y372" s="18">
        <f t="shared" si="41"/>
        <v>1</v>
      </c>
      <c r="Z372" s="17" t="s">
        <v>127</v>
      </c>
      <c r="AA372" s="17">
        <v>2</v>
      </c>
      <c r="AB372" s="17" t="s">
        <v>176</v>
      </c>
      <c r="AC372" s="17" t="s">
        <v>183</v>
      </c>
      <c r="AD372" s="17" t="s">
        <v>204</v>
      </c>
      <c r="AE372" s="17" t="s">
        <v>212</v>
      </c>
      <c r="AF372" s="1">
        <f t="shared" si="35"/>
        <v>1</v>
      </c>
      <c r="AG372" s="1">
        <f t="shared" si="36"/>
        <v>0</v>
      </c>
      <c r="AH372" s="1">
        <f t="shared" si="37"/>
        <v>0</v>
      </c>
    </row>
    <row r="373" spans="19:34">
      <c r="S373" s="17">
        <v>4</v>
      </c>
      <c r="T373" s="18"/>
      <c r="U373" s="17">
        <v>1</v>
      </c>
      <c r="V373" s="17" t="s">
        <v>119</v>
      </c>
      <c r="W373" s="18">
        <v>4</v>
      </c>
      <c r="X373" s="18" t="s">
        <v>342</v>
      </c>
      <c r="Y373" s="18">
        <f t="shared" si="41"/>
        <v>0</v>
      </c>
      <c r="Z373" s="17" t="s">
        <v>21</v>
      </c>
      <c r="AA373" s="17">
        <v>2</v>
      </c>
      <c r="AB373" s="17" t="s">
        <v>196</v>
      </c>
      <c r="AC373" s="17" t="s">
        <v>193</v>
      </c>
      <c r="AD373" s="17" t="s">
        <v>208</v>
      </c>
      <c r="AE373" s="17" t="s">
        <v>164</v>
      </c>
      <c r="AF373" s="1">
        <f t="shared" si="35"/>
        <v>1</v>
      </c>
      <c r="AG373" s="1">
        <f t="shared" si="36"/>
        <v>0</v>
      </c>
      <c r="AH373" s="1">
        <f t="shared" si="37"/>
        <v>0</v>
      </c>
    </row>
    <row r="374" spans="19:34">
      <c r="S374" s="17">
        <v>5</v>
      </c>
      <c r="T374" s="18"/>
      <c r="U374" s="17">
        <v>2</v>
      </c>
      <c r="V374" s="17" t="s">
        <v>119</v>
      </c>
      <c r="W374" s="18">
        <v>4</v>
      </c>
      <c r="X374" s="18" t="s">
        <v>342</v>
      </c>
      <c r="Y374" s="18">
        <f t="shared" si="41"/>
        <v>0</v>
      </c>
      <c r="Z374" s="17" t="s">
        <v>53</v>
      </c>
      <c r="AA374" s="17">
        <v>1</v>
      </c>
      <c r="AB374" s="17" t="s">
        <v>214</v>
      </c>
      <c r="AC374" s="17" t="s">
        <v>210</v>
      </c>
      <c r="AD374" s="17" t="s">
        <v>187</v>
      </c>
      <c r="AE374" s="17" t="s">
        <v>189</v>
      </c>
      <c r="AF374" s="1">
        <f t="shared" si="35"/>
        <v>1</v>
      </c>
      <c r="AG374" s="1">
        <f t="shared" si="36"/>
        <v>0</v>
      </c>
      <c r="AH374" s="1">
        <f t="shared" si="37"/>
        <v>0</v>
      </c>
    </row>
    <row r="375" spans="19:34">
      <c r="S375" s="17">
        <v>6</v>
      </c>
      <c r="T375" s="18"/>
      <c r="U375" s="17">
        <v>1</v>
      </c>
      <c r="V375" s="17" t="s">
        <v>119</v>
      </c>
      <c r="W375" s="18">
        <v>4</v>
      </c>
      <c r="X375" s="18" t="s">
        <v>342</v>
      </c>
      <c r="Y375" s="18">
        <f t="shared" si="41"/>
        <v>0</v>
      </c>
      <c r="Z375" s="17" t="s">
        <v>57</v>
      </c>
      <c r="AA375" s="17">
        <v>2</v>
      </c>
      <c r="AB375" s="17" t="s">
        <v>204</v>
      </c>
      <c r="AC375" s="17" t="s">
        <v>210</v>
      </c>
      <c r="AD375" s="17" t="s">
        <v>180</v>
      </c>
      <c r="AE375" s="17" t="s">
        <v>189</v>
      </c>
      <c r="AF375" s="1">
        <f t="shared" si="35"/>
        <v>1</v>
      </c>
      <c r="AG375" s="1">
        <f t="shared" si="36"/>
        <v>0</v>
      </c>
      <c r="AH375" s="1">
        <f t="shared" si="37"/>
        <v>0</v>
      </c>
    </row>
    <row r="376" spans="19:34">
      <c r="S376" s="17">
        <v>7</v>
      </c>
      <c r="T376" s="18"/>
      <c r="U376" s="17">
        <v>2</v>
      </c>
      <c r="V376" s="17" t="s">
        <v>119</v>
      </c>
      <c r="W376" s="18">
        <v>3</v>
      </c>
      <c r="X376" s="18" t="s">
        <v>342</v>
      </c>
      <c r="Y376" s="18">
        <f t="shared" si="41"/>
        <v>1</v>
      </c>
      <c r="Z376" s="17" t="s">
        <v>91</v>
      </c>
      <c r="AA376" s="17">
        <v>1</v>
      </c>
      <c r="AB376" s="17" t="s">
        <v>187</v>
      </c>
      <c r="AC376" s="17" t="s">
        <v>206</v>
      </c>
      <c r="AD376" s="17" t="s">
        <v>183</v>
      </c>
      <c r="AE376" s="17" t="s">
        <v>196</v>
      </c>
      <c r="AF376" s="1">
        <f t="shared" si="35"/>
        <v>1</v>
      </c>
      <c r="AG376" s="1">
        <f t="shared" si="36"/>
        <v>0</v>
      </c>
      <c r="AH376" s="1">
        <f t="shared" si="37"/>
        <v>0</v>
      </c>
    </row>
    <row r="377" spans="19:34">
      <c r="S377" s="17">
        <v>8</v>
      </c>
      <c r="T377" s="18"/>
      <c r="U377" s="17">
        <v>1</v>
      </c>
      <c r="V377" s="17" t="s">
        <v>119</v>
      </c>
      <c r="W377" s="18">
        <v>4</v>
      </c>
      <c r="X377" s="18" t="s">
        <v>342</v>
      </c>
      <c r="Y377" s="18">
        <f t="shared" si="41"/>
        <v>0</v>
      </c>
      <c r="Z377" s="17" t="s">
        <v>378</v>
      </c>
      <c r="AA377" s="17">
        <v>2</v>
      </c>
      <c r="AB377" s="17" t="s">
        <v>200</v>
      </c>
      <c r="AC377" s="17" t="s">
        <v>198</v>
      </c>
      <c r="AD377" s="17" t="s">
        <v>212</v>
      </c>
      <c r="AE377" s="17" t="s">
        <v>185</v>
      </c>
      <c r="AF377" s="1">
        <f t="shared" si="35"/>
        <v>1</v>
      </c>
      <c r="AG377" s="1">
        <f t="shared" si="36"/>
        <v>0</v>
      </c>
      <c r="AH377" s="1">
        <f t="shared" si="37"/>
        <v>0</v>
      </c>
    </row>
    <row r="378" spans="19:34">
      <c r="S378" s="17">
        <v>9</v>
      </c>
      <c r="T378" s="18"/>
      <c r="U378" s="17">
        <v>2</v>
      </c>
      <c r="V378" s="17" t="s">
        <v>119</v>
      </c>
      <c r="W378" s="18">
        <v>1</v>
      </c>
      <c r="X378" s="18" t="s">
        <v>342</v>
      </c>
      <c r="Y378" s="18">
        <f t="shared" si="41"/>
        <v>3</v>
      </c>
      <c r="Z378" s="17" t="s">
        <v>73</v>
      </c>
      <c r="AA378" s="17">
        <v>1</v>
      </c>
      <c r="AB378" s="17" t="s">
        <v>202</v>
      </c>
      <c r="AC378" s="17" t="s">
        <v>164</v>
      </c>
      <c r="AD378" s="17" t="s">
        <v>191</v>
      </c>
      <c r="AE378" s="17" t="s">
        <v>176</v>
      </c>
      <c r="AF378" s="1">
        <f t="shared" si="35"/>
        <v>0</v>
      </c>
      <c r="AG378" s="1">
        <f t="shared" si="36"/>
        <v>0</v>
      </c>
      <c r="AH378" s="1">
        <f t="shared" si="37"/>
        <v>1</v>
      </c>
    </row>
    <row r="379" spans="19:34">
      <c r="S379" s="17">
        <v>10</v>
      </c>
      <c r="T379" s="18"/>
      <c r="U379" s="17">
        <v>1</v>
      </c>
      <c r="V379" s="17" t="s">
        <v>119</v>
      </c>
      <c r="W379" s="18">
        <v>0</v>
      </c>
      <c r="X379" s="18" t="s">
        <v>342</v>
      </c>
      <c r="Y379" s="18">
        <f t="shared" si="41"/>
        <v>4</v>
      </c>
      <c r="Z379" s="17" t="s">
        <v>63</v>
      </c>
      <c r="AA379" s="17">
        <v>2</v>
      </c>
      <c r="AB379" s="17" t="s">
        <v>172</v>
      </c>
      <c r="AC379" s="17" t="s">
        <v>208</v>
      </c>
      <c r="AD379" s="17" t="s">
        <v>214</v>
      </c>
      <c r="AE379" s="17" t="s">
        <v>193</v>
      </c>
      <c r="AF379" s="1">
        <f t="shared" si="35"/>
        <v>0</v>
      </c>
      <c r="AG379" s="1">
        <f t="shared" si="36"/>
        <v>0</v>
      </c>
      <c r="AH379" s="1">
        <f t="shared" si="37"/>
        <v>1</v>
      </c>
    </row>
    <row r="380" spans="19:34">
      <c r="S380" s="17">
        <v>11</v>
      </c>
      <c r="T380" s="18"/>
      <c r="U380" s="17">
        <v>1</v>
      </c>
      <c r="V380" s="17" t="s">
        <v>119</v>
      </c>
      <c r="W380" s="18">
        <v>0</v>
      </c>
      <c r="X380" s="18" t="s">
        <v>342</v>
      </c>
      <c r="Y380" s="18">
        <f t="shared" si="41"/>
        <v>4</v>
      </c>
      <c r="Z380" s="17" t="s">
        <v>55</v>
      </c>
      <c r="AA380" s="17">
        <v>2</v>
      </c>
      <c r="AB380" s="17" t="s">
        <v>193</v>
      </c>
      <c r="AC380" s="17" t="s">
        <v>206</v>
      </c>
      <c r="AD380" s="17" t="s">
        <v>172</v>
      </c>
      <c r="AE380" s="17" t="s">
        <v>210</v>
      </c>
      <c r="AF380" s="1">
        <f t="shared" si="35"/>
        <v>0</v>
      </c>
      <c r="AG380" s="1">
        <f t="shared" si="36"/>
        <v>0</v>
      </c>
      <c r="AH380" s="1">
        <f t="shared" si="37"/>
        <v>1</v>
      </c>
    </row>
    <row r="381" spans="19:34">
      <c r="S381" s="17">
        <v>12</v>
      </c>
      <c r="T381" s="18"/>
      <c r="U381" s="17">
        <v>1</v>
      </c>
      <c r="V381" s="17" t="s">
        <v>119</v>
      </c>
      <c r="W381" s="18">
        <v>2</v>
      </c>
      <c r="X381" s="18" t="s">
        <v>342</v>
      </c>
      <c r="Y381" s="18">
        <f t="shared" si="41"/>
        <v>2</v>
      </c>
      <c r="Z381" s="17" t="s">
        <v>47</v>
      </c>
      <c r="AA381" s="17">
        <v>2</v>
      </c>
      <c r="AB381" s="17" t="s">
        <v>214</v>
      </c>
      <c r="AC381" s="17" t="s">
        <v>180</v>
      </c>
      <c r="AD381" s="17" t="s">
        <v>176</v>
      </c>
      <c r="AE381" s="17" t="s">
        <v>202</v>
      </c>
      <c r="AF381" s="1">
        <f t="shared" si="35"/>
        <v>0</v>
      </c>
      <c r="AG381" s="1">
        <f t="shared" si="36"/>
        <v>1</v>
      </c>
      <c r="AH381" s="1">
        <f t="shared" si="37"/>
        <v>0</v>
      </c>
    </row>
    <row r="382" spans="19:34">
      <c r="S382" s="17">
        <v>13</v>
      </c>
      <c r="T382" s="18"/>
      <c r="U382" s="17">
        <v>2</v>
      </c>
      <c r="V382" s="17" t="s">
        <v>119</v>
      </c>
      <c r="W382" s="18">
        <v>0</v>
      </c>
      <c r="X382" s="18" t="s">
        <v>342</v>
      </c>
      <c r="Y382" s="18">
        <f t="shared" si="41"/>
        <v>4</v>
      </c>
      <c r="Z382" s="17" t="s">
        <v>35</v>
      </c>
      <c r="AA382" s="17">
        <v>1</v>
      </c>
      <c r="AB382" s="17" t="s">
        <v>183</v>
      </c>
      <c r="AC382" s="17" t="s">
        <v>208</v>
      </c>
      <c r="AD382" s="17" t="s">
        <v>189</v>
      </c>
      <c r="AE382" s="17" t="s">
        <v>196</v>
      </c>
      <c r="AF382" s="1">
        <f t="shared" si="35"/>
        <v>0</v>
      </c>
      <c r="AG382" s="1">
        <f t="shared" si="36"/>
        <v>0</v>
      </c>
      <c r="AH382" s="1">
        <f t="shared" si="37"/>
        <v>1</v>
      </c>
    </row>
    <row r="383" spans="19:34">
      <c r="S383" s="17">
        <v>14</v>
      </c>
      <c r="T383" s="18"/>
      <c r="U383" s="17">
        <v>2</v>
      </c>
      <c r="V383" s="17" t="s">
        <v>119</v>
      </c>
      <c r="W383" s="18">
        <v>3</v>
      </c>
      <c r="X383" s="18" t="s">
        <v>342</v>
      </c>
      <c r="Y383" s="18">
        <f t="shared" si="41"/>
        <v>1</v>
      </c>
      <c r="Z383" s="17" t="s">
        <v>51</v>
      </c>
      <c r="AA383" s="17">
        <v>1</v>
      </c>
      <c r="AB383" s="17" t="s">
        <v>204</v>
      </c>
      <c r="AC383" s="17" t="s">
        <v>185</v>
      </c>
      <c r="AD383" s="17" t="s">
        <v>164</v>
      </c>
      <c r="AE383" s="17" t="s">
        <v>187</v>
      </c>
      <c r="AF383" s="1">
        <f t="shared" si="35"/>
        <v>1</v>
      </c>
      <c r="AG383" s="1">
        <f t="shared" si="36"/>
        <v>0</v>
      </c>
      <c r="AH383" s="1">
        <f t="shared" si="37"/>
        <v>0</v>
      </c>
    </row>
    <row r="384" spans="19:34">
      <c r="S384" s="17">
        <v>15</v>
      </c>
      <c r="T384" s="18"/>
      <c r="U384" s="17">
        <v>1</v>
      </c>
      <c r="V384" s="17" t="s">
        <v>119</v>
      </c>
      <c r="W384" s="18">
        <v>0</v>
      </c>
      <c r="X384" s="18" t="s">
        <v>342</v>
      </c>
      <c r="Y384" s="18">
        <f t="shared" si="41"/>
        <v>4</v>
      </c>
      <c r="Z384" s="17" t="s">
        <v>29</v>
      </c>
      <c r="AA384" s="17">
        <v>2</v>
      </c>
      <c r="AB384" s="17" t="s">
        <v>198</v>
      </c>
      <c r="AC384" s="17" t="s">
        <v>212</v>
      </c>
      <c r="AD384" s="17" t="s">
        <v>200</v>
      </c>
      <c r="AE384" s="17" t="s">
        <v>191</v>
      </c>
      <c r="AF384" s="1">
        <f t="shared" si="35"/>
        <v>0</v>
      </c>
      <c r="AG384" s="1">
        <f t="shared" si="36"/>
        <v>0</v>
      </c>
      <c r="AH384" s="1">
        <f t="shared" si="37"/>
        <v>1</v>
      </c>
    </row>
    <row r="385" spans="19:34">
      <c r="S385" s="58" t="s">
        <v>339</v>
      </c>
      <c r="T385" s="58" t="s">
        <v>340</v>
      </c>
      <c r="U385" s="58" t="s">
        <v>341</v>
      </c>
      <c r="V385" s="58" t="s">
        <v>1</v>
      </c>
      <c r="W385" s="66" t="s">
        <v>220</v>
      </c>
      <c r="X385" s="66"/>
      <c r="Y385" s="66"/>
      <c r="Z385" s="58" t="s">
        <v>1</v>
      </c>
      <c r="AA385" s="58" t="s">
        <v>341</v>
      </c>
      <c r="AB385" s="58" t="s">
        <v>225</v>
      </c>
      <c r="AC385" s="58" t="s">
        <v>228</v>
      </c>
      <c r="AD385" s="58" t="s">
        <v>230</v>
      </c>
      <c r="AE385" s="58" t="s">
        <v>232</v>
      </c>
      <c r="AF385" s="1">
        <f t="shared" ref="AF385:AF448" si="42">IF(W385="",0,IF(W385&gt;Y385,1,0))</f>
        <v>1</v>
      </c>
      <c r="AG385" s="1">
        <f t="shared" ref="AG385:AG448" si="43">IF(W385="",0,IF(W385=Y385,1,0))</f>
        <v>0</v>
      </c>
      <c r="AH385" s="1">
        <f t="shared" ref="AH385:AH448" si="44">IF(W385="",0,IF(W385&lt;Y385,1,0))</f>
        <v>0</v>
      </c>
    </row>
    <row r="386" spans="19:34">
      <c r="S386" s="17">
        <v>1</v>
      </c>
      <c r="T386" s="18"/>
      <c r="U386" s="17">
        <v>2</v>
      </c>
      <c r="V386" s="17" t="s">
        <v>69</v>
      </c>
      <c r="W386" s="18">
        <v>3</v>
      </c>
      <c r="X386" s="18" t="s">
        <v>342</v>
      </c>
      <c r="Y386" s="18">
        <f t="shared" ref="Y386:Y400" si="45">IF(W386="","",4-W386)</f>
        <v>1</v>
      </c>
      <c r="Z386" s="17" t="s">
        <v>119</v>
      </c>
      <c r="AA386" s="17">
        <v>1</v>
      </c>
      <c r="AB386" s="17" t="s">
        <v>191</v>
      </c>
      <c r="AC386" s="17" t="s">
        <v>185</v>
      </c>
      <c r="AD386" s="17" t="s">
        <v>206</v>
      </c>
      <c r="AE386" s="17" t="s">
        <v>202</v>
      </c>
      <c r="AF386" s="1">
        <f t="shared" si="42"/>
        <v>1</v>
      </c>
      <c r="AG386" s="1">
        <f t="shared" si="43"/>
        <v>0</v>
      </c>
      <c r="AH386" s="1">
        <f t="shared" si="44"/>
        <v>0</v>
      </c>
    </row>
    <row r="387" spans="19:34">
      <c r="S387" s="17">
        <v>2</v>
      </c>
      <c r="T387" s="18"/>
      <c r="U387" s="17">
        <v>2</v>
      </c>
      <c r="V387" s="17" t="s">
        <v>69</v>
      </c>
      <c r="W387" s="18">
        <v>0</v>
      </c>
      <c r="X387" s="18" t="s">
        <v>342</v>
      </c>
      <c r="Y387" s="18">
        <f t="shared" si="45"/>
        <v>4</v>
      </c>
      <c r="Z387" s="17" t="s">
        <v>29</v>
      </c>
      <c r="AA387" s="17">
        <v>1</v>
      </c>
      <c r="AB387" s="17" t="s">
        <v>180</v>
      </c>
      <c r="AC387" s="17" t="s">
        <v>172</v>
      </c>
      <c r="AD387" s="17" t="s">
        <v>200</v>
      </c>
      <c r="AE387" s="17" t="s">
        <v>198</v>
      </c>
      <c r="AF387" s="1">
        <f t="shared" si="42"/>
        <v>0</v>
      </c>
      <c r="AG387" s="1">
        <f t="shared" si="43"/>
        <v>0</v>
      </c>
      <c r="AH387" s="1">
        <f t="shared" si="44"/>
        <v>1</v>
      </c>
    </row>
    <row r="388" spans="19:34">
      <c r="S388" s="17">
        <v>3</v>
      </c>
      <c r="T388" s="18"/>
      <c r="U388" s="17">
        <v>1</v>
      </c>
      <c r="V388" s="17" t="s">
        <v>69</v>
      </c>
      <c r="W388" s="18">
        <v>2</v>
      </c>
      <c r="X388" s="18" t="s">
        <v>342</v>
      </c>
      <c r="Y388" s="18">
        <f t="shared" si="45"/>
        <v>2</v>
      </c>
      <c r="Z388" s="17" t="s">
        <v>51</v>
      </c>
      <c r="AA388" s="17">
        <v>2</v>
      </c>
      <c r="AB388" s="17" t="s">
        <v>176</v>
      </c>
      <c r="AC388" s="17" t="s">
        <v>183</v>
      </c>
      <c r="AD388" s="17" t="s">
        <v>204</v>
      </c>
      <c r="AE388" s="17" t="s">
        <v>212</v>
      </c>
      <c r="AF388" s="1">
        <f t="shared" si="42"/>
        <v>0</v>
      </c>
      <c r="AG388" s="1">
        <f t="shared" si="43"/>
        <v>1</v>
      </c>
      <c r="AH388" s="1">
        <f t="shared" si="44"/>
        <v>0</v>
      </c>
    </row>
    <row r="389" spans="19:34">
      <c r="S389" s="17">
        <v>4</v>
      </c>
      <c r="T389" s="18"/>
      <c r="U389" s="17">
        <v>2</v>
      </c>
      <c r="V389" s="17" t="s">
        <v>69</v>
      </c>
      <c r="W389" s="18">
        <v>0</v>
      </c>
      <c r="X389" s="18" t="s">
        <v>342</v>
      </c>
      <c r="Y389" s="18">
        <f t="shared" si="45"/>
        <v>4</v>
      </c>
      <c r="Z389" s="17" t="s">
        <v>35</v>
      </c>
      <c r="AA389" s="17">
        <v>1</v>
      </c>
      <c r="AB389" s="17" t="s">
        <v>196</v>
      </c>
      <c r="AC389" s="17" t="s">
        <v>193</v>
      </c>
      <c r="AD389" s="17" t="s">
        <v>208</v>
      </c>
      <c r="AE389" s="17" t="s">
        <v>164</v>
      </c>
      <c r="AF389" s="1">
        <f t="shared" si="42"/>
        <v>0</v>
      </c>
      <c r="AG389" s="1">
        <f t="shared" si="43"/>
        <v>0</v>
      </c>
      <c r="AH389" s="1">
        <f t="shared" si="44"/>
        <v>1</v>
      </c>
    </row>
    <row r="390" spans="19:34">
      <c r="S390" s="17">
        <v>5</v>
      </c>
      <c r="T390" s="18"/>
      <c r="U390" s="17">
        <v>1</v>
      </c>
      <c r="V390" s="17" t="s">
        <v>69</v>
      </c>
      <c r="W390" s="18">
        <v>0</v>
      </c>
      <c r="X390" s="18" t="s">
        <v>342</v>
      </c>
      <c r="Y390" s="18">
        <f t="shared" si="45"/>
        <v>4</v>
      </c>
      <c r="Z390" s="17" t="s">
        <v>47</v>
      </c>
      <c r="AA390" s="17">
        <v>2</v>
      </c>
      <c r="AB390" s="17" t="s">
        <v>214</v>
      </c>
      <c r="AC390" s="17" t="s">
        <v>210</v>
      </c>
      <c r="AD390" s="17" t="s">
        <v>187</v>
      </c>
      <c r="AE390" s="17" t="s">
        <v>189</v>
      </c>
      <c r="AF390" s="1">
        <f t="shared" si="42"/>
        <v>0</v>
      </c>
      <c r="AG390" s="1">
        <f t="shared" si="43"/>
        <v>0</v>
      </c>
      <c r="AH390" s="1">
        <f t="shared" si="44"/>
        <v>1</v>
      </c>
    </row>
    <row r="391" spans="19:34">
      <c r="S391" s="17">
        <v>6</v>
      </c>
      <c r="T391" s="18"/>
      <c r="U391" s="17">
        <v>1</v>
      </c>
      <c r="V391" s="17" t="s">
        <v>69</v>
      </c>
      <c r="W391" s="18">
        <v>1</v>
      </c>
      <c r="X391" s="18" t="s">
        <v>342</v>
      </c>
      <c r="Y391" s="18">
        <f t="shared" si="45"/>
        <v>3</v>
      </c>
      <c r="Z391" s="17" t="s">
        <v>55</v>
      </c>
      <c r="AA391" s="17">
        <v>2</v>
      </c>
      <c r="AB391" s="17" t="s">
        <v>204</v>
      </c>
      <c r="AC391" s="17" t="s">
        <v>210</v>
      </c>
      <c r="AD391" s="17" t="s">
        <v>180</v>
      </c>
      <c r="AE391" s="17" t="s">
        <v>189</v>
      </c>
      <c r="AF391" s="1">
        <f t="shared" si="42"/>
        <v>0</v>
      </c>
      <c r="AG391" s="1">
        <f t="shared" si="43"/>
        <v>0</v>
      </c>
      <c r="AH391" s="1">
        <f t="shared" si="44"/>
        <v>1</v>
      </c>
    </row>
    <row r="392" spans="19:34">
      <c r="S392" s="17">
        <v>7</v>
      </c>
      <c r="T392" s="18"/>
      <c r="U392" s="17">
        <v>2</v>
      </c>
      <c r="V392" s="17" t="s">
        <v>69</v>
      </c>
      <c r="W392" s="18">
        <v>1</v>
      </c>
      <c r="X392" s="18" t="s">
        <v>342</v>
      </c>
      <c r="Y392" s="18">
        <f t="shared" si="45"/>
        <v>3</v>
      </c>
      <c r="Z392" s="17" t="s">
        <v>63</v>
      </c>
      <c r="AA392" s="17">
        <v>1</v>
      </c>
      <c r="AB392" s="17" t="s">
        <v>187</v>
      </c>
      <c r="AC392" s="17" t="s">
        <v>206</v>
      </c>
      <c r="AD392" s="17" t="s">
        <v>183</v>
      </c>
      <c r="AE392" s="17" t="s">
        <v>196</v>
      </c>
      <c r="AF392" s="1">
        <f t="shared" si="42"/>
        <v>0</v>
      </c>
      <c r="AG392" s="1">
        <f t="shared" si="43"/>
        <v>0</v>
      </c>
      <c r="AH392" s="1">
        <f t="shared" si="44"/>
        <v>1</v>
      </c>
    </row>
    <row r="393" spans="19:34">
      <c r="S393" s="17">
        <v>8</v>
      </c>
      <c r="T393" s="18"/>
      <c r="U393" s="17">
        <v>2</v>
      </c>
      <c r="V393" s="17" t="s">
        <v>69</v>
      </c>
      <c r="W393" s="18">
        <v>0</v>
      </c>
      <c r="X393" s="18" t="s">
        <v>342</v>
      </c>
      <c r="Y393" s="18">
        <f t="shared" si="45"/>
        <v>4</v>
      </c>
      <c r="Z393" s="17" t="s">
        <v>73</v>
      </c>
      <c r="AA393" s="17">
        <v>1</v>
      </c>
      <c r="AB393" s="17" t="s">
        <v>200</v>
      </c>
      <c r="AC393" s="17" t="s">
        <v>198</v>
      </c>
      <c r="AD393" s="17" t="s">
        <v>212</v>
      </c>
      <c r="AE393" s="17" t="s">
        <v>185</v>
      </c>
      <c r="AF393" s="1">
        <f t="shared" si="42"/>
        <v>0</v>
      </c>
      <c r="AG393" s="1">
        <f t="shared" si="43"/>
        <v>0</v>
      </c>
      <c r="AH393" s="1">
        <f t="shared" si="44"/>
        <v>1</v>
      </c>
    </row>
    <row r="394" spans="19:34">
      <c r="S394" s="17">
        <v>9</v>
      </c>
      <c r="T394" s="18"/>
      <c r="U394" s="17">
        <v>1</v>
      </c>
      <c r="V394" s="17" t="s">
        <v>69</v>
      </c>
      <c r="W394" s="18">
        <v>4</v>
      </c>
      <c r="X394" s="18" t="s">
        <v>342</v>
      </c>
      <c r="Y394" s="18">
        <f t="shared" si="45"/>
        <v>0</v>
      </c>
      <c r="Z394" s="17" t="s">
        <v>378</v>
      </c>
      <c r="AA394" s="17">
        <v>2</v>
      </c>
      <c r="AB394" s="17" t="s">
        <v>202</v>
      </c>
      <c r="AC394" s="17" t="s">
        <v>164</v>
      </c>
      <c r="AD394" s="17" t="s">
        <v>191</v>
      </c>
      <c r="AE394" s="17" t="s">
        <v>176</v>
      </c>
      <c r="AF394" s="1">
        <f t="shared" si="42"/>
        <v>1</v>
      </c>
      <c r="AG394" s="1">
        <f t="shared" si="43"/>
        <v>0</v>
      </c>
      <c r="AH394" s="1">
        <f t="shared" si="44"/>
        <v>0</v>
      </c>
    </row>
    <row r="395" spans="19:34">
      <c r="S395" s="17">
        <v>10</v>
      </c>
      <c r="T395" s="18"/>
      <c r="U395" s="17">
        <v>2</v>
      </c>
      <c r="V395" s="17" t="s">
        <v>69</v>
      </c>
      <c r="W395" s="18">
        <v>0</v>
      </c>
      <c r="X395" s="18" t="s">
        <v>342</v>
      </c>
      <c r="Y395" s="18">
        <f t="shared" si="45"/>
        <v>4</v>
      </c>
      <c r="Z395" s="17" t="s">
        <v>91</v>
      </c>
      <c r="AA395" s="17">
        <v>1</v>
      </c>
      <c r="AB395" s="17" t="s">
        <v>172</v>
      </c>
      <c r="AC395" s="17" t="s">
        <v>208</v>
      </c>
      <c r="AD395" s="17" t="s">
        <v>214</v>
      </c>
      <c r="AE395" s="17" t="s">
        <v>193</v>
      </c>
      <c r="AF395" s="1">
        <f t="shared" si="42"/>
        <v>0</v>
      </c>
      <c r="AG395" s="1">
        <f t="shared" si="43"/>
        <v>0</v>
      </c>
      <c r="AH395" s="1">
        <f t="shared" si="44"/>
        <v>1</v>
      </c>
    </row>
    <row r="396" spans="19:34">
      <c r="S396" s="17">
        <v>11</v>
      </c>
      <c r="T396" s="18"/>
      <c r="U396" s="17">
        <v>2</v>
      </c>
      <c r="V396" s="17" t="s">
        <v>69</v>
      </c>
      <c r="W396" s="18">
        <v>4</v>
      </c>
      <c r="X396" s="18" t="s">
        <v>342</v>
      </c>
      <c r="Y396" s="18">
        <f t="shared" si="45"/>
        <v>0</v>
      </c>
      <c r="Z396" s="17" t="s">
        <v>57</v>
      </c>
      <c r="AA396" s="17">
        <v>1</v>
      </c>
      <c r="AB396" s="17" t="s">
        <v>193</v>
      </c>
      <c r="AC396" s="17" t="s">
        <v>206</v>
      </c>
      <c r="AD396" s="17" t="s">
        <v>172</v>
      </c>
      <c r="AE396" s="17" t="s">
        <v>210</v>
      </c>
      <c r="AF396" s="1">
        <f t="shared" si="42"/>
        <v>1</v>
      </c>
      <c r="AG396" s="1">
        <f t="shared" si="43"/>
        <v>0</v>
      </c>
      <c r="AH396" s="1">
        <f t="shared" si="44"/>
        <v>0</v>
      </c>
    </row>
    <row r="397" spans="19:34">
      <c r="S397" s="17">
        <v>12</v>
      </c>
      <c r="T397" s="18"/>
      <c r="U397" s="17">
        <v>2</v>
      </c>
      <c r="V397" s="17" t="s">
        <v>69</v>
      </c>
      <c r="W397" s="18">
        <v>4</v>
      </c>
      <c r="X397" s="18" t="s">
        <v>342</v>
      </c>
      <c r="Y397" s="18">
        <f t="shared" si="45"/>
        <v>0</v>
      </c>
      <c r="Z397" s="17" t="s">
        <v>53</v>
      </c>
      <c r="AA397" s="17">
        <v>1</v>
      </c>
      <c r="AB397" s="17" t="s">
        <v>214</v>
      </c>
      <c r="AC397" s="17" t="s">
        <v>180</v>
      </c>
      <c r="AD397" s="17" t="s">
        <v>176</v>
      </c>
      <c r="AE397" s="17" t="s">
        <v>202</v>
      </c>
      <c r="AF397" s="1">
        <f t="shared" si="42"/>
        <v>1</v>
      </c>
      <c r="AG397" s="1">
        <f t="shared" si="43"/>
        <v>0</v>
      </c>
      <c r="AH397" s="1">
        <f t="shared" si="44"/>
        <v>0</v>
      </c>
    </row>
    <row r="398" spans="19:34">
      <c r="S398" s="17">
        <v>13</v>
      </c>
      <c r="T398" s="18"/>
      <c r="U398" s="17">
        <v>2</v>
      </c>
      <c r="V398" s="17" t="s">
        <v>69</v>
      </c>
      <c r="W398" s="18">
        <v>4</v>
      </c>
      <c r="X398" s="18" t="s">
        <v>342</v>
      </c>
      <c r="Y398" s="18">
        <f t="shared" si="45"/>
        <v>0</v>
      </c>
      <c r="Z398" s="17" t="s">
        <v>21</v>
      </c>
      <c r="AA398" s="17">
        <v>1</v>
      </c>
      <c r="AB398" s="17" t="s">
        <v>183</v>
      </c>
      <c r="AC398" s="17" t="s">
        <v>208</v>
      </c>
      <c r="AD398" s="17" t="s">
        <v>189</v>
      </c>
      <c r="AE398" s="17" t="s">
        <v>196</v>
      </c>
      <c r="AF398" s="1">
        <f t="shared" si="42"/>
        <v>1</v>
      </c>
      <c r="AG398" s="1">
        <f t="shared" si="43"/>
        <v>0</v>
      </c>
      <c r="AH398" s="1">
        <f t="shared" si="44"/>
        <v>0</v>
      </c>
    </row>
    <row r="399" spans="19:34">
      <c r="S399" s="17">
        <v>14</v>
      </c>
      <c r="T399" s="18"/>
      <c r="U399" s="17">
        <v>2</v>
      </c>
      <c r="V399" s="17" t="s">
        <v>69</v>
      </c>
      <c r="W399" s="18">
        <v>2</v>
      </c>
      <c r="X399" s="18" t="s">
        <v>342</v>
      </c>
      <c r="Y399" s="18">
        <f t="shared" si="45"/>
        <v>2</v>
      </c>
      <c r="Z399" s="17" t="s">
        <v>127</v>
      </c>
      <c r="AA399" s="17">
        <v>1</v>
      </c>
      <c r="AB399" s="17" t="s">
        <v>204</v>
      </c>
      <c r="AC399" s="17" t="s">
        <v>185</v>
      </c>
      <c r="AD399" s="17" t="s">
        <v>164</v>
      </c>
      <c r="AE399" s="17" t="s">
        <v>187</v>
      </c>
      <c r="AF399" s="1">
        <f t="shared" si="42"/>
        <v>0</v>
      </c>
      <c r="AG399" s="1">
        <f t="shared" si="43"/>
        <v>1</v>
      </c>
      <c r="AH399" s="1">
        <f t="shared" si="44"/>
        <v>0</v>
      </c>
    </row>
    <row r="400" spans="19:34">
      <c r="S400" s="17">
        <v>15</v>
      </c>
      <c r="T400" s="18"/>
      <c r="U400" s="17">
        <v>2</v>
      </c>
      <c r="V400" s="17" t="s">
        <v>69</v>
      </c>
      <c r="W400" s="18">
        <v>1</v>
      </c>
      <c r="X400" s="18" t="s">
        <v>342</v>
      </c>
      <c r="Y400" s="18">
        <f t="shared" si="45"/>
        <v>3</v>
      </c>
      <c r="Z400" s="17" t="s">
        <v>18</v>
      </c>
      <c r="AA400" s="17">
        <v>1</v>
      </c>
      <c r="AB400" s="17" t="s">
        <v>198</v>
      </c>
      <c r="AC400" s="17" t="s">
        <v>212</v>
      </c>
      <c r="AD400" s="17" t="s">
        <v>200</v>
      </c>
      <c r="AE400" s="17" t="s">
        <v>191</v>
      </c>
      <c r="AF400" s="1">
        <f t="shared" si="42"/>
        <v>0</v>
      </c>
      <c r="AG400" s="1">
        <f t="shared" si="43"/>
        <v>0</v>
      </c>
      <c r="AH400" s="1">
        <f t="shared" si="44"/>
        <v>1</v>
      </c>
    </row>
    <row r="401" spans="19:34">
      <c r="S401" s="58" t="s">
        <v>339</v>
      </c>
      <c r="T401" s="58" t="s">
        <v>340</v>
      </c>
      <c r="U401" s="58" t="s">
        <v>341</v>
      </c>
      <c r="V401" s="58" t="s">
        <v>1</v>
      </c>
      <c r="W401" s="66" t="s">
        <v>220</v>
      </c>
      <c r="X401" s="66"/>
      <c r="Y401" s="66"/>
      <c r="Z401" s="58" t="s">
        <v>1</v>
      </c>
      <c r="AA401" s="58" t="s">
        <v>341</v>
      </c>
      <c r="AB401" s="58" t="s">
        <v>225</v>
      </c>
      <c r="AC401" s="58" t="s">
        <v>228</v>
      </c>
      <c r="AD401" s="58" t="s">
        <v>230</v>
      </c>
      <c r="AE401" s="58" t="s">
        <v>232</v>
      </c>
      <c r="AF401" s="1">
        <f t="shared" si="42"/>
        <v>1</v>
      </c>
      <c r="AG401" s="1">
        <f t="shared" si="43"/>
        <v>0</v>
      </c>
      <c r="AH401" s="1">
        <f t="shared" si="44"/>
        <v>0</v>
      </c>
    </row>
    <row r="402" spans="19:34">
      <c r="S402" s="17">
        <v>1</v>
      </c>
      <c r="T402" s="18"/>
      <c r="U402" s="17">
        <v>2</v>
      </c>
      <c r="V402" s="17" t="s">
        <v>18</v>
      </c>
      <c r="W402" s="18">
        <v>1</v>
      </c>
      <c r="X402" s="18" t="s">
        <v>342</v>
      </c>
      <c r="Y402" s="18">
        <f t="shared" ref="Y402:Y416" si="46">IF(W402="","",4-W402)</f>
        <v>3</v>
      </c>
      <c r="Z402" s="17" t="s">
        <v>29</v>
      </c>
      <c r="AA402" s="17">
        <v>1</v>
      </c>
      <c r="AB402" s="17" t="s">
        <v>191</v>
      </c>
      <c r="AC402" s="17" t="s">
        <v>185</v>
      </c>
      <c r="AD402" s="17" t="s">
        <v>206</v>
      </c>
      <c r="AE402" s="17" t="s">
        <v>202</v>
      </c>
      <c r="AF402" s="1">
        <f t="shared" si="42"/>
        <v>0</v>
      </c>
      <c r="AG402" s="1">
        <f t="shared" si="43"/>
        <v>0</v>
      </c>
      <c r="AH402" s="1">
        <f t="shared" si="44"/>
        <v>1</v>
      </c>
    </row>
    <row r="403" spans="19:34">
      <c r="S403" s="17">
        <v>2</v>
      </c>
      <c r="T403" s="18"/>
      <c r="U403" s="17">
        <v>2</v>
      </c>
      <c r="V403" s="17" t="s">
        <v>18</v>
      </c>
      <c r="W403" s="18">
        <v>1</v>
      </c>
      <c r="X403" s="18" t="s">
        <v>342</v>
      </c>
      <c r="Y403" s="18">
        <f t="shared" si="46"/>
        <v>3</v>
      </c>
      <c r="Z403" s="17" t="s">
        <v>119</v>
      </c>
      <c r="AA403" s="17">
        <v>1</v>
      </c>
      <c r="AB403" s="17" t="s">
        <v>180</v>
      </c>
      <c r="AC403" s="17" t="s">
        <v>172</v>
      </c>
      <c r="AD403" s="17" t="s">
        <v>200</v>
      </c>
      <c r="AE403" s="17" t="s">
        <v>198</v>
      </c>
      <c r="AF403" s="1">
        <f t="shared" si="42"/>
        <v>0</v>
      </c>
      <c r="AG403" s="1">
        <f t="shared" si="43"/>
        <v>0</v>
      </c>
      <c r="AH403" s="1">
        <f t="shared" si="44"/>
        <v>1</v>
      </c>
    </row>
    <row r="404" spans="19:34">
      <c r="S404" s="17">
        <v>3</v>
      </c>
      <c r="T404" s="18"/>
      <c r="U404" s="17">
        <v>1</v>
      </c>
      <c r="V404" s="17" t="s">
        <v>18</v>
      </c>
      <c r="W404" s="18">
        <v>2</v>
      </c>
      <c r="X404" s="18" t="s">
        <v>342</v>
      </c>
      <c r="Y404" s="18">
        <f t="shared" si="46"/>
        <v>2</v>
      </c>
      <c r="Z404" s="17" t="s">
        <v>35</v>
      </c>
      <c r="AA404" s="17">
        <v>2</v>
      </c>
      <c r="AB404" s="17" t="s">
        <v>176</v>
      </c>
      <c r="AC404" s="17" t="s">
        <v>183</v>
      </c>
      <c r="AD404" s="17" t="s">
        <v>204</v>
      </c>
      <c r="AE404" s="17" t="s">
        <v>212</v>
      </c>
      <c r="AF404" s="1">
        <f t="shared" si="42"/>
        <v>0</v>
      </c>
      <c r="AG404" s="1">
        <f t="shared" si="43"/>
        <v>1</v>
      </c>
      <c r="AH404" s="1">
        <f t="shared" si="44"/>
        <v>0</v>
      </c>
    </row>
    <row r="405" spans="19:34">
      <c r="S405" s="17">
        <v>4</v>
      </c>
      <c r="T405" s="18"/>
      <c r="U405" s="17">
        <v>2</v>
      </c>
      <c r="V405" s="17" t="s">
        <v>18</v>
      </c>
      <c r="W405" s="18">
        <v>3</v>
      </c>
      <c r="X405" s="18" t="s">
        <v>342</v>
      </c>
      <c r="Y405" s="18">
        <f t="shared" si="46"/>
        <v>1</v>
      </c>
      <c r="Z405" s="17" t="s">
        <v>51</v>
      </c>
      <c r="AA405" s="17">
        <v>1</v>
      </c>
      <c r="AB405" s="17" t="s">
        <v>196</v>
      </c>
      <c r="AC405" s="17" t="s">
        <v>193</v>
      </c>
      <c r="AD405" s="17" t="s">
        <v>208</v>
      </c>
      <c r="AE405" s="17" t="s">
        <v>164</v>
      </c>
      <c r="AF405" s="1">
        <f t="shared" si="42"/>
        <v>1</v>
      </c>
      <c r="AG405" s="1">
        <f t="shared" si="43"/>
        <v>0</v>
      </c>
      <c r="AH405" s="1">
        <f t="shared" si="44"/>
        <v>0</v>
      </c>
    </row>
    <row r="406" spans="19:34">
      <c r="S406" s="17">
        <v>5</v>
      </c>
      <c r="T406" s="18"/>
      <c r="U406" s="17">
        <v>2</v>
      </c>
      <c r="V406" s="17" t="s">
        <v>18</v>
      </c>
      <c r="W406" s="18">
        <v>0</v>
      </c>
      <c r="X406" s="18" t="s">
        <v>342</v>
      </c>
      <c r="Y406" s="18">
        <f t="shared" si="46"/>
        <v>4</v>
      </c>
      <c r="Z406" s="17" t="s">
        <v>55</v>
      </c>
      <c r="AA406" s="17">
        <v>1</v>
      </c>
      <c r="AB406" s="17" t="s">
        <v>214</v>
      </c>
      <c r="AC406" s="17" t="s">
        <v>210</v>
      </c>
      <c r="AD406" s="17" t="s">
        <v>187</v>
      </c>
      <c r="AE406" s="17" t="s">
        <v>189</v>
      </c>
      <c r="AF406" s="1">
        <f t="shared" si="42"/>
        <v>0</v>
      </c>
      <c r="AG406" s="1">
        <f t="shared" si="43"/>
        <v>0</v>
      </c>
      <c r="AH406" s="1">
        <f t="shared" si="44"/>
        <v>1</v>
      </c>
    </row>
    <row r="407" spans="19:34">
      <c r="S407" s="17">
        <v>6</v>
      </c>
      <c r="T407" s="18"/>
      <c r="U407" s="17">
        <v>1</v>
      </c>
      <c r="V407" s="17" t="s">
        <v>18</v>
      </c>
      <c r="W407" s="18">
        <v>1</v>
      </c>
      <c r="X407" s="18" t="s">
        <v>342</v>
      </c>
      <c r="Y407" s="18">
        <f t="shared" si="46"/>
        <v>3</v>
      </c>
      <c r="Z407" s="17" t="s">
        <v>47</v>
      </c>
      <c r="AA407" s="17">
        <v>2</v>
      </c>
      <c r="AB407" s="17" t="s">
        <v>204</v>
      </c>
      <c r="AC407" s="17" t="s">
        <v>210</v>
      </c>
      <c r="AD407" s="17" t="s">
        <v>180</v>
      </c>
      <c r="AE407" s="17" t="s">
        <v>189</v>
      </c>
      <c r="AF407" s="1">
        <f t="shared" si="42"/>
        <v>0</v>
      </c>
      <c r="AG407" s="1">
        <f t="shared" si="43"/>
        <v>0</v>
      </c>
      <c r="AH407" s="1">
        <f t="shared" si="44"/>
        <v>1</v>
      </c>
    </row>
    <row r="408" spans="19:34">
      <c r="S408" s="17">
        <v>7</v>
      </c>
      <c r="T408" s="18"/>
      <c r="U408" s="17">
        <v>2</v>
      </c>
      <c r="V408" s="17" t="s">
        <v>18</v>
      </c>
      <c r="W408" s="18">
        <v>0</v>
      </c>
      <c r="X408" s="18" t="s">
        <v>342</v>
      </c>
      <c r="Y408" s="18">
        <f t="shared" si="46"/>
        <v>4</v>
      </c>
      <c r="Z408" s="17" t="s">
        <v>73</v>
      </c>
      <c r="AA408" s="17">
        <v>1</v>
      </c>
      <c r="AB408" s="17" t="s">
        <v>187</v>
      </c>
      <c r="AC408" s="17" t="s">
        <v>206</v>
      </c>
      <c r="AD408" s="17" t="s">
        <v>183</v>
      </c>
      <c r="AE408" s="17" t="s">
        <v>196</v>
      </c>
      <c r="AF408" s="1">
        <f t="shared" si="42"/>
        <v>0</v>
      </c>
      <c r="AG408" s="1">
        <f t="shared" si="43"/>
        <v>0</v>
      </c>
      <c r="AH408" s="1">
        <f t="shared" si="44"/>
        <v>1</v>
      </c>
    </row>
    <row r="409" spans="19:34">
      <c r="S409" s="17">
        <v>8</v>
      </c>
      <c r="T409" s="18"/>
      <c r="U409" s="17">
        <v>2</v>
      </c>
      <c r="V409" s="17" t="s">
        <v>18</v>
      </c>
      <c r="W409" s="18">
        <v>0</v>
      </c>
      <c r="X409" s="18" t="s">
        <v>342</v>
      </c>
      <c r="Y409" s="18">
        <f t="shared" si="46"/>
        <v>4</v>
      </c>
      <c r="Z409" s="17" t="s">
        <v>63</v>
      </c>
      <c r="AA409" s="17">
        <v>1</v>
      </c>
      <c r="AB409" s="17" t="s">
        <v>200</v>
      </c>
      <c r="AC409" s="17" t="s">
        <v>198</v>
      </c>
      <c r="AD409" s="17" t="s">
        <v>212</v>
      </c>
      <c r="AE409" s="17" t="s">
        <v>185</v>
      </c>
      <c r="AF409" s="1">
        <f t="shared" si="42"/>
        <v>0</v>
      </c>
      <c r="AG409" s="1">
        <f t="shared" si="43"/>
        <v>0</v>
      </c>
      <c r="AH409" s="1">
        <f t="shared" si="44"/>
        <v>1</v>
      </c>
    </row>
    <row r="410" spans="19:34">
      <c r="S410" s="17">
        <v>9</v>
      </c>
      <c r="T410" s="18"/>
      <c r="U410" s="17">
        <v>1</v>
      </c>
      <c r="V410" s="17" t="s">
        <v>18</v>
      </c>
      <c r="W410" s="18">
        <v>4</v>
      </c>
      <c r="X410" s="18" t="s">
        <v>342</v>
      </c>
      <c r="Y410" s="18">
        <f t="shared" si="46"/>
        <v>0</v>
      </c>
      <c r="Z410" s="17" t="s">
        <v>91</v>
      </c>
      <c r="AA410" s="17">
        <v>2</v>
      </c>
      <c r="AB410" s="17" t="s">
        <v>202</v>
      </c>
      <c r="AC410" s="17" t="s">
        <v>164</v>
      </c>
      <c r="AD410" s="17" t="s">
        <v>191</v>
      </c>
      <c r="AE410" s="17" t="s">
        <v>176</v>
      </c>
      <c r="AF410" s="1">
        <f t="shared" si="42"/>
        <v>1</v>
      </c>
      <c r="AG410" s="1">
        <f t="shared" si="43"/>
        <v>0</v>
      </c>
      <c r="AH410" s="1">
        <f t="shared" si="44"/>
        <v>0</v>
      </c>
    </row>
    <row r="411" spans="19:34">
      <c r="S411" s="17">
        <v>10</v>
      </c>
      <c r="T411" s="18"/>
      <c r="U411" s="17">
        <v>2</v>
      </c>
      <c r="V411" s="17" t="s">
        <v>18</v>
      </c>
      <c r="W411" s="18">
        <v>4</v>
      </c>
      <c r="X411" s="18" t="s">
        <v>342</v>
      </c>
      <c r="Y411" s="18">
        <f t="shared" si="46"/>
        <v>0</v>
      </c>
      <c r="Z411" s="17" t="s">
        <v>378</v>
      </c>
      <c r="AA411" s="17">
        <v>1</v>
      </c>
      <c r="AB411" s="17" t="s">
        <v>172</v>
      </c>
      <c r="AC411" s="17" t="s">
        <v>208</v>
      </c>
      <c r="AD411" s="17" t="s">
        <v>214</v>
      </c>
      <c r="AE411" s="17" t="s">
        <v>193</v>
      </c>
      <c r="AF411" s="1">
        <f t="shared" si="42"/>
        <v>1</v>
      </c>
      <c r="AG411" s="1">
        <f t="shared" si="43"/>
        <v>0</v>
      </c>
      <c r="AH411" s="1">
        <f t="shared" si="44"/>
        <v>0</v>
      </c>
    </row>
    <row r="412" spans="19:34">
      <c r="S412" s="17">
        <v>11</v>
      </c>
      <c r="T412" s="18"/>
      <c r="U412" s="17">
        <v>2</v>
      </c>
      <c r="V412" s="17" t="s">
        <v>18</v>
      </c>
      <c r="W412" s="18">
        <v>4</v>
      </c>
      <c r="X412" s="18" t="s">
        <v>342</v>
      </c>
      <c r="Y412" s="18">
        <f t="shared" si="46"/>
        <v>0</v>
      </c>
      <c r="Z412" s="17" t="s">
        <v>53</v>
      </c>
      <c r="AA412" s="17">
        <v>1</v>
      </c>
      <c r="AB412" s="17" t="s">
        <v>193</v>
      </c>
      <c r="AC412" s="17" t="s">
        <v>206</v>
      </c>
      <c r="AD412" s="17" t="s">
        <v>172</v>
      </c>
      <c r="AE412" s="17" t="s">
        <v>210</v>
      </c>
      <c r="AF412" s="1">
        <f t="shared" si="42"/>
        <v>1</v>
      </c>
      <c r="AG412" s="1">
        <f t="shared" si="43"/>
        <v>0</v>
      </c>
      <c r="AH412" s="1">
        <f t="shared" si="44"/>
        <v>0</v>
      </c>
    </row>
    <row r="413" spans="19:34">
      <c r="S413" s="17">
        <v>12</v>
      </c>
      <c r="T413" s="18"/>
      <c r="U413" s="17">
        <v>1</v>
      </c>
      <c r="V413" s="17" t="s">
        <v>18</v>
      </c>
      <c r="W413" s="18">
        <v>3</v>
      </c>
      <c r="X413" s="18" t="s">
        <v>342</v>
      </c>
      <c r="Y413" s="18">
        <f t="shared" si="46"/>
        <v>1</v>
      </c>
      <c r="Z413" s="17" t="s">
        <v>57</v>
      </c>
      <c r="AA413" s="17">
        <v>2</v>
      </c>
      <c r="AB413" s="17" t="s">
        <v>214</v>
      </c>
      <c r="AC413" s="17" t="s">
        <v>180</v>
      </c>
      <c r="AD413" s="17" t="s">
        <v>176</v>
      </c>
      <c r="AE413" s="17" t="s">
        <v>202</v>
      </c>
      <c r="AF413" s="1">
        <f t="shared" si="42"/>
        <v>1</v>
      </c>
      <c r="AG413" s="1">
        <f t="shared" si="43"/>
        <v>0</v>
      </c>
      <c r="AH413" s="1">
        <f t="shared" si="44"/>
        <v>0</v>
      </c>
    </row>
    <row r="414" spans="19:34">
      <c r="S414" s="17">
        <v>13</v>
      </c>
      <c r="T414" s="18"/>
      <c r="U414" s="17">
        <v>1</v>
      </c>
      <c r="V414" s="17" t="s">
        <v>18</v>
      </c>
      <c r="W414" s="18">
        <v>3</v>
      </c>
      <c r="X414" s="18" t="s">
        <v>342</v>
      </c>
      <c r="Y414" s="18">
        <f t="shared" si="46"/>
        <v>1</v>
      </c>
      <c r="Z414" s="17" t="s">
        <v>127</v>
      </c>
      <c r="AA414" s="17">
        <v>2</v>
      </c>
      <c r="AB414" s="17" t="s">
        <v>183</v>
      </c>
      <c r="AC414" s="17" t="s">
        <v>208</v>
      </c>
      <c r="AD414" s="17" t="s">
        <v>189</v>
      </c>
      <c r="AE414" s="17" t="s">
        <v>196</v>
      </c>
      <c r="AF414" s="1">
        <f t="shared" si="42"/>
        <v>1</v>
      </c>
      <c r="AG414" s="1">
        <f t="shared" si="43"/>
        <v>0</v>
      </c>
      <c r="AH414" s="1">
        <f t="shared" si="44"/>
        <v>0</v>
      </c>
    </row>
    <row r="415" spans="19:34">
      <c r="S415" s="17">
        <v>14</v>
      </c>
      <c r="T415" s="18"/>
      <c r="U415" s="17">
        <v>1</v>
      </c>
      <c r="V415" s="17" t="s">
        <v>18</v>
      </c>
      <c r="W415" s="18">
        <v>4</v>
      </c>
      <c r="X415" s="18" t="s">
        <v>342</v>
      </c>
      <c r="Y415" s="18">
        <f t="shared" si="46"/>
        <v>0</v>
      </c>
      <c r="Z415" s="17" t="s">
        <v>21</v>
      </c>
      <c r="AA415" s="17">
        <v>2</v>
      </c>
      <c r="AB415" s="17" t="s">
        <v>204</v>
      </c>
      <c r="AC415" s="17" t="s">
        <v>185</v>
      </c>
      <c r="AD415" s="17" t="s">
        <v>164</v>
      </c>
      <c r="AE415" s="17" t="s">
        <v>187</v>
      </c>
      <c r="AF415" s="1">
        <f t="shared" si="42"/>
        <v>1</v>
      </c>
      <c r="AG415" s="1">
        <f t="shared" si="43"/>
        <v>0</v>
      </c>
      <c r="AH415" s="1">
        <f t="shared" si="44"/>
        <v>0</v>
      </c>
    </row>
    <row r="416" spans="19:34">
      <c r="S416" s="17">
        <v>15</v>
      </c>
      <c r="T416" s="18"/>
      <c r="U416" s="17">
        <v>1</v>
      </c>
      <c r="V416" s="17" t="s">
        <v>18</v>
      </c>
      <c r="W416" s="18">
        <v>3</v>
      </c>
      <c r="X416" s="18" t="s">
        <v>342</v>
      </c>
      <c r="Y416" s="18">
        <f t="shared" si="46"/>
        <v>1</v>
      </c>
      <c r="Z416" s="17" t="s">
        <v>69</v>
      </c>
      <c r="AA416" s="17">
        <v>2</v>
      </c>
      <c r="AB416" s="17" t="s">
        <v>198</v>
      </c>
      <c r="AC416" s="17" t="s">
        <v>212</v>
      </c>
      <c r="AD416" s="17" t="s">
        <v>200</v>
      </c>
      <c r="AE416" s="17" t="s">
        <v>191</v>
      </c>
      <c r="AF416" s="1">
        <f t="shared" si="42"/>
        <v>1</v>
      </c>
      <c r="AG416" s="1">
        <f t="shared" si="43"/>
        <v>0</v>
      </c>
      <c r="AH416" s="1">
        <f t="shared" si="44"/>
        <v>0</v>
      </c>
    </row>
    <row r="417" spans="19:34">
      <c r="S417" s="58" t="s">
        <v>339</v>
      </c>
      <c r="T417" s="58" t="s">
        <v>340</v>
      </c>
      <c r="U417" s="58" t="s">
        <v>341</v>
      </c>
      <c r="V417" s="58" t="s">
        <v>1</v>
      </c>
      <c r="W417" s="66" t="s">
        <v>220</v>
      </c>
      <c r="X417" s="66"/>
      <c r="Y417" s="66"/>
      <c r="Z417" s="58" t="s">
        <v>1</v>
      </c>
      <c r="AA417" s="58" t="s">
        <v>341</v>
      </c>
      <c r="AB417" s="58" t="s">
        <v>225</v>
      </c>
      <c r="AC417" s="58" t="s">
        <v>228</v>
      </c>
      <c r="AD417" s="58" t="s">
        <v>230</v>
      </c>
      <c r="AE417" s="58" t="s">
        <v>232</v>
      </c>
      <c r="AF417" s="1">
        <f t="shared" si="42"/>
        <v>1</v>
      </c>
      <c r="AG417" s="1">
        <f t="shared" si="43"/>
        <v>0</v>
      </c>
      <c r="AH417" s="1">
        <f t="shared" si="44"/>
        <v>0</v>
      </c>
    </row>
    <row r="418" spans="19:34">
      <c r="S418" s="17">
        <v>1</v>
      </c>
      <c r="T418" s="18"/>
      <c r="U418" s="17">
        <v>2</v>
      </c>
      <c r="V418" s="17" t="s">
        <v>127</v>
      </c>
      <c r="W418" s="18">
        <v>0</v>
      </c>
      <c r="X418" s="18" t="s">
        <v>342</v>
      </c>
      <c r="Y418" s="18">
        <f t="shared" ref="Y418:Y432" si="47">IF(W418="","",4-W418)</f>
        <v>4</v>
      </c>
      <c r="Z418" s="17" t="s">
        <v>51</v>
      </c>
      <c r="AA418" s="17">
        <v>1</v>
      </c>
      <c r="AB418" s="17" t="s">
        <v>191</v>
      </c>
      <c r="AC418" s="17" t="s">
        <v>185</v>
      </c>
      <c r="AD418" s="17" t="s">
        <v>206</v>
      </c>
      <c r="AE418" s="17" t="s">
        <v>202</v>
      </c>
      <c r="AF418" s="1">
        <f t="shared" si="42"/>
        <v>0</v>
      </c>
      <c r="AG418" s="1">
        <f t="shared" si="43"/>
        <v>0</v>
      </c>
      <c r="AH418" s="1">
        <f t="shared" si="44"/>
        <v>1</v>
      </c>
    </row>
    <row r="419" spans="19:34">
      <c r="S419" s="17">
        <v>2</v>
      </c>
      <c r="T419" s="18"/>
      <c r="U419" s="17">
        <v>1</v>
      </c>
      <c r="V419" s="17" t="s">
        <v>127</v>
      </c>
      <c r="W419" s="18">
        <v>0</v>
      </c>
      <c r="X419" s="18" t="s">
        <v>342</v>
      </c>
      <c r="Y419" s="18">
        <f t="shared" si="47"/>
        <v>4</v>
      </c>
      <c r="Z419" s="17" t="s">
        <v>35</v>
      </c>
      <c r="AA419" s="17">
        <v>2</v>
      </c>
      <c r="AB419" s="17" t="s">
        <v>180</v>
      </c>
      <c r="AC419" s="17" t="s">
        <v>172</v>
      </c>
      <c r="AD419" s="17" t="s">
        <v>200</v>
      </c>
      <c r="AE419" s="17" t="s">
        <v>198</v>
      </c>
      <c r="AF419" s="1">
        <f t="shared" si="42"/>
        <v>0</v>
      </c>
      <c r="AG419" s="1">
        <f t="shared" si="43"/>
        <v>0</v>
      </c>
      <c r="AH419" s="1">
        <f t="shared" si="44"/>
        <v>1</v>
      </c>
    </row>
    <row r="420" spans="19:34">
      <c r="S420" s="17">
        <v>3</v>
      </c>
      <c r="T420" s="18"/>
      <c r="U420" s="17">
        <v>2</v>
      </c>
      <c r="V420" s="17" t="s">
        <v>127</v>
      </c>
      <c r="W420" s="18">
        <v>1</v>
      </c>
      <c r="X420" s="18" t="s">
        <v>342</v>
      </c>
      <c r="Y420" s="18">
        <f t="shared" si="47"/>
        <v>3</v>
      </c>
      <c r="Z420" s="17" t="s">
        <v>119</v>
      </c>
      <c r="AA420" s="17">
        <v>1</v>
      </c>
      <c r="AB420" s="17" t="s">
        <v>176</v>
      </c>
      <c r="AC420" s="17" t="s">
        <v>183</v>
      </c>
      <c r="AD420" s="17" t="s">
        <v>204</v>
      </c>
      <c r="AE420" s="17" t="s">
        <v>212</v>
      </c>
      <c r="AF420" s="1">
        <f t="shared" si="42"/>
        <v>0</v>
      </c>
      <c r="AG420" s="1">
        <f t="shared" si="43"/>
        <v>0</v>
      </c>
      <c r="AH420" s="1">
        <f t="shared" si="44"/>
        <v>1</v>
      </c>
    </row>
    <row r="421" spans="19:34">
      <c r="S421" s="17">
        <v>4</v>
      </c>
      <c r="T421" s="18"/>
      <c r="U421" s="17">
        <v>2</v>
      </c>
      <c r="V421" s="17" t="s">
        <v>127</v>
      </c>
      <c r="W421" s="18">
        <v>0</v>
      </c>
      <c r="X421" s="18" t="s">
        <v>342</v>
      </c>
      <c r="Y421" s="18">
        <f t="shared" si="47"/>
        <v>4</v>
      </c>
      <c r="Z421" s="17" t="s">
        <v>29</v>
      </c>
      <c r="AA421" s="17">
        <v>1</v>
      </c>
      <c r="AB421" s="17" t="s">
        <v>196</v>
      </c>
      <c r="AC421" s="17" t="s">
        <v>193</v>
      </c>
      <c r="AD421" s="17" t="s">
        <v>208</v>
      </c>
      <c r="AE421" s="17" t="s">
        <v>164</v>
      </c>
      <c r="AF421" s="1">
        <f t="shared" si="42"/>
        <v>0</v>
      </c>
      <c r="AG421" s="1">
        <f t="shared" si="43"/>
        <v>0</v>
      </c>
      <c r="AH421" s="1">
        <f t="shared" si="44"/>
        <v>1</v>
      </c>
    </row>
    <row r="422" spans="19:34">
      <c r="S422" s="17">
        <v>5</v>
      </c>
      <c r="T422" s="18"/>
      <c r="U422" s="17">
        <v>2</v>
      </c>
      <c r="V422" s="17" t="s">
        <v>127</v>
      </c>
      <c r="W422" s="18">
        <v>0</v>
      </c>
      <c r="X422" s="18" t="s">
        <v>342</v>
      </c>
      <c r="Y422" s="18">
        <f t="shared" si="47"/>
        <v>4</v>
      </c>
      <c r="Z422" s="17" t="s">
        <v>63</v>
      </c>
      <c r="AA422" s="17">
        <v>1</v>
      </c>
      <c r="AB422" s="17" t="s">
        <v>214</v>
      </c>
      <c r="AC422" s="17" t="s">
        <v>210</v>
      </c>
      <c r="AD422" s="17" t="s">
        <v>187</v>
      </c>
      <c r="AE422" s="17" t="s">
        <v>189</v>
      </c>
      <c r="AF422" s="1">
        <f t="shared" si="42"/>
        <v>0</v>
      </c>
      <c r="AG422" s="1">
        <f t="shared" si="43"/>
        <v>0</v>
      </c>
      <c r="AH422" s="1">
        <f t="shared" si="44"/>
        <v>1</v>
      </c>
    </row>
    <row r="423" spans="19:34">
      <c r="S423" s="17">
        <v>6</v>
      </c>
      <c r="T423" s="18"/>
      <c r="U423" s="17">
        <v>2</v>
      </c>
      <c r="V423" s="17" t="s">
        <v>127</v>
      </c>
      <c r="W423" s="18">
        <v>0</v>
      </c>
      <c r="X423" s="18" t="s">
        <v>342</v>
      </c>
      <c r="Y423" s="18">
        <f t="shared" si="47"/>
        <v>4</v>
      </c>
      <c r="Z423" s="17" t="s">
        <v>73</v>
      </c>
      <c r="AA423" s="17">
        <v>1</v>
      </c>
      <c r="AB423" s="17" t="s">
        <v>204</v>
      </c>
      <c r="AC423" s="17" t="s">
        <v>210</v>
      </c>
      <c r="AD423" s="17" t="s">
        <v>180</v>
      </c>
      <c r="AE423" s="17" t="s">
        <v>189</v>
      </c>
      <c r="AF423" s="1">
        <f t="shared" si="42"/>
        <v>0</v>
      </c>
      <c r="AG423" s="1">
        <f t="shared" si="43"/>
        <v>0</v>
      </c>
      <c r="AH423" s="1">
        <f t="shared" si="44"/>
        <v>1</v>
      </c>
    </row>
    <row r="424" spans="19:34">
      <c r="S424" s="17">
        <v>7</v>
      </c>
      <c r="T424" s="18"/>
      <c r="U424" s="17">
        <v>2</v>
      </c>
      <c r="V424" s="17" t="s">
        <v>127</v>
      </c>
      <c r="W424" s="18">
        <v>0</v>
      </c>
      <c r="X424" s="18" t="s">
        <v>342</v>
      </c>
      <c r="Y424" s="18">
        <f t="shared" si="47"/>
        <v>4</v>
      </c>
      <c r="Z424" s="17" t="s">
        <v>47</v>
      </c>
      <c r="AA424" s="17">
        <v>1</v>
      </c>
      <c r="AB424" s="17" t="s">
        <v>187</v>
      </c>
      <c r="AC424" s="17" t="s">
        <v>206</v>
      </c>
      <c r="AD424" s="17" t="s">
        <v>183</v>
      </c>
      <c r="AE424" s="17" t="s">
        <v>196</v>
      </c>
      <c r="AF424" s="1">
        <f t="shared" si="42"/>
        <v>0</v>
      </c>
      <c r="AG424" s="1">
        <f t="shared" si="43"/>
        <v>0</v>
      </c>
      <c r="AH424" s="1">
        <f t="shared" si="44"/>
        <v>1</v>
      </c>
    </row>
    <row r="425" spans="19:34">
      <c r="S425" s="17">
        <v>8</v>
      </c>
      <c r="T425" s="18"/>
      <c r="U425" s="17">
        <v>1</v>
      </c>
      <c r="V425" s="17" t="s">
        <v>127</v>
      </c>
      <c r="W425" s="18">
        <v>0</v>
      </c>
      <c r="X425" s="18" t="s">
        <v>342</v>
      </c>
      <c r="Y425" s="18">
        <f t="shared" si="47"/>
        <v>4</v>
      </c>
      <c r="Z425" s="17" t="s">
        <v>55</v>
      </c>
      <c r="AA425" s="17">
        <v>2</v>
      </c>
      <c r="AB425" s="17" t="s">
        <v>200</v>
      </c>
      <c r="AC425" s="17" t="s">
        <v>198</v>
      </c>
      <c r="AD425" s="17" t="s">
        <v>212</v>
      </c>
      <c r="AE425" s="17" t="s">
        <v>185</v>
      </c>
      <c r="AF425" s="1">
        <f t="shared" si="42"/>
        <v>0</v>
      </c>
      <c r="AG425" s="1">
        <f t="shared" si="43"/>
        <v>0</v>
      </c>
      <c r="AH425" s="1">
        <f t="shared" si="44"/>
        <v>1</v>
      </c>
    </row>
    <row r="426" spans="19:34">
      <c r="S426" s="17">
        <v>9</v>
      </c>
      <c r="T426" s="18"/>
      <c r="U426" s="17">
        <v>2</v>
      </c>
      <c r="V426" s="17" t="s">
        <v>127</v>
      </c>
      <c r="W426" s="18">
        <v>3</v>
      </c>
      <c r="X426" s="18" t="s">
        <v>342</v>
      </c>
      <c r="Y426" s="18">
        <f t="shared" si="47"/>
        <v>1</v>
      </c>
      <c r="Z426" s="17" t="s">
        <v>57</v>
      </c>
      <c r="AA426" s="17">
        <v>1</v>
      </c>
      <c r="AB426" s="17" t="s">
        <v>202</v>
      </c>
      <c r="AC426" s="17" t="s">
        <v>164</v>
      </c>
      <c r="AD426" s="17" t="s">
        <v>191</v>
      </c>
      <c r="AE426" s="17" t="s">
        <v>176</v>
      </c>
      <c r="AF426" s="1">
        <f t="shared" si="42"/>
        <v>1</v>
      </c>
      <c r="AG426" s="1">
        <f t="shared" si="43"/>
        <v>0</v>
      </c>
      <c r="AH426" s="1">
        <f t="shared" si="44"/>
        <v>0</v>
      </c>
    </row>
    <row r="427" spans="19:34">
      <c r="S427" s="17">
        <v>10</v>
      </c>
      <c r="T427" s="18"/>
      <c r="U427" s="17">
        <v>1</v>
      </c>
      <c r="V427" s="17" t="s">
        <v>127</v>
      </c>
      <c r="W427" s="18">
        <v>3</v>
      </c>
      <c r="X427" s="18" t="s">
        <v>342</v>
      </c>
      <c r="Y427" s="18">
        <f t="shared" si="47"/>
        <v>1</v>
      </c>
      <c r="Z427" s="17" t="s">
        <v>53</v>
      </c>
      <c r="AA427" s="17">
        <v>2</v>
      </c>
      <c r="AB427" s="17" t="s">
        <v>172</v>
      </c>
      <c r="AC427" s="17" t="s">
        <v>208</v>
      </c>
      <c r="AD427" s="17" t="s">
        <v>214</v>
      </c>
      <c r="AE427" s="17" t="s">
        <v>193</v>
      </c>
      <c r="AF427" s="1">
        <f t="shared" si="42"/>
        <v>1</v>
      </c>
      <c r="AG427" s="1">
        <f t="shared" si="43"/>
        <v>0</v>
      </c>
      <c r="AH427" s="1">
        <f t="shared" si="44"/>
        <v>0</v>
      </c>
    </row>
    <row r="428" spans="19:34">
      <c r="S428" s="17">
        <v>11</v>
      </c>
      <c r="T428" s="18"/>
      <c r="U428" s="17">
        <v>1</v>
      </c>
      <c r="V428" s="17" t="s">
        <v>127</v>
      </c>
      <c r="W428" s="18">
        <v>4</v>
      </c>
      <c r="X428" s="18" t="s">
        <v>342</v>
      </c>
      <c r="Y428" s="18">
        <f t="shared" si="47"/>
        <v>0</v>
      </c>
      <c r="Z428" s="17" t="s">
        <v>378</v>
      </c>
      <c r="AA428" s="17">
        <v>2</v>
      </c>
      <c r="AB428" s="17" t="s">
        <v>193</v>
      </c>
      <c r="AC428" s="17" t="s">
        <v>206</v>
      </c>
      <c r="AD428" s="17" t="s">
        <v>172</v>
      </c>
      <c r="AE428" s="17" t="s">
        <v>210</v>
      </c>
      <c r="AF428" s="1">
        <f t="shared" si="42"/>
        <v>1</v>
      </c>
      <c r="AG428" s="1">
        <f t="shared" si="43"/>
        <v>0</v>
      </c>
      <c r="AH428" s="1">
        <f t="shared" si="44"/>
        <v>0</v>
      </c>
    </row>
    <row r="429" spans="19:34">
      <c r="S429" s="17">
        <v>12</v>
      </c>
      <c r="T429" s="18"/>
      <c r="U429" s="17">
        <v>1</v>
      </c>
      <c r="V429" s="17" t="s">
        <v>127</v>
      </c>
      <c r="W429" s="18">
        <v>4</v>
      </c>
      <c r="X429" s="18" t="s">
        <v>342</v>
      </c>
      <c r="Y429" s="18">
        <f t="shared" si="47"/>
        <v>0</v>
      </c>
      <c r="Z429" s="17" t="s">
        <v>91</v>
      </c>
      <c r="AA429" s="17">
        <v>2</v>
      </c>
      <c r="AB429" s="17" t="s">
        <v>214</v>
      </c>
      <c r="AC429" s="17" t="s">
        <v>180</v>
      </c>
      <c r="AD429" s="17" t="s">
        <v>176</v>
      </c>
      <c r="AE429" s="17" t="s">
        <v>202</v>
      </c>
      <c r="AF429" s="1">
        <f t="shared" si="42"/>
        <v>1</v>
      </c>
      <c r="AG429" s="1">
        <f t="shared" si="43"/>
        <v>0</v>
      </c>
      <c r="AH429" s="1">
        <f t="shared" si="44"/>
        <v>0</v>
      </c>
    </row>
    <row r="430" spans="19:34">
      <c r="S430" s="17">
        <v>13</v>
      </c>
      <c r="T430" s="18"/>
      <c r="U430" s="17">
        <v>2</v>
      </c>
      <c r="V430" s="17" t="s">
        <v>127</v>
      </c>
      <c r="W430" s="18">
        <v>1</v>
      </c>
      <c r="X430" s="18" t="s">
        <v>342</v>
      </c>
      <c r="Y430" s="18">
        <f t="shared" si="47"/>
        <v>3</v>
      </c>
      <c r="Z430" s="17" t="s">
        <v>18</v>
      </c>
      <c r="AA430" s="17">
        <v>1</v>
      </c>
      <c r="AB430" s="17" t="s">
        <v>183</v>
      </c>
      <c r="AC430" s="17" t="s">
        <v>208</v>
      </c>
      <c r="AD430" s="17" t="s">
        <v>189</v>
      </c>
      <c r="AE430" s="17" t="s">
        <v>196</v>
      </c>
      <c r="AF430" s="1">
        <f t="shared" si="42"/>
        <v>0</v>
      </c>
      <c r="AG430" s="1">
        <f t="shared" si="43"/>
        <v>0</v>
      </c>
      <c r="AH430" s="1">
        <f t="shared" si="44"/>
        <v>1</v>
      </c>
    </row>
    <row r="431" spans="19:34">
      <c r="S431" s="17">
        <v>14</v>
      </c>
      <c r="T431" s="18"/>
      <c r="U431" s="17">
        <v>1</v>
      </c>
      <c r="V431" s="17" t="s">
        <v>127</v>
      </c>
      <c r="W431" s="18">
        <v>2</v>
      </c>
      <c r="X431" s="18" t="s">
        <v>342</v>
      </c>
      <c r="Y431" s="18">
        <f t="shared" si="47"/>
        <v>2</v>
      </c>
      <c r="Z431" s="17" t="s">
        <v>69</v>
      </c>
      <c r="AA431" s="17">
        <v>2</v>
      </c>
      <c r="AB431" s="17" t="s">
        <v>204</v>
      </c>
      <c r="AC431" s="17" t="s">
        <v>185</v>
      </c>
      <c r="AD431" s="17" t="s">
        <v>164</v>
      </c>
      <c r="AE431" s="17" t="s">
        <v>187</v>
      </c>
      <c r="AF431" s="1">
        <f t="shared" si="42"/>
        <v>0</v>
      </c>
      <c r="AG431" s="1">
        <f t="shared" si="43"/>
        <v>1</v>
      </c>
      <c r="AH431" s="1">
        <f t="shared" si="44"/>
        <v>0</v>
      </c>
    </row>
    <row r="432" spans="19:34">
      <c r="S432" s="17">
        <v>15</v>
      </c>
      <c r="T432" s="18"/>
      <c r="U432" s="17">
        <v>2</v>
      </c>
      <c r="V432" s="17" t="s">
        <v>127</v>
      </c>
      <c r="W432" s="18">
        <v>4</v>
      </c>
      <c r="X432" s="18" t="s">
        <v>342</v>
      </c>
      <c r="Y432" s="18">
        <f t="shared" si="47"/>
        <v>0</v>
      </c>
      <c r="Z432" s="17" t="s">
        <v>21</v>
      </c>
      <c r="AA432" s="17">
        <v>1</v>
      </c>
      <c r="AB432" s="17" t="s">
        <v>198</v>
      </c>
      <c r="AC432" s="17" t="s">
        <v>212</v>
      </c>
      <c r="AD432" s="17" t="s">
        <v>200</v>
      </c>
      <c r="AE432" s="17" t="s">
        <v>191</v>
      </c>
      <c r="AF432" s="1">
        <f t="shared" si="42"/>
        <v>1</v>
      </c>
      <c r="AG432" s="1">
        <f t="shared" si="43"/>
        <v>0</v>
      </c>
      <c r="AH432" s="1">
        <f t="shared" si="44"/>
        <v>0</v>
      </c>
    </row>
    <row r="433" spans="19:34">
      <c r="S433" s="58" t="s">
        <v>339</v>
      </c>
      <c r="T433" s="58" t="s">
        <v>340</v>
      </c>
      <c r="U433" s="58" t="s">
        <v>341</v>
      </c>
      <c r="V433" s="58" t="s">
        <v>1</v>
      </c>
      <c r="W433" s="66" t="s">
        <v>220</v>
      </c>
      <c r="X433" s="66"/>
      <c r="Y433" s="66"/>
      <c r="Z433" s="58" t="s">
        <v>1</v>
      </c>
      <c r="AA433" s="58" t="s">
        <v>341</v>
      </c>
      <c r="AB433" s="58" t="s">
        <v>225</v>
      </c>
      <c r="AC433" s="58" t="s">
        <v>228</v>
      </c>
      <c r="AD433" s="58" t="s">
        <v>230</v>
      </c>
      <c r="AE433" s="58" t="s">
        <v>232</v>
      </c>
      <c r="AF433" s="1">
        <f t="shared" si="42"/>
        <v>1</v>
      </c>
      <c r="AG433" s="1">
        <f t="shared" si="43"/>
        <v>0</v>
      </c>
      <c r="AH433" s="1">
        <f t="shared" si="44"/>
        <v>0</v>
      </c>
    </row>
    <row r="434" spans="19:34">
      <c r="S434" s="17">
        <v>1</v>
      </c>
      <c r="T434" s="18"/>
      <c r="U434" s="17">
        <v>1</v>
      </c>
      <c r="V434" s="17" t="s">
        <v>21</v>
      </c>
      <c r="W434" s="18">
        <v>0</v>
      </c>
      <c r="X434" s="18" t="s">
        <v>342</v>
      </c>
      <c r="Y434" s="18">
        <f t="shared" ref="Y434:Y448" si="48">IF(W434="","",4-W434)</f>
        <v>4</v>
      </c>
      <c r="Z434" s="17" t="s">
        <v>35</v>
      </c>
      <c r="AA434" s="17">
        <v>2</v>
      </c>
      <c r="AB434" s="17" t="s">
        <v>191</v>
      </c>
      <c r="AC434" s="17" t="s">
        <v>185</v>
      </c>
      <c r="AD434" s="17" t="s">
        <v>206</v>
      </c>
      <c r="AE434" s="17" t="s">
        <v>202</v>
      </c>
      <c r="AF434" s="1">
        <f t="shared" si="42"/>
        <v>0</v>
      </c>
      <c r="AG434" s="1">
        <f t="shared" si="43"/>
        <v>0</v>
      </c>
      <c r="AH434" s="1">
        <f t="shared" si="44"/>
        <v>1</v>
      </c>
    </row>
    <row r="435" spans="19:34">
      <c r="S435" s="17">
        <v>2</v>
      </c>
      <c r="T435" s="18"/>
      <c r="U435" s="17">
        <v>2</v>
      </c>
      <c r="V435" s="17" t="s">
        <v>21</v>
      </c>
      <c r="W435" s="18">
        <v>0</v>
      </c>
      <c r="X435" s="18" t="s">
        <v>342</v>
      </c>
      <c r="Y435" s="18">
        <f t="shared" si="48"/>
        <v>4</v>
      </c>
      <c r="Z435" s="17" t="s">
        <v>51</v>
      </c>
      <c r="AA435" s="17">
        <v>1</v>
      </c>
      <c r="AB435" s="17" t="s">
        <v>180</v>
      </c>
      <c r="AC435" s="17" t="s">
        <v>172</v>
      </c>
      <c r="AD435" s="17" t="s">
        <v>200</v>
      </c>
      <c r="AE435" s="17" t="s">
        <v>198</v>
      </c>
      <c r="AF435" s="1">
        <f t="shared" si="42"/>
        <v>0</v>
      </c>
      <c r="AG435" s="1">
        <f t="shared" si="43"/>
        <v>0</v>
      </c>
      <c r="AH435" s="1">
        <f t="shared" si="44"/>
        <v>1</v>
      </c>
    </row>
    <row r="436" spans="19:34">
      <c r="S436" s="17">
        <v>3</v>
      </c>
      <c r="T436" s="18"/>
      <c r="U436" s="17">
        <v>2</v>
      </c>
      <c r="V436" s="17" t="s">
        <v>21</v>
      </c>
      <c r="W436" s="18">
        <v>0</v>
      </c>
      <c r="X436" s="18" t="s">
        <v>342</v>
      </c>
      <c r="Y436" s="18">
        <f t="shared" si="48"/>
        <v>4</v>
      </c>
      <c r="Z436" s="17" t="s">
        <v>29</v>
      </c>
      <c r="AA436" s="17">
        <v>1</v>
      </c>
      <c r="AB436" s="17" t="s">
        <v>176</v>
      </c>
      <c r="AC436" s="17" t="s">
        <v>183</v>
      </c>
      <c r="AD436" s="17" t="s">
        <v>204</v>
      </c>
      <c r="AE436" s="17" t="s">
        <v>212</v>
      </c>
      <c r="AF436" s="1">
        <f t="shared" si="42"/>
        <v>0</v>
      </c>
      <c r="AG436" s="1">
        <f t="shared" si="43"/>
        <v>0</v>
      </c>
      <c r="AH436" s="1">
        <f t="shared" si="44"/>
        <v>1</v>
      </c>
    </row>
    <row r="437" spans="19:34">
      <c r="S437" s="17">
        <v>4</v>
      </c>
      <c r="T437" s="18"/>
      <c r="U437" s="17">
        <v>2</v>
      </c>
      <c r="V437" s="17" t="s">
        <v>21</v>
      </c>
      <c r="W437" s="18">
        <v>0</v>
      </c>
      <c r="X437" s="18" t="s">
        <v>342</v>
      </c>
      <c r="Y437" s="18">
        <f t="shared" si="48"/>
        <v>4</v>
      </c>
      <c r="Z437" s="17" t="s">
        <v>119</v>
      </c>
      <c r="AA437" s="17">
        <v>1</v>
      </c>
      <c r="AB437" s="17" t="s">
        <v>196</v>
      </c>
      <c r="AC437" s="17" t="s">
        <v>193</v>
      </c>
      <c r="AD437" s="17" t="s">
        <v>208</v>
      </c>
      <c r="AE437" s="17" t="s">
        <v>164</v>
      </c>
      <c r="AF437" s="1">
        <f t="shared" si="42"/>
        <v>0</v>
      </c>
      <c r="AG437" s="1">
        <f t="shared" si="43"/>
        <v>0</v>
      </c>
      <c r="AH437" s="1">
        <f t="shared" si="44"/>
        <v>1</v>
      </c>
    </row>
    <row r="438" spans="19:34">
      <c r="S438" s="17">
        <v>5</v>
      </c>
      <c r="T438" s="18"/>
      <c r="U438" s="17">
        <v>2</v>
      </c>
      <c r="V438" s="17" t="s">
        <v>21</v>
      </c>
      <c r="W438" s="18">
        <v>0</v>
      </c>
      <c r="X438" s="18" t="s">
        <v>342</v>
      </c>
      <c r="Y438" s="18">
        <f t="shared" si="48"/>
        <v>4</v>
      </c>
      <c r="Z438" s="17" t="s">
        <v>73</v>
      </c>
      <c r="AA438" s="17">
        <v>1</v>
      </c>
      <c r="AB438" s="17" t="s">
        <v>214</v>
      </c>
      <c r="AC438" s="17" t="s">
        <v>210</v>
      </c>
      <c r="AD438" s="17" t="s">
        <v>187</v>
      </c>
      <c r="AE438" s="17" t="s">
        <v>189</v>
      </c>
      <c r="AF438" s="1">
        <f t="shared" si="42"/>
        <v>0</v>
      </c>
      <c r="AG438" s="1">
        <f t="shared" si="43"/>
        <v>0</v>
      </c>
      <c r="AH438" s="1">
        <f t="shared" si="44"/>
        <v>1</v>
      </c>
    </row>
    <row r="439" spans="19:34">
      <c r="S439" s="17">
        <v>6</v>
      </c>
      <c r="T439" s="18"/>
      <c r="U439" s="17">
        <v>1</v>
      </c>
      <c r="V439" s="17" t="s">
        <v>21</v>
      </c>
      <c r="W439" s="18">
        <v>0</v>
      </c>
      <c r="X439" s="18" t="s">
        <v>342</v>
      </c>
      <c r="Y439" s="18">
        <f t="shared" si="48"/>
        <v>4</v>
      </c>
      <c r="Z439" s="17" t="s">
        <v>63</v>
      </c>
      <c r="AA439" s="17">
        <v>2</v>
      </c>
      <c r="AB439" s="17" t="s">
        <v>204</v>
      </c>
      <c r="AC439" s="17" t="s">
        <v>210</v>
      </c>
      <c r="AD439" s="17" t="s">
        <v>180</v>
      </c>
      <c r="AE439" s="17" t="s">
        <v>189</v>
      </c>
      <c r="AF439" s="1">
        <f t="shared" si="42"/>
        <v>0</v>
      </c>
      <c r="AG439" s="1">
        <f t="shared" si="43"/>
        <v>0</v>
      </c>
      <c r="AH439" s="1">
        <f t="shared" si="44"/>
        <v>1</v>
      </c>
    </row>
    <row r="440" spans="19:34">
      <c r="S440" s="17">
        <v>7</v>
      </c>
      <c r="T440" s="18"/>
      <c r="U440" s="17">
        <v>1</v>
      </c>
      <c r="V440" s="17" t="s">
        <v>21</v>
      </c>
      <c r="W440" s="18">
        <v>0</v>
      </c>
      <c r="X440" s="18" t="s">
        <v>342</v>
      </c>
      <c r="Y440" s="18">
        <f t="shared" si="48"/>
        <v>4</v>
      </c>
      <c r="Z440" s="17" t="s">
        <v>55</v>
      </c>
      <c r="AA440" s="17">
        <v>2</v>
      </c>
      <c r="AB440" s="17" t="s">
        <v>187</v>
      </c>
      <c r="AC440" s="17" t="s">
        <v>206</v>
      </c>
      <c r="AD440" s="17" t="s">
        <v>183</v>
      </c>
      <c r="AE440" s="17" t="s">
        <v>196</v>
      </c>
      <c r="AF440" s="1">
        <f t="shared" si="42"/>
        <v>0</v>
      </c>
      <c r="AG440" s="1">
        <f t="shared" si="43"/>
        <v>0</v>
      </c>
      <c r="AH440" s="1">
        <f t="shared" si="44"/>
        <v>1</v>
      </c>
    </row>
    <row r="441" spans="19:34">
      <c r="S441" s="17">
        <v>8</v>
      </c>
      <c r="T441" s="18"/>
      <c r="U441" s="17">
        <v>1</v>
      </c>
      <c r="V441" s="17" t="s">
        <v>21</v>
      </c>
      <c r="W441" s="18">
        <v>0</v>
      </c>
      <c r="X441" s="18" t="s">
        <v>342</v>
      </c>
      <c r="Y441" s="18">
        <f t="shared" si="48"/>
        <v>4</v>
      </c>
      <c r="Z441" s="17" t="s">
        <v>47</v>
      </c>
      <c r="AA441" s="17">
        <v>2</v>
      </c>
      <c r="AB441" s="17" t="s">
        <v>200</v>
      </c>
      <c r="AC441" s="17" t="s">
        <v>198</v>
      </c>
      <c r="AD441" s="17" t="s">
        <v>212</v>
      </c>
      <c r="AE441" s="17" t="s">
        <v>185</v>
      </c>
      <c r="AF441" s="1">
        <f t="shared" si="42"/>
        <v>0</v>
      </c>
      <c r="AG441" s="1">
        <f t="shared" si="43"/>
        <v>0</v>
      </c>
      <c r="AH441" s="1">
        <f t="shared" si="44"/>
        <v>1</v>
      </c>
    </row>
    <row r="442" spans="19:34">
      <c r="S442" s="17">
        <v>9</v>
      </c>
      <c r="T442" s="18"/>
      <c r="U442" s="17">
        <v>2</v>
      </c>
      <c r="V442" s="17" t="s">
        <v>21</v>
      </c>
      <c r="W442" s="18">
        <v>0</v>
      </c>
      <c r="X442" s="18" t="s">
        <v>342</v>
      </c>
      <c r="Y442" s="18">
        <f t="shared" si="48"/>
        <v>4</v>
      </c>
      <c r="Z442" s="17" t="s">
        <v>53</v>
      </c>
      <c r="AA442" s="17">
        <v>1</v>
      </c>
      <c r="AB442" s="17" t="s">
        <v>202</v>
      </c>
      <c r="AC442" s="17" t="s">
        <v>164</v>
      </c>
      <c r="AD442" s="17" t="s">
        <v>191</v>
      </c>
      <c r="AE442" s="17" t="s">
        <v>176</v>
      </c>
      <c r="AF442" s="1">
        <f t="shared" si="42"/>
        <v>0</v>
      </c>
      <c r="AG442" s="1">
        <f t="shared" si="43"/>
        <v>0</v>
      </c>
      <c r="AH442" s="1">
        <f t="shared" si="44"/>
        <v>1</v>
      </c>
    </row>
    <row r="443" spans="19:34">
      <c r="S443" s="17">
        <v>10</v>
      </c>
      <c r="T443" s="18"/>
      <c r="U443" s="17">
        <v>2</v>
      </c>
      <c r="V443" s="17" t="s">
        <v>21</v>
      </c>
      <c r="W443" s="18">
        <v>3</v>
      </c>
      <c r="X443" s="18" t="s">
        <v>342</v>
      </c>
      <c r="Y443" s="18">
        <f t="shared" si="48"/>
        <v>1</v>
      </c>
      <c r="Z443" s="17" t="s">
        <v>57</v>
      </c>
      <c r="AA443" s="17">
        <v>1</v>
      </c>
      <c r="AB443" s="17" t="s">
        <v>172</v>
      </c>
      <c r="AC443" s="17" t="s">
        <v>208</v>
      </c>
      <c r="AD443" s="17" t="s">
        <v>214</v>
      </c>
      <c r="AE443" s="17" t="s">
        <v>193</v>
      </c>
      <c r="AF443" s="1">
        <f t="shared" si="42"/>
        <v>1</v>
      </c>
      <c r="AG443" s="1">
        <f t="shared" si="43"/>
        <v>0</v>
      </c>
      <c r="AH443" s="1">
        <f t="shared" si="44"/>
        <v>0</v>
      </c>
    </row>
    <row r="444" spans="19:34">
      <c r="S444" s="17">
        <v>11</v>
      </c>
      <c r="T444" s="18"/>
      <c r="U444" s="17">
        <v>1</v>
      </c>
      <c r="V444" s="17" t="s">
        <v>21</v>
      </c>
      <c r="W444" s="18">
        <v>4</v>
      </c>
      <c r="X444" s="18" t="s">
        <v>342</v>
      </c>
      <c r="Y444" s="18">
        <f t="shared" si="48"/>
        <v>0</v>
      </c>
      <c r="Z444" s="17" t="s">
        <v>91</v>
      </c>
      <c r="AA444" s="17">
        <v>2</v>
      </c>
      <c r="AB444" s="17" t="s">
        <v>193</v>
      </c>
      <c r="AC444" s="17" t="s">
        <v>206</v>
      </c>
      <c r="AD444" s="17" t="s">
        <v>172</v>
      </c>
      <c r="AE444" s="17" t="s">
        <v>210</v>
      </c>
      <c r="AF444" s="1">
        <f t="shared" si="42"/>
        <v>1</v>
      </c>
      <c r="AG444" s="1">
        <f t="shared" si="43"/>
        <v>0</v>
      </c>
      <c r="AH444" s="1">
        <f t="shared" si="44"/>
        <v>0</v>
      </c>
    </row>
    <row r="445" spans="19:34">
      <c r="S445" s="17">
        <v>12</v>
      </c>
      <c r="T445" s="18"/>
      <c r="U445" s="17">
        <v>1</v>
      </c>
      <c r="V445" s="17" t="s">
        <v>21</v>
      </c>
      <c r="W445" s="18">
        <v>4</v>
      </c>
      <c r="X445" s="18" t="s">
        <v>342</v>
      </c>
      <c r="Y445" s="18">
        <f t="shared" si="48"/>
        <v>0</v>
      </c>
      <c r="Z445" s="17" t="s">
        <v>378</v>
      </c>
      <c r="AA445" s="17">
        <v>2</v>
      </c>
      <c r="AB445" s="17" t="s">
        <v>214</v>
      </c>
      <c r="AC445" s="17" t="s">
        <v>180</v>
      </c>
      <c r="AD445" s="17" t="s">
        <v>176</v>
      </c>
      <c r="AE445" s="17" t="s">
        <v>202</v>
      </c>
      <c r="AF445" s="1">
        <f t="shared" si="42"/>
        <v>1</v>
      </c>
      <c r="AG445" s="1">
        <f t="shared" si="43"/>
        <v>0</v>
      </c>
      <c r="AH445" s="1">
        <f t="shared" si="44"/>
        <v>0</v>
      </c>
    </row>
    <row r="446" spans="19:34">
      <c r="S446" s="17">
        <v>13</v>
      </c>
      <c r="T446" s="18"/>
      <c r="U446" s="17">
        <v>1</v>
      </c>
      <c r="V446" s="17" t="s">
        <v>21</v>
      </c>
      <c r="W446" s="18">
        <v>0</v>
      </c>
      <c r="X446" s="18" t="s">
        <v>342</v>
      </c>
      <c r="Y446" s="18">
        <f t="shared" si="48"/>
        <v>4</v>
      </c>
      <c r="Z446" s="17" t="s">
        <v>69</v>
      </c>
      <c r="AA446" s="17">
        <v>2</v>
      </c>
      <c r="AB446" s="17" t="s">
        <v>183</v>
      </c>
      <c r="AC446" s="17" t="s">
        <v>208</v>
      </c>
      <c r="AD446" s="17" t="s">
        <v>189</v>
      </c>
      <c r="AE446" s="17" t="s">
        <v>196</v>
      </c>
      <c r="AF446" s="1">
        <f t="shared" si="42"/>
        <v>0</v>
      </c>
      <c r="AG446" s="1">
        <f t="shared" si="43"/>
        <v>0</v>
      </c>
      <c r="AH446" s="1">
        <f t="shared" si="44"/>
        <v>1</v>
      </c>
    </row>
    <row r="447" spans="19:34">
      <c r="S447" s="17">
        <v>14</v>
      </c>
      <c r="T447" s="18"/>
      <c r="U447" s="17">
        <v>2</v>
      </c>
      <c r="V447" s="17" t="s">
        <v>21</v>
      </c>
      <c r="W447" s="18">
        <v>0</v>
      </c>
      <c r="X447" s="18" t="s">
        <v>342</v>
      </c>
      <c r="Y447" s="18">
        <f t="shared" si="48"/>
        <v>4</v>
      </c>
      <c r="Z447" s="17" t="s">
        <v>18</v>
      </c>
      <c r="AA447" s="17">
        <v>1</v>
      </c>
      <c r="AB447" s="17" t="s">
        <v>204</v>
      </c>
      <c r="AC447" s="17" t="s">
        <v>185</v>
      </c>
      <c r="AD447" s="17" t="s">
        <v>164</v>
      </c>
      <c r="AE447" s="17" t="s">
        <v>187</v>
      </c>
      <c r="AF447" s="1">
        <f t="shared" si="42"/>
        <v>0</v>
      </c>
      <c r="AG447" s="1">
        <f t="shared" si="43"/>
        <v>0</v>
      </c>
      <c r="AH447" s="1">
        <f t="shared" si="44"/>
        <v>1</v>
      </c>
    </row>
    <row r="448" spans="19:34">
      <c r="S448" s="17">
        <v>15</v>
      </c>
      <c r="T448" s="18"/>
      <c r="U448" s="17">
        <v>1</v>
      </c>
      <c r="V448" s="17" t="s">
        <v>21</v>
      </c>
      <c r="W448" s="18">
        <v>0</v>
      </c>
      <c r="X448" s="18" t="s">
        <v>342</v>
      </c>
      <c r="Y448" s="18">
        <f t="shared" si="48"/>
        <v>4</v>
      </c>
      <c r="Z448" s="17" t="s">
        <v>127</v>
      </c>
      <c r="AA448" s="17">
        <v>2</v>
      </c>
      <c r="AB448" s="17" t="s">
        <v>198</v>
      </c>
      <c r="AC448" s="17" t="s">
        <v>212</v>
      </c>
      <c r="AD448" s="17" t="s">
        <v>200</v>
      </c>
      <c r="AE448" s="17" t="s">
        <v>191</v>
      </c>
      <c r="AF448" s="1">
        <f t="shared" si="42"/>
        <v>0</v>
      </c>
      <c r="AG448" s="1">
        <f t="shared" si="43"/>
        <v>0</v>
      </c>
      <c r="AH448" s="1">
        <f t="shared" si="44"/>
        <v>1</v>
      </c>
    </row>
    <row r="449" spans="19:34">
      <c r="S449" s="58" t="s">
        <v>339</v>
      </c>
      <c r="T449" s="58" t="s">
        <v>340</v>
      </c>
      <c r="U449" s="58" t="s">
        <v>341</v>
      </c>
      <c r="V449" s="58" t="s">
        <v>1</v>
      </c>
      <c r="W449" s="66" t="s">
        <v>220</v>
      </c>
      <c r="X449" s="66"/>
      <c r="Y449" s="66"/>
      <c r="Z449" s="58" t="s">
        <v>1</v>
      </c>
      <c r="AA449" s="58" t="s">
        <v>341</v>
      </c>
      <c r="AB449" s="58" t="s">
        <v>225</v>
      </c>
      <c r="AC449" s="58" t="s">
        <v>228</v>
      </c>
      <c r="AD449" s="58" t="s">
        <v>230</v>
      </c>
      <c r="AE449" s="58" t="s">
        <v>232</v>
      </c>
      <c r="AF449" s="1">
        <f t="shared" ref="AF449:AF512" si="49">IF(W449="",0,IF(W449&gt;Y449,1,0))</f>
        <v>1</v>
      </c>
      <c r="AG449" s="1">
        <f t="shared" ref="AG449:AG512" si="50">IF(W449="",0,IF(W449=Y449,1,0))</f>
        <v>0</v>
      </c>
      <c r="AH449" s="1">
        <f t="shared" ref="AH449:AH512" si="51">IF(W449="",0,IF(W449&lt;Y449,1,0))</f>
        <v>0</v>
      </c>
    </row>
    <row r="450" spans="19:34">
      <c r="S450" s="17">
        <v>1</v>
      </c>
      <c r="T450" s="18"/>
      <c r="U450" s="17">
        <v>2</v>
      </c>
      <c r="V450" s="17" t="s">
        <v>53</v>
      </c>
      <c r="W450" s="18">
        <v>0</v>
      </c>
      <c r="X450" s="18" t="s">
        <v>342</v>
      </c>
      <c r="Y450" s="18">
        <f t="shared" ref="Y450:Y464" si="52">IF(W450="","",4-W450)</f>
        <v>4</v>
      </c>
      <c r="Z450" s="17" t="s">
        <v>47</v>
      </c>
      <c r="AA450" s="17">
        <v>1</v>
      </c>
      <c r="AB450" s="17" t="s">
        <v>191</v>
      </c>
      <c r="AC450" s="17" t="s">
        <v>185</v>
      </c>
      <c r="AD450" s="17" t="s">
        <v>206</v>
      </c>
      <c r="AE450" s="17" t="s">
        <v>202</v>
      </c>
      <c r="AF450" s="1">
        <f t="shared" si="49"/>
        <v>0</v>
      </c>
      <c r="AG450" s="1">
        <f t="shared" si="50"/>
        <v>0</v>
      </c>
      <c r="AH450" s="1">
        <f t="shared" si="51"/>
        <v>1</v>
      </c>
    </row>
    <row r="451" spans="19:34">
      <c r="S451" s="17">
        <v>2</v>
      </c>
      <c r="T451" s="18"/>
      <c r="U451" s="17">
        <v>2</v>
      </c>
      <c r="V451" s="17" t="s">
        <v>53</v>
      </c>
      <c r="W451" s="18">
        <v>0</v>
      </c>
      <c r="X451" s="18" t="s">
        <v>342</v>
      </c>
      <c r="Y451" s="18">
        <f t="shared" si="52"/>
        <v>4</v>
      </c>
      <c r="Z451" s="17" t="s">
        <v>55</v>
      </c>
      <c r="AA451" s="17">
        <v>1</v>
      </c>
      <c r="AB451" s="17" t="s">
        <v>180</v>
      </c>
      <c r="AC451" s="17" t="s">
        <v>172</v>
      </c>
      <c r="AD451" s="17" t="s">
        <v>200</v>
      </c>
      <c r="AE451" s="17" t="s">
        <v>198</v>
      </c>
      <c r="AF451" s="1">
        <f t="shared" si="49"/>
        <v>0</v>
      </c>
      <c r="AG451" s="1">
        <f t="shared" si="50"/>
        <v>0</v>
      </c>
      <c r="AH451" s="1">
        <f t="shared" si="51"/>
        <v>1</v>
      </c>
    </row>
    <row r="452" spans="19:34">
      <c r="S452" s="17">
        <v>3</v>
      </c>
      <c r="T452" s="18"/>
      <c r="U452" s="17">
        <v>1</v>
      </c>
      <c r="V452" s="17" t="s">
        <v>53</v>
      </c>
      <c r="W452" s="18">
        <v>0</v>
      </c>
      <c r="X452" s="18" t="s">
        <v>342</v>
      </c>
      <c r="Y452" s="18">
        <f t="shared" si="52"/>
        <v>4</v>
      </c>
      <c r="Z452" s="17" t="s">
        <v>63</v>
      </c>
      <c r="AA452" s="17">
        <v>2</v>
      </c>
      <c r="AB452" s="17" t="s">
        <v>176</v>
      </c>
      <c r="AC452" s="17" t="s">
        <v>183</v>
      </c>
      <c r="AD452" s="17" t="s">
        <v>204</v>
      </c>
      <c r="AE452" s="17" t="s">
        <v>212</v>
      </c>
      <c r="AF452" s="1">
        <f t="shared" si="49"/>
        <v>0</v>
      </c>
      <c r="AG452" s="1">
        <f t="shared" si="50"/>
        <v>0</v>
      </c>
      <c r="AH452" s="1">
        <f t="shared" si="51"/>
        <v>1</v>
      </c>
    </row>
    <row r="453" spans="19:34">
      <c r="S453" s="17">
        <v>4</v>
      </c>
      <c r="T453" s="18"/>
      <c r="U453" s="17">
        <v>2</v>
      </c>
      <c r="V453" s="17" t="s">
        <v>53</v>
      </c>
      <c r="W453" s="18">
        <v>0</v>
      </c>
      <c r="X453" s="18" t="s">
        <v>342</v>
      </c>
      <c r="Y453" s="18">
        <f t="shared" si="52"/>
        <v>4</v>
      </c>
      <c r="Z453" s="17" t="s">
        <v>73</v>
      </c>
      <c r="AA453" s="17">
        <v>1</v>
      </c>
      <c r="AB453" s="17" t="s">
        <v>196</v>
      </c>
      <c r="AC453" s="17" t="s">
        <v>193</v>
      </c>
      <c r="AD453" s="17" t="s">
        <v>208</v>
      </c>
      <c r="AE453" s="17" t="s">
        <v>164</v>
      </c>
      <c r="AF453" s="1">
        <f t="shared" si="49"/>
        <v>0</v>
      </c>
      <c r="AG453" s="1">
        <f t="shared" si="50"/>
        <v>0</v>
      </c>
      <c r="AH453" s="1">
        <f t="shared" si="51"/>
        <v>1</v>
      </c>
    </row>
    <row r="454" spans="19:34">
      <c r="S454" s="17">
        <v>5</v>
      </c>
      <c r="T454" s="18"/>
      <c r="U454" s="17">
        <v>1</v>
      </c>
      <c r="V454" s="17" t="s">
        <v>53</v>
      </c>
      <c r="W454" s="18">
        <v>0</v>
      </c>
      <c r="X454" s="18" t="s">
        <v>342</v>
      </c>
      <c r="Y454" s="18">
        <f t="shared" si="52"/>
        <v>4</v>
      </c>
      <c r="Z454" s="17" t="s">
        <v>119</v>
      </c>
      <c r="AA454" s="17">
        <v>2</v>
      </c>
      <c r="AB454" s="17" t="s">
        <v>214</v>
      </c>
      <c r="AC454" s="17" t="s">
        <v>210</v>
      </c>
      <c r="AD454" s="17" t="s">
        <v>187</v>
      </c>
      <c r="AE454" s="17" t="s">
        <v>189</v>
      </c>
      <c r="AF454" s="1">
        <f t="shared" si="49"/>
        <v>0</v>
      </c>
      <c r="AG454" s="1">
        <f t="shared" si="50"/>
        <v>0</v>
      </c>
      <c r="AH454" s="1">
        <f t="shared" si="51"/>
        <v>1</v>
      </c>
    </row>
    <row r="455" spans="19:34">
      <c r="S455" s="17">
        <v>6</v>
      </c>
      <c r="T455" s="18"/>
      <c r="U455" s="17">
        <v>1</v>
      </c>
      <c r="V455" s="17" t="s">
        <v>53</v>
      </c>
      <c r="W455" s="18">
        <v>0</v>
      </c>
      <c r="X455" s="18" t="s">
        <v>342</v>
      </c>
      <c r="Y455" s="18">
        <f t="shared" si="52"/>
        <v>4</v>
      </c>
      <c r="Z455" s="17" t="s">
        <v>29</v>
      </c>
      <c r="AA455" s="17">
        <v>2</v>
      </c>
      <c r="AB455" s="17" t="s">
        <v>204</v>
      </c>
      <c r="AC455" s="17" t="s">
        <v>210</v>
      </c>
      <c r="AD455" s="17" t="s">
        <v>180</v>
      </c>
      <c r="AE455" s="17" t="s">
        <v>189</v>
      </c>
      <c r="AF455" s="1">
        <f t="shared" si="49"/>
        <v>0</v>
      </c>
      <c r="AG455" s="1">
        <f t="shared" si="50"/>
        <v>0</v>
      </c>
      <c r="AH455" s="1">
        <f t="shared" si="51"/>
        <v>1</v>
      </c>
    </row>
    <row r="456" spans="19:34">
      <c r="S456" s="17">
        <v>7</v>
      </c>
      <c r="T456" s="18"/>
      <c r="U456" s="17">
        <v>1</v>
      </c>
      <c r="V456" s="17" t="s">
        <v>53</v>
      </c>
      <c r="W456" s="18">
        <v>0</v>
      </c>
      <c r="X456" s="18" t="s">
        <v>342</v>
      </c>
      <c r="Y456" s="18">
        <f t="shared" si="52"/>
        <v>4</v>
      </c>
      <c r="Z456" s="17" t="s">
        <v>51</v>
      </c>
      <c r="AA456" s="17">
        <v>2</v>
      </c>
      <c r="AB456" s="17" t="s">
        <v>187</v>
      </c>
      <c r="AC456" s="17" t="s">
        <v>206</v>
      </c>
      <c r="AD456" s="17" t="s">
        <v>183</v>
      </c>
      <c r="AE456" s="17" t="s">
        <v>196</v>
      </c>
      <c r="AF456" s="1">
        <f t="shared" si="49"/>
        <v>0</v>
      </c>
      <c r="AG456" s="1">
        <f t="shared" si="50"/>
        <v>0</v>
      </c>
      <c r="AH456" s="1">
        <f t="shared" si="51"/>
        <v>1</v>
      </c>
    </row>
    <row r="457" spans="19:34">
      <c r="S457" s="17">
        <v>8</v>
      </c>
      <c r="T457" s="18"/>
      <c r="U457" s="17">
        <v>1</v>
      </c>
      <c r="V457" s="17" t="s">
        <v>53</v>
      </c>
      <c r="W457" s="18">
        <v>0</v>
      </c>
      <c r="X457" s="18" t="s">
        <v>342</v>
      </c>
      <c r="Y457" s="18">
        <f t="shared" si="52"/>
        <v>4</v>
      </c>
      <c r="Z457" s="17" t="s">
        <v>35</v>
      </c>
      <c r="AA457" s="17">
        <v>2</v>
      </c>
      <c r="AB457" s="17" t="s">
        <v>200</v>
      </c>
      <c r="AC457" s="17" t="s">
        <v>198</v>
      </c>
      <c r="AD457" s="17" t="s">
        <v>212</v>
      </c>
      <c r="AE457" s="17" t="s">
        <v>185</v>
      </c>
      <c r="AF457" s="1">
        <f t="shared" si="49"/>
        <v>0</v>
      </c>
      <c r="AG457" s="1">
        <f t="shared" si="50"/>
        <v>0</v>
      </c>
      <c r="AH457" s="1">
        <f t="shared" si="51"/>
        <v>1</v>
      </c>
    </row>
    <row r="458" spans="19:34">
      <c r="S458" s="17">
        <v>9</v>
      </c>
      <c r="T458" s="18"/>
      <c r="U458" s="17">
        <v>1</v>
      </c>
      <c r="V458" s="17" t="s">
        <v>53</v>
      </c>
      <c r="W458" s="18">
        <v>4</v>
      </c>
      <c r="X458" s="18" t="s">
        <v>342</v>
      </c>
      <c r="Y458" s="18">
        <f t="shared" si="52"/>
        <v>0</v>
      </c>
      <c r="Z458" s="17" t="s">
        <v>21</v>
      </c>
      <c r="AA458" s="17">
        <v>2</v>
      </c>
      <c r="AB458" s="17" t="s">
        <v>202</v>
      </c>
      <c r="AC458" s="17" t="s">
        <v>164</v>
      </c>
      <c r="AD458" s="17" t="s">
        <v>191</v>
      </c>
      <c r="AE458" s="17" t="s">
        <v>176</v>
      </c>
      <c r="AF458" s="1">
        <f t="shared" si="49"/>
        <v>1</v>
      </c>
      <c r="AG458" s="1">
        <f t="shared" si="50"/>
        <v>0</v>
      </c>
      <c r="AH458" s="1">
        <f t="shared" si="51"/>
        <v>0</v>
      </c>
    </row>
    <row r="459" spans="19:34">
      <c r="S459" s="17">
        <v>10</v>
      </c>
      <c r="T459" s="18"/>
      <c r="U459" s="17">
        <v>2</v>
      </c>
      <c r="V459" s="17" t="s">
        <v>53</v>
      </c>
      <c r="W459" s="18">
        <v>1</v>
      </c>
      <c r="X459" s="18" t="s">
        <v>342</v>
      </c>
      <c r="Y459" s="18">
        <f t="shared" si="52"/>
        <v>3</v>
      </c>
      <c r="Z459" s="17" t="s">
        <v>127</v>
      </c>
      <c r="AA459" s="17">
        <v>1</v>
      </c>
      <c r="AB459" s="17" t="s">
        <v>172</v>
      </c>
      <c r="AC459" s="17" t="s">
        <v>208</v>
      </c>
      <c r="AD459" s="17" t="s">
        <v>214</v>
      </c>
      <c r="AE459" s="17" t="s">
        <v>193</v>
      </c>
      <c r="AF459" s="1">
        <f t="shared" si="49"/>
        <v>0</v>
      </c>
      <c r="AG459" s="1">
        <f t="shared" si="50"/>
        <v>0</v>
      </c>
      <c r="AH459" s="1">
        <f t="shared" si="51"/>
        <v>1</v>
      </c>
    </row>
    <row r="460" spans="19:34">
      <c r="S460" s="17">
        <v>11</v>
      </c>
      <c r="T460" s="18"/>
      <c r="U460" s="17">
        <v>1</v>
      </c>
      <c r="V460" s="17" t="s">
        <v>53</v>
      </c>
      <c r="W460" s="18">
        <v>0</v>
      </c>
      <c r="X460" s="18" t="s">
        <v>342</v>
      </c>
      <c r="Y460" s="18">
        <f t="shared" si="52"/>
        <v>4</v>
      </c>
      <c r="Z460" s="17" t="s">
        <v>18</v>
      </c>
      <c r="AA460" s="17">
        <v>2</v>
      </c>
      <c r="AB460" s="17" t="s">
        <v>193</v>
      </c>
      <c r="AC460" s="17" t="s">
        <v>206</v>
      </c>
      <c r="AD460" s="17" t="s">
        <v>172</v>
      </c>
      <c r="AE460" s="17" t="s">
        <v>210</v>
      </c>
      <c r="AF460" s="1">
        <f t="shared" si="49"/>
        <v>0</v>
      </c>
      <c r="AG460" s="1">
        <f t="shared" si="50"/>
        <v>0</v>
      </c>
      <c r="AH460" s="1">
        <f t="shared" si="51"/>
        <v>1</v>
      </c>
    </row>
    <row r="461" spans="19:34">
      <c r="S461" s="17">
        <v>12</v>
      </c>
      <c r="T461" s="18"/>
      <c r="U461" s="17">
        <v>1</v>
      </c>
      <c r="V461" s="17" t="s">
        <v>53</v>
      </c>
      <c r="W461" s="18">
        <v>0</v>
      </c>
      <c r="X461" s="18" t="s">
        <v>342</v>
      </c>
      <c r="Y461" s="18">
        <f t="shared" si="52"/>
        <v>4</v>
      </c>
      <c r="Z461" s="17" t="s">
        <v>69</v>
      </c>
      <c r="AA461" s="17">
        <v>2</v>
      </c>
      <c r="AB461" s="17" t="s">
        <v>214</v>
      </c>
      <c r="AC461" s="17" t="s">
        <v>180</v>
      </c>
      <c r="AD461" s="17" t="s">
        <v>176</v>
      </c>
      <c r="AE461" s="17" t="s">
        <v>202</v>
      </c>
      <c r="AF461" s="1">
        <f t="shared" si="49"/>
        <v>0</v>
      </c>
      <c r="AG461" s="1">
        <f t="shared" si="50"/>
        <v>0</v>
      </c>
      <c r="AH461" s="1">
        <f t="shared" si="51"/>
        <v>1</v>
      </c>
    </row>
    <row r="462" spans="19:34">
      <c r="S462" s="17">
        <v>13</v>
      </c>
      <c r="T462" s="18"/>
      <c r="U462" s="17">
        <v>2</v>
      </c>
      <c r="V462" s="17" t="s">
        <v>53</v>
      </c>
      <c r="W462" s="18">
        <v>4</v>
      </c>
      <c r="X462" s="18" t="s">
        <v>342</v>
      </c>
      <c r="Y462" s="18">
        <f t="shared" si="52"/>
        <v>0</v>
      </c>
      <c r="Z462" s="17" t="s">
        <v>378</v>
      </c>
      <c r="AA462" s="17">
        <v>1</v>
      </c>
      <c r="AB462" s="17" t="s">
        <v>183</v>
      </c>
      <c r="AC462" s="17" t="s">
        <v>208</v>
      </c>
      <c r="AD462" s="17" t="s">
        <v>189</v>
      </c>
      <c r="AE462" s="17" t="s">
        <v>196</v>
      </c>
      <c r="AF462" s="1">
        <f t="shared" si="49"/>
        <v>1</v>
      </c>
      <c r="AG462" s="1">
        <f t="shared" si="50"/>
        <v>0</v>
      </c>
      <c r="AH462" s="1">
        <f t="shared" si="51"/>
        <v>0</v>
      </c>
    </row>
    <row r="463" spans="19:34">
      <c r="S463" s="17">
        <v>14</v>
      </c>
      <c r="T463" s="18"/>
      <c r="U463" s="17">
        <v>1</v>
      </c>
      <c r="V463" s="17" t="s">
        <v>53</v>
      </c>
      <c r="W463" s="18">
        <v>4</v>
      </c>
      <c r="X463" s="18" t="s">
        <v>342</v>
      </c>
      <c r="Y463" s="18">
        <f t="shared" si="52"/>
        <v>0</v>
      </c>
      <c r="Z463" s="17" t="s">
        <v>91</v>
      </c>
      <c r="AA463" s="17">
        <v>2</v>
      </c>
      <c r="AB463" s="17" t="s">
        <v>204</v>
      </c>
      <c r="AC463" s="17" t="s">
        <v>185</v>
      </c>
      <c r="AD463" s="17" t="s">
        <v>164</v>
      </c>
      <c r="AE463" s="17" t="s">
        <v>187</v>
      </c>
      <c r="AF463" s="1">
        <f t="shared" si="49"/>
        <v>1</v>
      </c>
      <c r="AG463" s="1">
        <f t="shared" si="50"/>
        <v>0</v>
      </c>
      <c r="AH463" s="1">
        <f t="shared" si="51"/>
        <v>0</v>
      </c>
    </row>
    <row r="464" spans="19:34">
      <c r="S464" s="17">
        <v>15</v>
      </c>
      <c r="T464" s="18"/>
      <c r="U464" s="17">
        <v>1</v>
      </c>
      <c r="V464" s="17" t="s">
        <v>53</v>
      </c>
      <c r="W464" s="18">
        <v>3</v>
      </c>
      <c r="X464" s="18" t="s">
        <v>342</v>
      </c>
      <c r="Y464" s="18">
        <f t="shared" si="52"/>
        <v>1</v>
      </c>
      <c r="Z464" s="17" t="s">
        <v>57</v>
      </c>
      <c r="AA464" s="17">
        <v>2</v>
      </c>
      <c r="AB464" s="17" t="s">
        <v>198</v>
      </c>
      <c r="AC464" s="17" t="s">
        <v>212</v>
      </c>
      <c r="AD464" s="17" t="s">
        <v>200</v>
      </c>
      <c r="AE464" s="17" t="s">
        <v>191</v>
      </c>
      <c r="AF464" s="1">
        <f t="shared" si="49"/>
        <v>1</v>
      </c>
      <c r="AG464" s="1">
        <f t="shared" si="50"/>
        <v>0</v>
      </c>
      <c r="AH464" s="1">
        <f t="shared" si="51"/>
        <v>0</v>
      </c>
    </row>
    <row r="465" spans="19:34">
      <c r="S465" s="58" t="s">
        <v>339</v>
      </c>
      <c r="T465" s="58" t="s">
        <v>340</v>
      </c>
      <c r="U465" s="58" t="s">
        <v>341</v>
      </c>
      <c r="V465" s="58" t="s">
        <v>1</v>
      </c>
      <c r="W465" s="66" t="s">
        <v>220</v>
      </c>
      <c r="X465" s="66"/>
      <c r="Y465" s="66"/>
      <c r="Z465" s="58" t="s">
        <v>1</v>
      </c>
      <c r="AA465" s="58" t="s">
        <v>341</v>
      </c>
      <c r="AB465" s="58" t="s">
        <v>225</v>
      </c>
      <c r="AC465" s="58" t="s">
        <v>228</v>
      </c>
      <c r="AD465" s="58" t="s">
        <v>230</v>
      </c>
      <c r="AE465" s="58" t="s">
        <v>232</v>
      </c>
      <c r="AF465" s="1">
        <f t="shared" si="49"/>
        <v>1</v>
      </c>
      <c r="AG465" s="1">
        <f t="shared" si="50"/>
        <v>0</v>
      </c>
      <c r="AH465" s="1">
        <f t="shared" si="51"/>
        <v>0</v>
      </c>
    </row>
    <row r="466" spans="19:34">
      <c r="S466" s="17">
        <v>1</v>
      </c>
      <c r="T466" s="18"/>
      <c r="U466" s="17">
        <v>1</v>
      </c>
      <c r="V466" s="17" t="s">
        <v>57</v>
      </c>
      <c r="W466" s="18">
        <v>0</v>
      </c>
      <c r="X466" s="18" t="s">
        <v>342</v>
      </c>
      <c r="Y466" s="18">
        <f t="shared" ref="Y466:Y480" si="53">IF(W466="","",4-W466)</f>
        <v>4</v>
      </c>
      <c r="Z466" s="17" t="s">
        <v>55</v>
      </c>
      <c r="AA466" s="17">
        <v>2</v>
      </c>
      <c r="AB466" s="17" t="s">
        <v>191</v>
      </c>
      <c r="AC466" s="17" t="s">
        <v>185</v>
      </c>
      <c r="AD466" s="17" t="s">
        <v>206</v>
      </c>
      <c r="AE466" s="17" t="s">
        <v>202</v>
      </c>
      <c r="AF466" s="1">
        <f t="shared" si="49"/>
        <v>0</v>
      </c>
      <c r="AG466" s="1">
        <f t="shared" si="50"/>
        <v>0</v>
      </c>
      <c r="AH466" s="1">
        <f t="shared" si="51"/>
        <v>1</v>
      </c>
    </row>
    <row r="467" spans="19:34">
      <c r="S467" s="17">
        <v>2</v>
      </c>
      <c r="T467" s="18"/>
      <c r="U467" s="17">
        <v>1</v>
      </c>
      <c r="V467" s="17" t="s">
        <v>57</v>
      </c>
      <c r="W467" s="18">
        <v>0</v>
      </c>
      <c r="X467" s="18" t="s">
        <v>342</v>
      </c>
      <c r="Y467" s="18">
        <f t="shared" si="53"/>
        <v>4</v>
      </c>
      <c r="Z467" s="17" t="s">
        <v>47</v>
      </c>
      <c r="AA467" s="17">
        <v>2</v>
      </c>
      <c r="AB467" s="17" t="s">
        <v>180</v>
      </c>
      <c r="AC467" s="17" t="s">
        <v>172</v>
      </c>
      <c r="AD467" s="17" t="s">
        <v>200</v>
      </c>
      <c r="AE467" s="17" t="s">
        <v>198</v>
      </c>
      <c r="AF467" s="1">
        <f t="shared" si="49"/>
        <v>0</v>
      </c>
      <c r="AG467" s="1">
        <f t="shared" si="50"/>
        <v>0</v>
      </c>
      <c r="AH467" s="1">
        <f t="shared" si="51"/>
        <v>1</v>
      </c>
    </row>
    <row r="468" spans="19:34">
      <c r="S468" s="17">
        <v>3</v>
      </c>
      <c r="T468" s="18"/>
      <c r="U468" s="17">
        <v>1</v>
      </c>
      <c r="V468" s="17" t="s">
        <v>57</v>
      </c>
      <c r="W468" s="18">
        <v>0</v>
      </c>
      <c r="X468" s="18" t="s">
        <v>342</v>
      </c>
      <c r="Y468" s="18">
        <f t="shared" si="53"/>
        <v>4</v>
      </c>
      <c r="Z468" s="17" t="s">
        <v>73</v>
      </c>
      <c r="AA468" s="17">
        <v>2</v>
      </c>
      <c r="AB468" s="17" t="s">
        <v>176</v>
      </c>
      <c r="AC468" s="17" t="s">
        <v>183</v>
      </c>
      <c r="AD468" s="17" t="s">
        <v>204</v>
      </c>
      <c r="AE468" s="17" t="s">
        <v>212</v>
      </c>
      <c r="AF468" s="1">
        <f t="shared" si="49"/>
        <v>0</v>
      </c>
      <c r="AG468" s="1">
        <f t="shared" si="50"/>
        <v>0</v>
      </c>
      <c r="AH468" s="1">
        <f t="shared" si="51"/>
        <v>1</v>
      </c>
    </row>
    <row r="469" spans="19:34">
      <c r="S469" s="17">
        <v>4</v>
      </c>
      <c r="T469" s="18"/>
      <c r="U469" s="17">
        <v>1</v>
      </c>
      <c r="V469" s="17" t="s">
        <v>57</v>
      </c>
      <c r="W469" s="18">
        <v>0</v>
      </c>
      <c r="X469" s="18" t="s">
        <v>342</v>
      </c>
      <c r="Y469" s="18">
        <f t="shared" si="53"/>
        <v>4</v>
      </c>
      <c r="Z469" s="17" t="s">
        <v>63</v>
      </c>
      <c r="AA469" s="17">
        <v>2</v>
      </c>
      <c r="AB469" s="17" t="s">
        <v>196</v>
      </c>
      <c r="AC469" s="17" t="s">
        <v>193</v>
      </c>
      <c r="AD469" s="17" t="s">
        <v>208</v>
      </c>
      <c r="AE469" s="17" t="s">
        <v>164</v>
      </c>
      <c r="AF469" s="1">
        <f t="shared" si="49"/>
        <v>0</v>
      </c>
      <c r="AG469" s="1">
        <f t="shared" si="50"/>
        <v>0</v>
      </c>
      <c r="AH469" s="1">
        <f t="shared" si="51"/>
        <v>1</v>
      </c>
    </row>
    <row r="470" spans="19:34">
      <c r="S470" s="17">
        <v>5</v>
      </c>
      <c r="T470" s="18"/>
      <c r="U470" s="17">
        <v>1</v>
      </c>
      <c r="V470" s="17" t="s">
        <v>57</v>
      </c>
      <c r="W470" s="18">
        <v>0</v>
      </c>
      <c r="X470" s="18" t="s">
        <v>342</v>
      </c>
      <c r="Y470" s="18">
        <f t="shared" si="53"/>
        <v>4</v>
      </c>
      <c r="Z470" s="17" t="s">
        <v>29</v>
      </c>
      <c r="AA470" s="17">
        <v>2</v>
      </c>
      <c r="AB470" s="17" t="s">
        <v>214</v>
      </c>
      <c r="AC470" s="17" t="s">
        <v>210</v>
      </c>
      <c r="AD470" s="17" t="s">
        <v>187</v>
      </c>
      <c r="AE470" s="17" t="s">
        <v>189</v>
      </c>
      <c r="AF470" s="1">
        <f t="shared" si="49"/>
        <v>0</v>
      </c>
      <c r="AG470" s="1">
        <f t="shared" si="50"/>
        <v>0</v>
      </c>
      <c r="AH470" s="1">
        <f t="shared" si="51"/>
        <v>1</v>
      </c>
    </row>
    <row r="471" spans="19:34">
      <c r="S471" s="17">
        <v>6</v>
      </c>
      <c r="T471" s="18"/>
      <c r="U471" s="17">
        <v>2</v>
      </c>
      <c r="V471" s="17" t="s">
        <v>57</v>
      </c>
      <c r="W471" s="18">
        <v>0</v>
      </c>
      <c r="X471" s="18" t="s">
        <v>342</v>
      </c>
      <c r="Y471" s="18">
        <f t="shared" si="53"/>
        <v>4</v>
      </c>
      <c r="Z471" s="17" t="s">
        <v>119</v>
      </c>
      <c r="AA471" s="17">
        <v>1</v>
      </c>
      <c r="AB471" s="17" t="s">
        <v>204</v>
      </c>
      <c r="AC471" s="17" t="s">
        <v>210</v>
      </c>
      <c r="AD471" s="17" t="s">
        <v>180</v>
      </c>
      <c r="AE471" s="17" t="s">
        <v>189</v>
      </c>
      <c r="AF471" s="1">
        <f t="shared" si="49"/>
        <v>0</v>
      </c>
      <c r="AG471" s="1">
        <f t="shared" si="50"/>
        <v>0</v>
      </c>
      <c r="AH471" s="1">
        <f t="shared" si="51"/>
        <v>1</v>
      </c>
    </row>
    <row r="472" spans="19:34">
      <c r="S472" s="17">
        <v>7</v>
      </c>
      <c r="T472" s="18"/>
      <c r="U472" s="17">
        <v>1</v>
      </c>
      <c r="V472" s="17" t="s">
        <v>57</v>
      </c>
      <c r="W472" s="18">
        <v>0</v>
      </c>
      <c r="X472" s="18" t="s">
        <v>342</v>
      </c>
      <c r="Y472" s="18">
        <f t="shared" si="53"/>
        <v>4</v>
      </c>
      <c r="Z472" s="17" t="s">
        <v>35</v>
      </c>
      <c r="AA472" s="17">
        <v>2</v>
      </c>
      <c r="AB472" s="17" t="s">
        <v>187</v>
      </c>
      <c r="AC472" s="17" t="s">
        <v>206</v>
      </c>
      <c r="AD472" s="17" t="s">
        <v>183</v>
      </c>
      <c r="AE472" s="17" t="s">
        <v>196</v>
      </c>
      <c r="AF472" s="1">
        <f t="shared" si="49"/>
        <v>0</v>
      </c>
      <c r="AG472" s="1">
        <f t="shared" si="50"/>
        <v>0</v>
      </c>
      <c r="AH472" s="1">
        <f t="shared" si="51"/>
        <v>1</v>
      </c>
    </row>
    <row r="473" spans="19:34">
      <c r="S473" s="17">
        <v>8</v>
      </c>
      <c r="T473" s="18"/>
      <c r="U473" s="17">
        <v>2</v>
      </c>
      <c r="V473" s="17" t="s">
        <v>57</v>
      </c>
      <c r="W473" s="18">
        <v>1</v>
      </c>
      <c r="X473" s="18" t="s">
        <v>342</v>
      </c>
      <c r="Y473" s="18">
        <f t="shared" si="53"/>
        <v>3</v>
      </c>
      <c r="Z473" s="17" t="s">
        <v>51</v>
      </c>
      <c r="AA473" s="17">
        <v>1</v>
      </c>
      <c r="AB473" s="17" t="s">
        <v>200</v>
      </c>
      <c r="AC473" s="17" t="s">
        <v>198</v>
      </c>
      <c r="AD473" s="17" t="s">
        <v>212</v>
      </c>
      <c r="AE473" s="17" t="s">
        <v>185</v>
      </c>
      <c r="AF473" s="1">
        <f t="shared" si="49"/>
        <v>0</v>
      </c>
      <c r="AG473" s="1">
        <f t="shared" si="50"/>
        <v>0</v>
      </c>
      <c r="AH473" s="1">
        <f t="shared" si="51"/>
        <v>1</v>
      </c>
    </row>
    <row r="474" spans="19:34">
      <c r="S474" s="17">
        <v>9</v>
      </c>
      <c r="T474" s="18"/>
      <c r="U474" s="17">
        <v>1</v>
      </c>
      <c r="V474" s="17" t="s">
        <v>57</v>
      </c>
      <c r="W474" s="18">
        <v>1</v>
      </c>
      <c r="X474" s="18" t="s">
        <v>342</v>
      </c>
      <c r="Y474" s="18">
        <f t="shared" si="53"/>
        <v>3</v>
      </c>
      <c r="Z474" s="17" t="s">
        <v>127</v>
      </c>
      <c r="AA474" s="17">
        <v>2</v>
      </c>
      <c r="AB474" s="17" t="s">
        <v>202</v>
      </c>
      <c r="AC474" s="17" t="s">
        <v>164</v>
      </c>
      <c r="AD474" s="17" t="s">
        <v>191</v>
      </c>
      <c r="AE474" s="17" t="s">
        <v>176</v>
      </c>
      <c r="AF474" s="1">
        <f t="shared" si="49"/>
        <v>0</v>
      </c>
      <c r="AG474" s="1">
        <f t="shared" si="50"/>
        <v>0</v>
      </c>
      <c r="AH474" s="1">
        <f t="shared" si="51"/>
        <v>1</v>
      </c>
    </row>
    <row r="475" spans="19:34">
      <c r="S475" s="17">
        <v>10</v>
      </c>
      <c r="T475" s="18"/>
      <c r="U475" s="17">
        <v>1</v>
      </c>
      <c r="V475" s="17" t="s">
        <v>57</v>
      </c>
      <c r="W475" s="18">
        <v>1</v>
      </c>
      <c r="X475" s="18" t="s">
        <v>342</v>
      </c>
      <c r="Y475" s="18">
        <f t="shared" si="53"/>
        <v>3</v>
      </c>
      <c r="Z475" s="17" t="s">
        <v>21</v>
      </c>
      <c r="AA475" s="17">
        <v>2</v>
      </c>
      <c r="AB475" s="17" t="s">
        <v>172</v>
      </c>
      <c r="AC475" s="17" t="s">
        <v>208</v>
      </c>
      <c r="AD475" s="17" t="s">
        <v>214</v>
      </c>
      <c r="AE475" s="17" t="s">
        <v>193</v>
      </c>
      <c r="AF475" s="1">
        <f t="shared" si="49"/>
        <v>0</v>
      </c>
      <c r="AG475" s="1">
        <f t="shared" si="50"/>
        <v>0</v>
      </c>
      <c r="AH475" s="1">
        <f t="shared" si="51"/>
        <v>1</v>
      </c>
    </row>
    <row r="476" spans="19:34">
      <c r="S476" s="17">
        <v>11</v>
      </c>
      <c r="T476" s="18"/>
      <c r="U476" s="17">
        <v>1</v>
      </c>
      <c r="V476" s="17" t="s">
        <v>57</v>
      </c>
      <c r="W476" s="18">
        <v>0</v>
      </c>
      <c r="X476" s="18" t="s">
        <v>342</v>
      </c>
      <c r="Y476" s="18">
        <f t="shared" si="53"/>
        <v>4</v>
      </c>
      <c r="Z476" s="17" t="s">
        <v>69</v>
      </c>
      <c r="AA476" s="17">
        <v>2</v>
      </c>
      <c r="AB476" s="17" t="s">
        <v>193</v>
      </c>
      <c r="AC476" s="17" t="s">
        <v>206</v>
      </c>
      <c r="AD476" s="17" t="s">
        <v>172</v>
      </c>
      <c r="AE476" s="17" t="s">
        <v>210</v>
      </c>
      <c r="AF476" s="1">
        <f t="shared" si="49"/>
        <v>0</v>
      </c>
      <c r="AG476" s="1">
        <f t="shared" si="50"/>
        <v>0</v>
      </c>
      <c r="AH476" s="1">
        <f t="shared" si="51"/>
        <v>1</v>
      </c>
    </row>
    <row r="477" spans="19:34">
      <c r="S477" s="17">
        <v>12</v>
      </c>
      <c r="T477" s="18"/>
      <c r="U477" s="17">
        <v>2</v>
      </c>
      <c r="V477" s="17" t="s">
        <v>57</v>
      </c>
      <c r="W477" s="18">
        <v>1</v>
      </c>
      <c r="X477" s="18" t="s">
        <v>342</v>
      </c>
      <c r="Y477" s="18">
        <f t="shared" si="53"/>
        <v>3</v>
      </c>
      <c r="Z477" s="17" t="s">
        <v>18</v>
      </c>
      <c r="AA477" s="17">
        <v>1</v>
      </c>
      <c r="AB477" s="17" t="s">
        <v>214</v>
      </c>
      <c r="AC477" s="17" t="s">
        <v>180</v>
      </c>
      <c r="AD477" s="17" t="s">
        <v>176</v>
      </c>
      <c r="AE477" s="17" t="s">
        <v>202</v>
      </c>
      <c r="AF477" s="1">
        <f t="shared" si="49"/>
        <v>0</v>
      </c>
      <c r="AG477" s="1">
        <f t="shared" si="50"/>
        <v>0</v>
      </c>
      <c r="AH477" s="1">
        <f t="shared" si="51"/>
        <v>1</v>
      </c>
    </row>
    <row r="478" spans="19:34">
      <c r="S478" s="17">
        <v>13</v>
      </c>
      <c r="T478" s="18"/>
      <c r="U478" s="17">
        <v>2</v>
      </c>
      <c r="V478" s="17" t="s">
        <v>57</v>
      </c>
      <c r="W478" s="18">
        <v>2</v>
      </c>
      <c r="X478" s="18" t="s">
        <v>342</v>
      </c>
      <c r="Y478" s="18">
        <f t="shared" si="53"/>
        <v>2</v>
      </c>
      <c r="Z478" s="17" t="s">
        <v>91</v>
      </c>
      <c r="AA478" s="17">
        <v>1</v>
      </c>
      <c r="AB478" s="17" t="s">
        <v>183</v>
      </c>
      <c r="AC478" s="17" t="s">
        <v>208</v>
      </c>
      <c r="AD478" s="17" t="s">
        <v>189</v>
      </c>
      <c r="AE478" s="17" t="s">
        <v>196</v>
      </c>
      <c r="AF478" s="1">
        <f t="shared" si="49"/>
        <v>0</v>
      </c>
      <c r="AG478" s="1">
        <f t="shared" si="50"/>
        <v>1</v>
      </c>
      <c r="AH478" s="1">
        <f t="shared" si="51"/>
        <v>0</v>
      </c>
    </row>
    <row r="479" spans="19:34">
      <c r="S479" s="17">
        <v>14</v>
      </c>
      <c r="T479" s="18"/>
      <c r="U479" s="17">
        <v>2</v>
      </c>
      <c r="V479" s="17" t="s">
        <v>57</v>
      </c>
      <c r="W479" s="18">
        <v>4</v>
      </c>
      <c r="X479" s="18" t="s">
        <v>342</v>
      </c>
      <c r="Y479" s="18">
        <f t="shared" si="53"/>
        <v>0</v>
      </c>
      <c r="Z479" s="17" t="s">
        <v>378</v>
      </c>
      <c r="AA479" s="17">
        <v>1</v>
      </c>
      <c r="AB479" s="17" t="s">
        <v>204</v>
      </c>
      <c r="AC479" s="17" t="s">
        <v>185</v>
      </c>
      <c r="AD479" s="17" t="s">
        <v>164</v>
      </c>
      <c r="AE479" s="17" t="s">
        <v>187</v>
      </c>
      <c r="AF479" s="1">
        <f t="shared" si="49"/>
        <v>1</v>
      </c>
      <c r="AG479" s="1">
        <f t="shared" si="50"/>
        <v>0</v>
      </c>
      <c r="AH479" s="1">
        <f t="shared" si="51"/>
        <v>0</v>
      </c>
    </row>
    <row r="480" spans="19:34">
      <c r="S480" s="17">
        <v>15</v>
      </c>
      <c r="T480" s="18"/>
      <c r="U480" s="17">
        <v>2</v>
      </c>
      <c r="V480" s="17" t="s">
        <v>57</v>
      </c>
      <c r="W480" s="18">
        <v>1</v>
      </c>
      <c r="X480" s="18" t="s">
        <v>342</v>
      </c>
      <c r="Y480" s="18">
        <f t="shared" si="53"/>
        <v>3</v>
      </c>
      <c r="Z480" s="17" t="s">
        <v>53</v>
      </c>
      <c r="AA480" s="17">
        <v>1</v>
      </c>
      <c r="AB480" s="17" t="s">
        <v>198</v>
      </c>
      <c r="AC480" s="17" t="s">
        <v>212</v>
      </c>
      <c r="AD480" s="17" t="s">
        <v>200</v>
      </c>
      <c r="AE480" s="17" t="s">
        <v>191</v>
      </c>
      <c r="AF480" s="1">
        <f t="shared" si="49"/>
        <v>0</v>
      </c>
      <c r="AG480" s="1">
        <f t="shared" si="50"/>
        <v>0</v>
      </c>
      <c r="AH480" s="1">
        <f t="shared" si="51"/>
        <v>1</v>
      </c>
    </row>
    <row r="481" spans="19:34">
      <c r="S481" s="58" t="s">
        <v>339</v>
      </c>
      <c r="T481" s="58" t="s">
        <v>340</v>
      </c>
      <c r="U481" s="58" t="s">
        <v>341</v>
      </c>
      <c r="V481" s="58" t="s">
        <v>1</v>
      </c>
      <c r="W481" s="66" t="s">
        <v>220</v>
      </c>
      <c r="X481" s="66"/>
      <c r="Y481" s="66"/>
      <c r="Z481" s="58" t="s">
        <v>1</v>
      </c>
      <c r="AA481" s="58" t="s">
        <v>341</v>
      </c>
      <c r="AB481" s="58" t="s">
        <v>225</v>
      </c>
      <c r="AC481" s="58" t="s">
        <v>228</v>
      </c>
      <c r="AD481" s="58" t="s">
        <v>230</v>
      </c>
      <c r="AE481" s="58" t="s">
        <v>232</v>
      </c>
      <c r="AF481" s="1">
        <f t="shared" si="49"/>
        <v>1</v>
      </c>
      <c r="AG481" s="1">
        <f t="shared" si="50"/>
        <v>0</v>
      </c>
      <c r="AH481" s="1">
        <f t="shared" si="51"/>
        <v>0</v>
      </c>
    </row>
    <row r="482" spans="19:34">
      <c r="S482" s="17">
        <v>1</v>
      </c>
      <c r="T482" s="18"/>
      <c r="U482" s="17">
        <v>2</v>
      </c>
      <c r="V482" s="17" t="s">
        <v>91</v>
      </c>
      <c r="W482" s="18">
        <v>0</v>
      </c>
      <c r="X482" s="18" t="s">
        <v>342</v>
      </c>
      <c r="Y482" s="18">
        <f t="shared" ref="Y482:Y496" si="54">IF(W482="","",4-W482)</f>
        <v>4</v>
      </c>
      <c r="Z482" s="17" t="s">
        <v>63</v>
      </c>
      <c r="AA482" s="17">
        <v>1</v>
      </c>
      <c r="AB482" s="17" t="s">
        <v>191</v>
      </c>
      <c r="AC482" s="17" t="s">
        <v>185</v>
      </c>
      <c r="AD482" s="17" t="s">
        <v>206</v>
      </c>
      <c r="AE482" s="17" t="s">
        <v>202</v>
      </c>
      <c r="AF482" s="1">
        <f t="shared" si="49"/>
        <v>0</v>
      </c>
      <c r="AG482" s="1">
        <f t="shared" si="50"/>
        <v>0</v>
      </c>
      <c r="AH482" s="1">
        <f t="shared" si="51"/>
        <v>1</v>
      </c>
    </row>
    <row r="483" spans="19:34">
      <c r="S483" s="17">
        <v>2</v>
      </c>
      <c r="T483" s="18"/>
      <c r="U483" s="17">
        <v>2</v>
      </c>
      <c r="V483" s="17" t="s">
        <v>91</v>
      </c>
      <c r="W483" s="18">
        <v>0</v>
      </c>
      <c r="X483" s="18" t="s">
        <v>342</v>
      </c>
      <c r="Y483" s="18">
        <f t="shared" si="54"/>
        <v>4</v>
      </c>
      <c r="Z483" s="17" t="s">
        <v>73</v>
      </c>
      <c r="AA483" s="17">
        <v>1</v>
      </c>
      <c r="AB483" s="17" t="s">
        <v>180</v>
      </c>
      <c r="AC483" s="17" t="s">
        <v>172</v>
      </c>
      <c r="AD483" s="17" t="s">
        <v>200</v>
      </c>
      <c r="AE483" s="17" t="s">
        <v>198</v>
      </c>
      <c r="AF483" s="1">
        <f t="shared" si="49"/>
        <v>0</v>
      </c>
      <c r="AG483" s="1">
        <f t="shared" si="50"/>
        <v>0</v>
      </c>
      <c r="AH483" s="1">
        <f t="shared" si="51"/>
        <v>1</v>
      </c>
    </row>
    <row r="484" spans="19:34">
      <c r="S484" s="17">
        <v>3</v>
      </c>
      <c r="T484" s="18"/>
      <c r="U484" s="17">
        <v>1</v>
      </c>
      <c r="V484" s="17" t="s">
        <v>91</v>
      </c>
      <c r="W484" s="18">
        <v>0</v>
      </c>
      <c r="X484" s="18" t="s">
        <v>342</v>
      </c>
      <c r="Y484" s="18">
        <f t="shared" si="54"/>
        <v>4</v>
      </c>
      <c r="Z484" s="17" t="s">
        <v>47</v>
      </c>
      <c r="AA484" s="17">
        <v>2</v>
      </c>
      <c r="AB484" s="17" t="s">
        <v>176</v>
      </c>
      <c r="AC484" s="17" t="s">
        <v>183</v>
      </c>
      <c r="AD484" s="17" t="s">
        <v>204</v>
      </c>
      <c r="AE484" s="17" t="s">
        <v>212</v>
      </c>
      <c r="AF484" s="1">
        <f t="shared" si="49"/>
        <v>0</v>
      </c>
      <c r="AG484" s="1">
        <f t="shared" si="50"/>
        <v>0</v>
      </c>
      <c r="AH484" s="1">
        <f t="shared" si="51"/>
        <v>1</v>
      </c>
    </row>
    <row r="485" spans="19:34">
      <c r="S485" s="17">
        <v>4</v>
      </c>
      <c r="T485" s="18"/>
      <c r="U485" s="17">
        <v>2</v>
      </c>
      <c r="V485" s="17" t="s">
        <v>91</v>
      </c>
      <c r="W485" s="18">
        <v>0</v>
      </c>
      <c r="X485" s="18" t="s">
        <v>342</v>
      </c>
      <c r="Y485" s="18">
        <f t="shared" si="54"/>
        <v>4</v>
      </c>
      <c r="Z485" s="17" t="s">
        <v>55</v>
      </c>
      <c r="AA485" s="17">
        <v>1</v>
      </c>
      <c r="AB485" s="17" t="s">
        <v>196</v>
      </c>
      <c r="AC485" s="17" t="s">
        <v>193</v>
      </c>
      <c r="AD485" s="17" t="s">
        <v>208</v>
      </c>
      <c r="AE485" s="17" t="s">
        <v>164</v>
      </c>
      <c r="AF485" s="1">
        <f t="shared" si="49"/>
        <v>0</v>
      </c>
      <c r="AG485" s="1">
        <f t="shared" si="50"/>
        <v>0</v>
      </c>
      <c r="AH485" s="1">
        <f t="shared" si="51"/>
        <v>1</v>
      </c>
    </row>
    <row r="486" spans="19:34">
      <c r="S486" s="17">
        <v>5</v>
      </c>
      <c r="T486" s="18"/>
      <c r="U486" s="17">
        <v>1</v>
      </c>
      <c r="V486" s="17" t="s">
        <v>91</v>
      </c>
      <c r="W486" s="18">
        <v>0</v>
      </c>
      <c r="X486" s="18" t="s">
        <v>342</v>
      </c>
      <c r="Y486" s="18">
        <f t="shared" si="54"/>
        <v>4</v>
      </c>
      <c r="Z486" s="17" t="s">
        <v>51</v>
      </c>
      <c r="AA486" s="17">
        <v>2</v>
      </c>
      <c r="AB486" s="17" t="s">
        <v>214</v>
      </c>
      <c r="AC486" s="17" t="s">
        <v>210</v>
      </c>
      <c r="AD486" s="17" t="s">
        <v>187</v>
      </c>
      <c r="AE486" s="17" t="s">
        <v>189</v>
      </c>
      <c r="AF486" s="1">
        <f t="shared" si="49"/>
        <v>0</v>
      </c>
      <c r="AG486" s="1">
        <f t="shared" si="50"/>
        <v>0</v>
      </c>
      <c r="AH486" s="1">
        <f t="shared" si="51"/>
        <v>1</v>
      </c>
    </row>
    <row r="487" spans="19:34">
      <c r="S487" s="17">
        <v>6</v>
      </c>
      <c r="T487" s="18"/>
      <c r="U487" s="17">
        <v>2</v>
      </c>
      <c r="V487" s="17" t="s">
        <v>91</v>
      </c>
      <c r="W487" s="18">
        <v>0</v>
      </c>
      <c r="X487" s="18" t="s">
        <v>342</v>
      </c>
      <c r="Y487" s="18">
        <f t="shared" si="54"/>
        <v>4</v>
      </c>
      <c r="Z487" s="17" t="s">
        <v>35</v>
      </c>
      <c r="AA487" s="17">
        <v>1</v>
      </c>
      <c r="AB487" s="17" t="s">
        <v>204</v>
      </c>
      <c r="AC487" s="17" t="s">
        <v>210</v>
      </c>
      <c r="AD487" s="17" t="s">
        <v>180</v>
      </c>
      <c r="AE487" s="17" t="s">
        <v>189</v>
      </c>
      <c r="AF487" s="1">
        <f t="shared" si="49"/>
        <v>0</v>
      </c>
      <c r="AG487" s="1">
        <f t="shared" si="50"/>
        <v>0</v>
      </c>
      <c r="AH487" s="1">
        <f t="shared" si="51"/>
        <v>1</v>
      </c>
    </row>
    <row r="488" spans="19:34">
      <c r="S488" s="17">
        <v>7</v>
      </c>
      <c r="T488" s="18"/>
      <c r="U488" s="17">
        <v>1</v>
      </c>
      <c r="V488" s="17" t="s">
        <v>91</v>
      </c>
      <c r="W488" s="18">
        <v>1</v>
      </c>
      <c r="X488" s="18" t="s">
        <v>342</v>
      </c>
      <c r="Y488" s="18">
        <f t="shared" si="54"/>
        <v>3</v>
      </c>
      <c r="Z488" s="17" t="s">
        <v>119</v>
      </c>
      <c r="AA488" s="17">
        <v>2</v>
      </c>
      <c r="AB488" s="17" t="s">
        <v>187</v>
      </c>
      <c r="AC488" s="17" t="s">
        <v>206</v>
      </c>
      <c r="AD488" s="17" t="s">
        <v>183</v>
      </c>
      <c r="AE488" s="17" t="s">
        <v>196</v>
      </c>
      <c r="AF488" s="1">
        <f t="shared" si="49"/>
        <v>0</v>
      </c>
      <c r="AG488" s="1">
        <f t="shared" si="50"/>
        <v>0</v>
      </c>
      <c r="AH488" s="1">
        <f t="shared" si="51"/>
        <v>1</v>
      </c>
    </row>
    <row r="489" spans="19:34">
      <c r="S489" s="17">
        <v>8</v>
      </c>
      <c r="T489" s="18"/>
      <c r="U489" s="17">
        <v>1</v>
      </c>
      <c r="V489" s="17" t="s">
        <v>91</v>
      </c>
      <c r="W489" s="18">
        <v>0</v>
      </c>
      <c r="X489" s="18" t="s">
        <v>342</v>
      </c>
      <c r="Y489" s="18">
        <f t="shared" si="54"/>
        <v>4</v>
      </c>
      <c r="Z489" s="17" t="s">
        <v>29</v>
      </c>
      <c r="AA489" s="17">
        <v>2</v>
      </c>
      <c r="AB489" s="17" t="s">
        <v>200</v>
      </c>
      <c r="AC489" s="17" t="s">
        <v>198</v>
      </c>
      <c r="AD489" s="17" t="s">
        <v>212</v>
      </c>
      <c r="AE489" s="17" t="s">
        <v>185</v>
      </c>
      <c r="AF489" s="1">
        <f t="shared" si="49"/>
        <v>0</v>
      </c>
      <c r="AG489" s="1">
        <f t="shared" si="50"/>
        <v>0</v>
      </c>
      <c r="AH489" s="1">
        <f t="shared" si="51"/>
        <v>1</v>
      </c>
    </row>
    <row r="490" spans="19:34">
      <c r="S490" s="17">
        <v>9</v>
      </c>
      <c r="T490" s="18"/>
      <c r="U490" s="17">
        <v>2</v>
      </c>
      <c r="V490" s="17" t="s">
        <v>91</v>
      </c>
      <c r="W490" s="18">
        <v>0</v>
      </c>
      <c r="X490" s="18" t="s">
        <v>342</v>
      </c>
      <c r="Y490" s="18">
        <f t="shared" si="54"/>
        <v>4</v>
      </c>
      <c r="Z490" s="17" t="s">
        <v>18</v>
      </c>
      <c r="AA490" s="17">
        <v>1</v>
      </c>
      <c r="AB490" s="17" t="s">
        <v>202</v>
      </c>
      <c r="AC490" s="17" t="s">
        <v>164</v>
      </c>
      <c r="AD490" s="17" t="s">
        <v>191</v>
      </c>
      <c r="AE490" s="17" t="s">
        <v>176</v>
      </c>
      <c r="AF490" s="1">
        <f t="shared" si="49"/>
        <v>0</v>
      </c>
      <c r="AG490" s="1">
        <f t="shared" si="50"/>
        <v>0</v>
      </c>
      <c r="AH490" s="1">
        <f t="shared" si="51"/>
        <v>1</v>
      </c>
    </row>
    <row r="491" spans="19:34">
      <c r="S491" s="17">
        <v>10</v>
      </c>
      <c r="T491" s="18"/>
      <c r="U491" s="17">
        <v>1</v>
      </c>
      <c r="V491" s="17" t="s">
        <v>91</v>
      </c>
      <c r="W491" s="18">
        <v>0</v>
      </c>
      <c r="X491" s="18" t="s">
        <v>342</v>
      </c>
      <c r="Y491" s="18">
        <f t="shared" si="54"/>
        <v>4</v>
      </c>
      <c r="Z491" s="17" t="s">
        <v>69</v>
      </c>
      <c r="AA491" s="17">
        <v>2</v>
      </c>
      <c r="AB491" s="17" t="s">
        <v>172</v>
      </c>
      <c r="AC491" s="17" t="s">
        <v>208</v>
      </c>
      <c r="AD491" s="17" t="s">
        <v>214</v>
      </c>
      <c r="AE491" s="17" t="s">
        <v>193</v>
      </c>
      <c r="AF491" s="1">
        <f t="shared" si="49"/>
        <v>0</v>
      </c>
      <c r="AG491" s="1">
        <f t="shared" si="50"/>
        <v>0</v>
      </c>
      <c r="AH491" s="1">
        <f t="shared" si="51"/>
        <v>1</v>
      </c>
    </row>
    <row r="492" spans="19:34">
      <c r="S492" s="17">
        <v>11</v>
      </c>
      <c r="T492" s="18"/>
      <c r="U492" s="17">
        <v>2</v>
      </c>
      <c r="V492" s="17" t="s">
        <v>91</v>
      </c>
      <c r="W492" s="18">
        <v>0</v>
      </c>
      <c r="X492" s="18" t="s">
        <v>342</v>
      </c>
      <c r="Y492" s="18">
        <f t="shared" si="54"/>
        <v>4</v>
      </c>
      <c r="Z492" s="17" t="s">
        <v>21</v>
      </c>
      <c r="AA492" s="17">
        <v>1</v>
      </c>
      <c r="AB492" s="17" t="s">
        <v>193</v>
      </c>
      <c r="AC492" s="17" t="s">
        <v>206</v>
      </c>
      <c r="AD492" s="17" t="s">
        <v>172</v>
      </c>
      <c r="AE492" s="17" t="s">
        <v>210</v>
      </c>
      <c r="AF492" s="1">
        <f t="shared" si="49"/>
        <v>0</v>
      </c>
      <c r="AG492" s="1">
        <f t="shared" si="50"/>
        <v>0</v>
      </c>
      <c r="AH492" s="1">
        <f t="shared" si="51"/>
        <v>1</v>
      </c>
    </row>
    <row r="493" spans="19:34">
      <c r="S493" s="17">
        <v>12</v>
      </c>
      <c r="T493" s="18"/>
      <c r="U493" s="17">
        <v>2</v>
      </c>
      <c r="V493" s="17" t="s">
        <v>91</v>
      </c>
      <c r="W493" s="18">
        <v>0</v>
      </c>
      <c r="X493" s="18" t="s">
        <v>342</v>
      </c>
      <c r="Y493" s="18">
        <f t="shared" si="54"/>
        <v>4</v>
      </c>
      <c r="Z493" s="17" t="s">
        <v>127</v>
      </c>
      <c r="AA493" s="17">
        <v>1</v>
      </c>
      <c r="AB493" s="17" t="s">
        <v>214</v>
      </c>
      <c r="AC493" s="17" t="s">
        <v>180</v>
      </c>
      <c r="AD493" s="17" t="s">
        <v>176</v>
      </c>
      <c r="AE493" s="17" t="s">
        <v>202</v>
      </c>
      <c r="AF493" s="1">
        <f t="shared" si="49"/>
        <v>0</v>
      </c>
      <c r="AG493" s="1">
        <f t="shared" si="50"/>
        <v>0</v>
      </c>
      <c r="AH493" s="1">
        <f t="shared" si="51"/>
        <v>1</v>
      </c>
    </row>
    <row r="494" spans="19:34">
      <c r="S494" s="17">
        <v>13</v>
      </c>
      <c r="T494" s="18"/>
      <c r="U494" s="17">
        <v>1</v>
      </c>
      <c r="V494" s="17" t="s">
        <v>91</v>
      </c>
      <c r="W494" s="18">
        <v>2</v>
      </c>
      <c r="X494" s="18" t="s">
        <v>342</v>
      </c>
      <c r="Y494" s="18">
        <f t="shared" si="54"/>
        <v>2</v>
      </c>
      <c r="Z494" s="17" t="s">
        <v>57</v>
      </c>
      <c r="AA494" s="17">
        <v>2</v>
      </c>
      <c r="AB494" s="17" t="s">
        <v>183</v>
      </c>
      <c r="AC494" s="17" t="s">
        <v>208</v>
      </c>
      <c r="AD494" s="17" t="s">
        <v>189</v>
      </c>
      <c r="AE494" s="17" t="s">
        <v>196</v>
      </c>
      <c r="AF494" s="1">
        <f t="shared" si="49"/>
        <v>0</v>
      </c>
      <c r="AG494" s="1">
        <f t="shared" si="50"/>
        <v>1</v>
      </c>
      <c r="AH494" s="1">
        <f t="shared" si="51"/>
        <v>0</v>
      </c>
    </row>
    <row r="495" spans="19:34">
      <c r="S495" s="17">
        <v>14</v>
      </c>
      <c r="T495" s="18"/>
      <c r="U495" s="17">
        <v>2</v>
      </c>
      <c r="V495" s="17" t="s">
        <v>91</v>
      </c>
      <c r="W495" s="18">
        <v>0</v>
      </c>
      <c r="X495" s="18" t="s">
        <v>342</v>
      </c>
      <c r="Y495" s="18">
        <f t="shared" si="54"/>
        <v>4</v>
      </c>
      <c r="Z495" s="17" t="s">
        <v>53</v>
      </c>
      <c r="AA495" s="17">
        <v>1</v>
      </c>
      <c r="AB495" s="17" t="s">
        <v>204</v>
      </c>
      <c r="AC495" s="17" t="s">
        <v>185</v>
      </c>
      <c r="AD495" s="17" t="s">
        <v>164</v>
      </c>
      <c r="AE495" s="17" t="s">
        <v>187</v>
      </c>
      <c r="AF495" s="1">
        <f t="shared" si="49"/>
        <v>0</v>
      </c>
      <c r="AG495" s="1">
        <f t="shared" si="50"/>
        <v>0</v>
      </c>
      <c r="AH495" s="1">
        <f t="shared" si="51"/>
        <v>1</v>
      </c>
    </row>
    <row r="496" spans="19:34">
      <c r="S496" s="17">
        <v>15</v>
      </c>
      <c r="T496" s="18"/>
      <c r="U496" s="17">
        <v>2</v>
      </c>
      <c r="V496" s="17" t="s">
        <v>91</v>
      </c>
      <c r="W496" s="18">
        <v>4</v>
      </c>
      <c r="X496" s="18" t="s">
        <v>342</v>
      </c>
      <c r="Y496" s="18">
        <f t="shared" si="54"/>
        <v>0</v>
      </c>
      <c r="Z496" s="17" t="s">
        <v>378</v>
      </c>
      <c r="AA496" s="17">
        <v>1</v>
      </c>
      <c r="AB496" s="17" t="s">
        <v>198</v>
      </c>
      <c r="AC496" s="17" t="s">
        <v>212</v>
      </c>
      <c r="AD496" s="17" t="s">
        <v>200</v>
      </c>
      <c r="AE496" s="17" t="s">
        <v>191</v>
      </c>
      <c r="AF496" s="1">
        <f t="shared" si="49"/>
        <v>1</v>
      </c>
      <c r="AG496" s="1">
        <f t="shared" si="50"/>
        <v>0</v>
      </c>
      <c r="AH496" s="1">
        <f t="shared" si="51"/>
        <v>0</v>
      </c>
    </row>
    <row r="497" spans="19:34">
      <c r="S497" s="58" t="s">
        <v>339</v>
      </c>
      <c r="T497" s="58" t="s">
        <v>340</v>
      </c>
      <c r="U497" s="58" t="s">
        <v>341</v>
      </c>
      <c r="V497" s="58" t="s">
        <v>1</v>
      </c>
      <c r="W497" s="66" t="s">
        <v>220</v>
      </c>
      <c r="X497" s="66"/>
      <c r="Y497" s="66"/>
      <c r="Z497" s="58" t="s">
        <v>1</v>
      </c>
      <c r="AA497" s="58" t="s">
        <v>341</v>
      </c>
      <c r="AB497" s="58" t="s">
        <v>225</v>
      </c>
      <c r="AC497" s="58" t="s">
        <v>228</v>
      </c>
      <c r="AD497" s="58" t="s">
        <v>230</v>
      </c>
      <c r="AE497" s="58" t="s">
        <v>232</v>
      </c>
      <c r="AF497" s="1">
        <f t="shared" si="49"/>
        <v>1</v>
      </c>
      <c r="AG497" s="1">
        <f t="shared" si="50"/>
        <v>0</v>
      </c>
      <c r="AH497" s="1">
        <f t="shared" si="51"/>
        <v>0</v>
      </c>
    </row>
    <row r="498" spans="19:34">
      <c r="S498" s="17">
        <v>1</v>
      </c>
      <c r="T498" s="18"/>
      <c r="U498" s="17">
        <v>2</v>
      </c>
      <c r="V498" s="17" t="s">
        <v>378</v>
      </c>
      <c r="W498" s="18">
        <v>0</v>
      </c>
      <c r="X498" s="18" t="s">
        <v>342</v>
      </c>
      <c r="Y498" s="18">
        <f t="shared" ref="Y498:Y512" si="55">IF(W498="","",4-W498)</f>
        <v>4</v>
      </c>
      <c r="Z498" s="17" t="s">
        <v>73</v>
      </c>
      <c r="AA498" s="17">
        <v>1</v>
      </c>
      <c r="AB498" s="17" t="s">
        <v>191</v>
      </c>
      <c r="AC498" s="17" t="s">
        <v>185</v>
      </c>
      <c r="AD498" s="17" t="s">
        <v>206</v>
      </c>
      <c r="AE498" s="17" t="s">
        <v>202</v>
      </c>
      <c r="AF498" s="1">
        <f t="shared" si="49"/>
        <v>0</v>
      </c>
      <c r="AG498" s="1">
        <f t="shared" si="50"/>
        <v>0</v>
      </c>
      <c r="AH498" s="1">
        <f t="shared" si="51"/>
        <v>1</v>
      </c>
    </row>
    <row r="499" spans="19:34">
      <c r="S499" s="17">
        <v>2</v>
      </c>
      <c r="T499" s="18"/>
      <c r="U499" s="17">
        <v>1</v>
      </c>
      <c r="V499" s="17" t="s">
        <v>378</v>
      </c>
      <c r="W499" s="18">
        <v>0</v>
      </c>
      <c r="X499" s="18" t="s">
        <v>342</v>
      </c>
      <c r="Y499" s="18">
        <f t="shared" si="55"/>
        <v>4</v>
      </c>
      <c r="Z499" s="17" t="s">
        <v>63</v>
      </c>
      <c r="AA499" s="17">
        <v>2</v>
      </c>
      <c r="AB499" s="17" t="s">
        <v>180</v>
      </c>
      <c r="AC499" s="17" t="s">
        <v>172</v>
      </c>
      <c r="AD499" s="17" t="s">
        <v>200</v>
      </c>
      <c r="AE499" s="17" t="s">
        <v>198</v>
      </c>
      <c r="AF499" s="1">
        <f t="shared" si="49"/>
        <v>0</v>
      </c>
      <c r="AG499" s="1">
        <f t="shared" si="50"/>
        <v>0</v>
      </c>
      <c r="AH499" s="1">
        <f t="shared" si="51"/>
        <v>1</v>
      </c>
    </row>
    <row r="500" spans="19:34">
      <c r="S500" s="17">
        <v>3</v>
      </c>
      <c r="T500" s="18"/>
      <c r="U500" s="17">
        <v>2</v>
      </c>
      <c r="V500" s="17" t="s">
        <v>378</v>
      </c>
      <c r="W500" s="18">
        <v>0</v>
      </c>
      <c r="X500" s="18" t="s">
        <v>342</v>
      </c>
      <c r="Y500" s="18">
        <f t="shared" si="55"/>
        <v>4</v>
      </c>
      <c r="Z500" s="17" t="s">
        <v>55</v>
      </c>
      <c r="AA500" s="17">
        <v>1</v>
      </c>
      <c r="AB500" s="17" t="s">
        <v>176</v>
      </c>
      <c r="AC500" s="17" t="s">
        <v>183</v>
      </c>
      <c r="AD500" s="17" t="s">
        <v>204</v>
      </c>
      <c r="AE500" s="17" t="s">
        <v>212</v>
      </c>
      <c r="AF500" s="1">
        <f t="shared" si="49"/>
        <v>0</v>
      </c>
      <c r="AG500" s="1">
        <f t="shared" si="50"/>
        <v>0</v>
      </c>
      <c r="AH500" s="1">
        <f t="shared" si="51"/>
        <v>1</v>
      </c>
    </row>
    <row r="501" spans="19:34">
      <c r="S501" s="17">
        <v>4</v>
      </c>
      <c r="T501" s="18"/>
      <c r="U501" s="17">
        <v>2</v>
      </c>
      <c r="V501" s="17" t="s">
        <v>378</v>
      </c>
      <c r="W501" s="18">
        <v>0</v>
      </c>
      <c r="X501" s="18" t="s">
        <v>342</v>
      </c>
      <c r="Y501" s="18">
        <f t="shared" si="55"/>
        <v>4</v>
      </c>
      <c r="Z501" s="17" t="s">
        <v>47</v>
      </c>
      <c r="AA501" s="17">
        <v>1</v>
      </c>
      <c r="AB501" s="17" t="s">
        <v>196</v>
      </c>
      <c r="AC501" s="17" t="s">
        <v>193</v>
      </c>
      <c r="AD501" s="17" t="s">
        <v>208</v>
      </c>
      <c r="AE501" s="17" t="s">
        <v>164</v>
      </c>
      <c r="AF501" s="1">
        <f t="shared" si="49"/>
        <v>0</v>
      </c>
      <c r="AG501" s="1">
        <f t="shared" si="50"/>
        <v>0</v>
      </c>
      <c r="AH501" s="1">
        <f t="shared" si="51"/>
        <v>1</v>
      </c>
    </row>
    <row r="502" spans="19:34">
      <c r="S502" s="17">
        <v>5</v>
      </c>
      <c r="T502" s="18"/>
      <c r="U502" s="17">
        <v>1</v>
      </c>
      <c r="V502" s="17" t="s">
        <v>378</v>
      </c>
      <c r="W502" s="18">
        <v>0</v>
      </c>
      <c r="X502" s="18" t="s">
        <v>342</v>
      </c>
      <c r="Y502" s="18">
        <f t="shared" si="55"/>
        <v>4</v>
      </c>
      <c r="Z502" s="17" t="s">
        <v>35</v>
      </c>
      <c r="AA502" s="17">
        <v>2</v>
      </c>
      <c r="AB502" s="17" t="s">
        <v>214</v>
      </c>
      <c r="AC502" s="17" t="s">
        <v>210</v>
      </c>
      <c r="AD502" s="17" t="s">
        <v>187</v>
      </c>
      <c r="AE502" s="17" t="s">
        <v>189</v>
      </c>
      <c r="AF502" s="1">
        <f t="shared" si="49"/>
        <v>0</v>
      </c>
      <c r="AG502" s="1">
        <f t="shared" si="50"/>
        <v>0</v>
      </c>
      <c r="AH502" s="1">
        <f t="shared" si="51"/>
        <v>1</v>
      </c>
    </row>
    <row r="503" spans="19:34">
      <c r="S503" s="17">
        <v>6</v>
      </c>
      <c r="T503" s="18"/>
      <c r="U503" s="17">
        <v>1</v>
      </c>
      <c r="V503" s="17" t="s">
        <v>378</v>
      </c>
      <c r="W503" s="18">
        <v>0</v>
      </c>
      <c r="X503" s="18" t="s">
        <v>342</v>
      </c>
      <c r="Y503" s="18">
        <f t="shared" si="55"/>
        <v>4</v>
      </c>
      <c r="Z503" s="17" t="s">
        <v>51</v>
      </c>
      <c r="AA503" s="17">
        <v>2</v>
      </c>
      <c r="AB503" s="17" t="s">
        <v>204</v>
      </c>
      <c r="AC503" s="17" t="s">
        <v>210</v>
      </c>
      <c r="AD503" s="17" t="s">
        <v>180</v>
      </c>
      <c r="AE503" s="17" t="s">
        <v>189</v>
      </c>
      <c r="AF503" s="1">
        <f t="shared" si="49"/>
        <v>0</v>
      </c>
      <c r="AG503" s="1">
        <f t="shared" si="50"/>
        <v>0</v>
      </c>
      <c r="AH503" s="1">
        <f t="shared" si="51"/>
        <v>1</v>
      </c>
    </row>
    <row r="504" spans="19:34">
      <c r="S504" s="17">
        <v>7</v>
      </c>
      <c r="T504" s="18"/>
      <c r="U504" s="17">
        <v>2</v>
      </c>
      <c r="V504" s="17" t="s">
        <v>378</v>
      </c>
      <c r="W504" s="18">
        <v>0</v>
      </c>
      <c r="X504" s="18" t="s">
        <v>342</v>
      </c>
      <c r="Y504" s="18">
        <f t="shared" si="55"/>
        <v>4</v>
      </c>
      <c r="Z504" s="17" t="s">
        <v>29</v>
      </c>
      <c r="AA504" s="17">
        <v>1</v>
      </c>
      <c r="AB504" s="17" t="s">
        <v>187</v>
      </c>
      <c r="AC504" s="17" t="s">
        <v>206</v>
      </c>
      <c r="AD504" s="17" t="s">
        <v>183</v>
      </c>
      <c r="AE504" s="17" t="s">
        <v>196</v>
      </c>
      <c r="AF504" s="1">
        <f t="shared" si="49"/>
        <v>0</v>
      </c>
      <c r="AG504" s="1">
        <f t="shared" si="50"/>
        <v>0</v>
      </c>
      <c r="AH504" s="1">
        <f t="shared" si="51"/>
        <v>1</v>
      </c>
    </row>
    <row r="505" spans="19:34">
      <c r="S505" s="17">
        <v>8</v>
      </c>
      <c r="T505" s="18"/>
      <c r="U505" s="17">
        <v>2</v>
      </c>
      <c r="V505" s="17" t="s">
        <v>378</v>
      </c>
      <c r="W505" s="18">
        <v>0</v>
      </c>
      <c r="X505" s="18" t="s">
        <v>342</v>
      </c>
      <c r="Y505" s="18">
        <f t="shared" si="55"/>
        <v>4</v>
      </c>
      <c r="Z505" s="17" t="s">
        <v>119</v>
      </c>
      <c r="AA505" s="17">
        <v>1</v>
      </c>
      <c r="AB505" s="17" t="s">
        <v>200</v>
      </c>
      <c r="AC505" s="17" t="s">
        <v>198</v>
      </c>
      <c r="AD505" s="17" t="s">
        <v>212</v>
      </c>
      <c r="AE505" s="17" t="s">
        <v>185</v>
      </c>
      <c r="AF505" s="1">
        <f t="shared" si="49"/>
        <v>0</v>
      </c>
      <c r="AG505" s="1">
        <f t="shared" si="50"/>
        <v>0</v>
      </c>
      <c r="AH505" s="1">
        <f t="shared" si="51"/>
        <v>1</v>
      </c>
    </row>
    <row r="506" spans="19:34">
      <c r="S506" s="17">
        <v>9</v>
      </c>
      <c r="T506" s="18"/>
      <c r="U506" s="17">
        <v>2</v>
      </c>
      <c r="V506" s="17" t="s">
        <v>378</v>
      </c>
      <c r="W506" s="18">
        <v>0</v>
      </c>
      <c r="X506" s="18" t="s">
        <v>342</v>
      </c>
      <c r="Y506" s="18">
        <f t="shared" si="55"/>
        <v>4</v>
      </c>
      <c r="Z506" s="17" t="s">
        <v>69</v>
      </c>
      <c r="AA506" s="17">
        <v>1</v>
      </c>
      <c r="AB506" s="17" t="s">
        <v>202</v>
      </c>
      <c r="AC506" s="17" t="s">
        <v>164</v>
      </c>
      <c r="AD506" s="17" t="s">
        <v>191</v>
      </c>
      <c r="AE506" s="17" t="s">
        <v>176</v>
      </c>
      <c r="AF506" s="1">
        <f t="shared" si="49"/>
        <v>0</v>
      </c>
      <c r="AG506" s="1">
        <f t="shared" si="50"/>
        <v>0</v>
      </c>
      <c r="AH506" s="1">
        <f t="shared" si="51"/>
        <v>1</v>
      </c>
    </row>
    <row r="507" spans="19:34">
      <c r="S507" s="17">
        <v>10</v>
      </c>
      <c r="T507" s="18"/>
      <c r="U507" s="17">
        <v>1</v>
      </c>
      <c r="V507" s="17" t="s">
        <v>378</v>
      </c>
      <c r="W507" s="18">
        <v>0</v>
      </c>
      <c r="X507" s="18" t="s">
        <v>342</v>
      </c>
      <c r="Y507" s="18">
        <f t="shared" si="55"/>
        <v>4</v>
      </c>
      <c r="Z507" s="17" t="s">
        <v>18</v>
      </c>
      <c r="AA507" s="17">
        <v>2</v>
      </c>
      <c r="AB507" s="17" t="s">
        <v>172</v>
      </c>
      <c r="AC507" s="17" t="s">
        <v>208</v>
      </c>
      <c r="AD507" s="17" t="s">
        <v>214</v>
      </c>
      <c r="AE507" s="17" t="s">
        <v>193</v>
      </c>
      <c r="AF507" s="1">
        <f t="shared" si="49"/>
        <v>0</v>
      </c>
      <c r="AG507" s="1">
        <f t="shared" si="50"/>
        <v>0</v>
      </c>
      <c r="AH507" s="1">
        <f t="shared" si="51"/>
        <v>1</v>
      </c>
    </row>
    <row r="508" spans="19:34">
      <c r="S508" s="17">
        <v>11</v>
      </c>
      <c r="T508" s="18"/>
      <c r="U508" s="17">
        <v>2</v>
      </c>
      <c r="V508" s="17" t="s">
        <v>378</v>
      </c>
      <c r="W508" s="18">
        <v>0</v>
      </c>
      <c r="X508" s="18" t="s">
        <v>342</v>
      </c>
      <c r="Y508" s="18">
        <f t="shared" si="55"/>
        <v>4</v>
      </c>
      <c r="Z508" s="17" t="s">
        <v>127</v>
      </c>
      <c r="AA508" s="17">
        <v>1</v>
      </c>
      <c r="AB508" s="17" t="s">
        <v>193</v>
      </c>
      <c r="AC508" s="17" t="s">
        <v>206</v>
      </c>
      <c r="AD508" s="17" t="s">
        <v>172</v>
      </c>
      <c r="AE508" s="17" t="s">
        <v>210</v>
      </c>
      <c r="AF508" s="1">
        <f t="shared" si="49"/>
        <v>0</v>
      </c>
      <c r="AG508" s="1">
        <f t="shared" si="50"/>
        <v>0</v>
      </c>
      <c r="AH508" s="1">
        <f t="shared" si="51"/>
        <v>1</v>
      </c>
    </row>
    <row r="509" spans="19:34">
      <c r="S509" s="17">
        <v>12</v>
      </c>
      <c r="T509" s="18"/>
      <c r="U509" s="17">
        <v>2</v>
      </c>
      <c r="V509" s="17" t="s">
        <v>378</v>
      </c>
      <c r="W509" s="18">
        <v>0</v>
      </c>
      <c r="X509" s="18" t="s">
        <v>342</v>
      </c>
      <c r="Y509" s="18">
        <f t="shared" si="55"/>
        <v>4</v>
      </c>
      <c r="Z509" s="17" t="s">
        <v>21</v>
      </c>
      <c r="AA509" s="17">
        <v>1</v>
      </c>
      <c r="AB509" s="17" t="s">
        <v>214</v>
      </c>
      <c r="AC509" s="17" t="s">
        <v>180</v>
      </c>
      <c r="AD509" s="17" t="s">
        <v>176</v>
      </c>
      <c r="AE509" s="17" t="s">
        <v>202</v>
      </c>
      <c r="AF509" s="1">
        <f t="shared" si="49"/>
        <v>0</v>
      </c>
      <c r="AG509" s="1">
        <f t="shared" si="50"/>
        <v>0</v>
      </c>
      <c r="AH509" s="1">
        <f t="shared" si="51"/>
        <v>1</v>
      </c>
    </row>
    <row r="510" spans="19:34">
      <c r="S510" s="17">
        <v>13</v>
      </c>
      <c r="T510" s="18"/>
      <c r="U510" s="17">
        <v>1</v>
      </c>
      <c r="V510" s="17" t="s">
        <v>378</v>
      </c>
      <c r="W510" s="18">
        <v>0</v>
      </c>
      <c r="X510" s="18" t="s">
        <v>342</v>
      </c>
      <c r="Y510" s="18">
        <f t="shared" si="55"/>
        <v>4</v>
      </c>
      <c r="Z510" s="17" t="s">
        <v>53</v>
      </c>
      <c r="AA510" s="17">
        <v>2</v>
      </c>
      <c r="AB510" s="17" t="s">
        <v>183</v>
      </c>
      <c r="AC510" s="17" t="s">
        <v>208</v>
      </c>
      <c r="AD510" s="17" t="s">
        <v>189</v>
      </c>
      <c r="AE510" s="17" t="s">
        <v>196</v>
      </c>
      <c r="AF510" s="1">
        <f t="shared" si="49"/>
        <v>0</v>
      </c>
      <c r="AG510" s="1">
        <f t="shared" si="50"/>
        <v>0</v>
      </c>
      <c r="AH510" s="1">
        <f t="shared" si="51"/>
        <v>1</v>
      </c>
    </row>
    <row r="511" spans="19:34">
      <c r="S511" s="17">
        <v>14</v>
      </c>
      <c r="T511" s="18"/>
      <c r="U511" s="17">
        <v>1</v>
      </c>
      <c r="V511" s="17" t="s">
        <v>378</v>
      </c>
      <c r="W511" s="18">
        <v>0</v>
      </c>
      <c r="X511" s="18" t="s">
        <v>342</v>
      </c>
      <c r="Y511" s="18">
        <f t="shared" si="55"/>
        <v>4</v>
      </c>
      <c r="Z511" s="17" t="s">
        <v>57</v>
      </c>
      <c r="AA511" s="17">
        <v>2</v>
      </c>
      <c r="AB511" s="17" t="s">
        <v>204</v>
      </c>
      <c r="AC511" s="17" t="s">
        <v>185</v>
      </c>
      <c r="AD511" s="17" t="s">
        <v>164</v>
      </c>
      <c r="AE511" s="17" t="s">
        <v>187</v>
      </c>
      <c r="AF511" s="1">
        <f t="shared" si="49"/>
        <v>0</v>
      </c>
      <c r="AG511" s="1">
        <f t="shared" si="50"/>
        <v>0</v>
      </c>
      <c r="AH511" s="1">
        <f t="shared" si="51"/>
        <v>1</v>
      </c>
    </row>
    <row r="512" spans="19:34">
      <c r="S512" s="17">
        <v>15</v>
      </c>
      <c r="T512" s="18"/>
      <c r="U512" s="17">
        <v>1</v>
      </c>
      <c r="V512" s="17" t="s">
        <v>378</v>
      </c>
      <c r="W512" s="18">
        <v>0</v>
      </c>
      <c r="X512" s="18" t="s">
        <v>342</v>
      </c>
      <c r="Y512" s="18">
        <f t="shared" si="55"/>
        <v>4</v>
      </c>
      <c r="Z512" s="17" t="s">
        <v>91</v>
      </c>
      <c r="AA512" s="17">
        <v>2</v>
      </c>
      <c r="AB512" s="17" t="s">
        <v>198</v>
      </c>
      <c r="AC512" s="17" t="s">
        <v>212</v>
      </c>
      <c r="AD512" s="17" t="s">
        <v>200</v>
      </c>
      <c r="AE512" s="17" t="s">
        <v>191</v>
      </c>
      <c r="AF512" s="1">
        <f t="shared" si="49"/>
        <v>0</v>
      </c>
      <c r="AG512" s="1">
        <f t="shared" si="50"/>
        <v>0</v>
      </c>
      <c r="AH512" s="1">
        <f t="shared" si="51"/>
        <v>1</v>
      </c>
    </row>
    <row r="513" spans="19:34">
      <c r="S513" s="58" t="s">
        <v>339</v>
      </c>
      <c r="T513" s="58" t="s">
        <v>340</v>
      </c>
      <c r="U513" s="58" t="s">
        <v>341</v>
      </c>
      <c r="V513" s="58" t="s">
        <v>1</v>
      </c>
      <c r="W513" s="66" t="s">
        <v>220</v>
      </c>
      <c r="X513" s="66"/>
      <c r="Y513" s="66"/>
      <c r="Z513" s="58" t="s">
        <v>1</v>
      </c>
      <c r="AA513" s="58" t="s">
        <v>341</v>
      </c>
      <c r="AB513" s="58" t="s">
        <v>225</v>
      </c>
      <c r="AC513" s="58" t="s">
        <v>228</v>
      </c>
      <c r="AD513" s="58" t="s">
        <v>230</v>
      </c>
      <c r="AE513" s="58" t="s">
        <v>232</v>
      </c>
      <c r="AF513" s="1">
        <f t="shared" ref="AF513:AF576" si="56">IF(W513="",0,IF(W513&gt;Y513,1,0))</f>
        <v>1</v>
      </c>
      <c r="AG513" s="1">
        <f t="shared" ref="AG513:AG576" si="57">IF(W513="",0,IF(W513=Y513,1,0))</f>
        <v>0</v>
      </c>
      <c r="AH513" s="1">
        <f t="shared" ref="AH513:AH576" si="58">IF(W513="",0,IF(W513&lt;Y513,1,0))</f>
        <v>0</v>
      </c>
    </row>
    <row r="514" spans="19:34">
      <c r="S514" s="17">
        <v>1</v>
      </c>
      <c r="T514" s="18"/>
      <c r="U514" s="17">
        <v>2</v>
      </c>
      <c r="V514" s="17" t="s">
        <v>81</v>
      </c>
      <c r="W514" s="18">
        <v>4</v>
      </c>
      <c r="X514" s="18" t="s">
        <v>342</v>
      </c>
      <c r="Y514" s="18">
        <f>IF(W514="","",4-W514)</f>
        <v>0</v>
      </c>
      <c r="Z514" s="17" t="s">
        <v>378</v>
      </c>
      <c r="AA514" s="17">
        <v>1</v>
      </c>
      <c r="AB514" s="17" t="s">
        <v>191</v>
      </c>
      <c r="AC514" s="17" t="s">
        <v>185</v>
      </c>
      <c r="AD514" s="17" t="s">
        <v>206</v>
      </c>
      <c r="AE514" s="17" t="s">
        <v>202</v>
      </c>
      <c r="AF514" s="1">
        <f t="shared" si="56"/>
        <v>1</v>
      </c>
      <c r="AG514" s="1">
        <f t="shared" si="57"/>
        <v>0</v>
      </c>
      <c r="AH514" s="1">
        <f t="shared" si="58"/>
        <v>0</v>
      </c>
    </row>
    <row r="515" spans="19:34">
      <c r="S515" s="17">
        <v>2</v>
      </c>
      <c r="T515" s="18"/>
      <c r="U515" s="17">
        <v>1</v>
      </c>
      <c r="V515" s="17" t="s">
        <v>81</v>
      </c>
      <c r="W515" s="18">
        <v>4</v>
      </c>
      <c r="X515" s="18" t="s">
        <v>342</v>
      </c>
      <c r="Y515" s="18">
        <f t="shared" ref="Y515:Y528" si="59">IF(W515="","",4-W515)</f>
        <v>0</v>
      </c>
      <c r="Z515" s="17" t="s">
        <v>65</v>
      </c>
      <c r="AA515" s="17">
        <v>2</v>
      </c>
      <c r="AB515" s="17" t="s">
        <v>180</v>
      </c>
      <c r="AC515" s="17" t="s">
        <v>172</v>
      </c>
      <c r="AD515" s="17" t="s">
        <v>200</v>
      </c>
      <c r="AE515" s="17" t="s">
        <v>198</v>
      </c>
      <c r="AF515" s="1">
        <f t="shared" si="56"/>
        <v>1</v>
      </c>
      <c r="AG515" s="1">
        <f t="shared" si="57"/>
        <v>0</v>
      </c>
      <c r="AH515" s="1">
        <f t="shared" si="58"/>
        <v>0</v>
      </c>
    </row>
    <row r="516" spans="19:34">
      <c r="S516" s="17">
        <v>3</v>
      </c>
      <c r="T516" s="18"/>
      <c r="U516" s="17">
        <v>2</v>
      </c>
      <c r="V516" s="17" t="s">
        <v>81</v>
      </c>
      <c r="W516" s="18">
        <v>4</v>
      </c>
      <c r="X516" s="18" t="s">
        <v>342</v>
      </c>
      <c r="Y516" s="18">
        <f t="shared" si="59"/>
        <v>0</v>
      </c>
      <c r="Z516" s="17" t="s">
        <v>14</v>
      </c>
      <c r="AA516" s="17">
        <v>1</v>
      </c>
      <c r="AB516" s="17" t="s">
        <v>176</v>
      </c>
      <c r="AC516" s="17" t="s">
        <v>183</v>
      </c>
      <c r="AD516" s="17" t="s">
        <v>204</v>
      </c>
      <c r="AE516" s="17" t="s">
        <v>212</v>
      </c>
      <c r="AF516" s="1">
        <f t="shared" si="56"/>
        <v>1</v>
      </c>
      <c r="AG516" s="1">
        <f t="shared" si="57"/>
        <v>0</v>
      </c>
      <c r="AH516" s="1">
        <f t="shared" si="58"/>
        <v>0</v>
      </c>
    </row>
    <row r="517" spans="19:34">
      <c r="S517" s="17">
        <v>4</v>
      </c>
      <c r="T517" s="18"/>
      <c r="U517" s="17">
        <v>1</v>
      </c>
      <c r="V517" s="17" t="s">
        <v>81</v>
      </c>
      <c r="W517" s="18">
        <v>4</v>
      </c>
      <c r="X517" s="18" t="s">
        <v>342</v>
      </c>
      <c r="Y517" s="18">
        <f t="shared" si="59"/>
        <v>0</v>
      </c>
      <c r="Z517" s="17" t="s">
        <v>75</v>
      </c>
      <c r="AA517" s="17">
        <v>2</v>
      </c>
      <c r="AB517" s="17" t="s">
        <v>196</v>
      </c>
      <c r="AC517" s="17" t="s">
        <v>193</v>
      </c>
      <c r="AD517" s="17" t="s">
        <v>208</v>
      </c>
      <c r="AE517" s="17" t="s">
        <v>164</v>
      </c>
      <c r="AF517" s="1">
        <f t="shared" si="56"/>
        <v>1</v>
      </c>
      <c r="AG517" s="1">
        <f t="shared" si="57"/>
        <v>0</v>
      </c>
      <c r="AH517" s="1">
        <f t="shared" si="58"/>
        <v>0</v>
      </c>
    </row>
    <row r="518" spans="19:34">
      <c r="S518" s="17">
        <v>5</v>
      </c>
      <c r="T518" s="18"/>
      <c r="U518" s="17">
        <v>1</v>
      </c>
      <c r="V518" s="17" t="s">
        <v>81</v>
      </c>
      <c r="W518" s="18">
        <v>4</v>
      </c>
      <c r="X518" s="18" t="s">
        <v>342</v>
      </c>
      <c r="Y518" s="18">
        <f t="shared" si="59"/>
        <v>0</v>
      </c>
      <c r="Z518" s="17" t="s">
        <v>61</v>
      </c>
      <c r="AA518" s="17">
        <v>2</v>
      </c>
      <c r="AB518" s="17" t="s">
        <v>214</v>
      </c>
      <c r="AC518" s="17" t="s">
        <v>210</v>
      </c>
      <c r="AD518" s="17" t="s">
        <v>187</v>
      </c>
      <c r="AE518" s="17" t="s">
        <v>189</v>
      </c>
      <c r="AF518" s="1">
        <f t="shared" si="56"/>
        <v>1</v>
      </c>
      <c r="AG518" s="1">
        <f t="shared" si="57"/>
        <v>0</v>
      </c>
      <c r="AH518" s="1">
        <f t="shared" si="58"/>
        <v>0</v>
      </c>
    </row>
    <row r="519" spans="19:34">
      <c r="S519" s="17">
        <v>6</v>
      </c>
      <c r="T519" s="18"/>
      <c r="U519" s="17">
        <v>1</v>
      </c>
      <c r="V519" s="17" t="s">
        <v>81</v>
      </c>
      <c r="W519" s="18">
        <v>4</v>
      </c>
      <c r="X519" s="18" t="s">
        <v>342</v>
      </c>
      <c r="Y519" s="18">
        <f t="shared" si="59"/>
        <v>0</v>
      </c>
      <c r="Z519" s="17" t="s">
        <v>111</v>
      </c>
      <c r="AA519" s="17">
        <v>2</v>
      </c>
      <c r="AB519" s="17" t="s">
        <v>204</v>
      </c>
      <c r="AC519" s="17" t="s">
        <v>210</v>
      </c>
      <c r="AD519" s="17" t="s">
        <v>180</v>
      </c>
      <c r="AE519" s="17" t="s">
        <v>189</v>
      </c>
      <c r="AF519" s="1">
        <f t="shared" si="56"/>
        <v>1</v>
      </c>
      <c r="AG519" s="1">
        <f t="shared" si="57"/>
        <v>0</v>
      </c>
      <c r="AH519" s="1">
        <f t="shared" si="58"/>
        <v>0</v>
      </c>
    </row>
    <row r="520" spans="19:34">
      <c r="S520" s="17">
        <v>7</v>
      </c>
      <c r="T520" s="18"/>
      <c r="U520" s="17">
        <v>1</v>
      </c>
      <c r="V520" s="17" t="s">
        <v>81</v>
      </c>
      <c r="W520" s="18">
        <v>4</v>
      </c>
      <c r="X520" s="18" t="s">
        <v>342</v>
      </c>
      <c r="Y520" s="18">
        <f t="shared" si="59"/>
        <v>0</v>
      </c>
      <c r="Z520" s="17" t="s">
        <v>31</v>
      </c>
      <c r="AA520" s="17">
        <v>2</v>
      </c>
      <c r="AB520" s="17" t="s">
        <v>187</v>
      </c>
      <c r="AC520" s="17" t="s">
        <v>206</v>
      </c>
      <c r="AD520" s="17" t="s">
        <v>183</v>
      </c>
      <c r="AE520" s="17" t="s">
        <v>196</v>
      </c>
      <c r="AF520" s="1">
        <f t="shared" si="56"/>
        <v>1</v>
      </c>
      <c r="AG520" s="1">
        <f t="shared" si="57"/>
        <v>0</v>
      </c>
      <c r="AH520" s="1">
        <f t="shared" si="58"/>
        <v>0</v>
      </c>
    </row>
    <row r="521" spans="19:34">
      <c r="S521" s="17">
        <v>8</v>
      </c>
      <c r="T521" s="18"/>
      <c r="U521" s="17">
        <v>1</v>
      </c>
      <c r="V521" s="17" t="s">
        <v>81</v>
      </c>
      <c r="W521" s="18">
        <v>4</v>
      </c>
      <c r="X521" s="18" t="s">
        <v>342</v>
      </c>
      <c r="Y521" s="18">
        <f t="shared" si="59"/>
        <v>0</v>
      </c>
      <c r="Z521" s="17" t="s">
        <v>125</v>
      </c>
      <c r="AA521" s="17">
        <v>2</v>
      </c>
      <c r="AB521" s="17" t="s">
        <v>200</v>
      </c>
      <c r="AC521" s="17" t="s">
        <v>198</v>
      </c>
      <c r="AD521" s="17" t="s">
        <v>212</v>
      </c>
      <c r="AE521" s="17" t="s">
        <v>185</v>
      </c>
      <c r="AF521" s="1">
        <f t="shared" si="56"/>
        <v>1</v>
      </c>
      <c r="AG521" s="1">
        <f t="shared" si="57"/>
        <v>0</v>
      </c>
      <c r="AH521" s="1">
        <f t="shared" si="58"/>
        <v>0</v>
      </c>
    </row>
    <row r="522" spans="19:34">
      <c r="S522" s="17">
        <v>9</v>
      </c>
      <c r="T522" s="18"/>
      <c r="U522" s="17">
        <v>1</v>
      </c>
      <c r="V522" s="17" t="s">
        <v>81</v>
      </c>
      <c r="W522" s="18">
        <v>4</v>
      </c>
      <c r="X522" s="18" t="s">
        <v>342</v>
      </c>
      <c r="Y522" s="18">
        <f t="shared" si="59"/>
        <v>0</v>
      </c>
      <c r="Z522" s="17" t="s">
        <v>99</v>
      </c>
      <c r="AA522" s="17">
        <v>2</v>
      </c>
      <c r="AB522" s="17" t="s">
        <v>202</v>
      </c>
      <c r="AC522" s="17" t="s">
        <v>164</v>
      </c>
      <c r="AD522" s="17" t="s">
        <v>191</v>
      </c>
      <c r="AE522" s="17" t="s">
        <v>176</v>
      </c>
      <c r="AF522" s="1">
        <f t="shared" si="56"/>
        <v>1</v>
      </c>
      <c r="AG522" s="1">
        <f t="shared" si="57"/>
        <v>0</v>
      </c>
      <c r="AH522" s="1">
        <f t="shared" si="58"/>
        <v>0</v>
      </c>
    </row>
    <row r="523" spans="19:34">
      <c r="S523" s="17">
        <v>10</v>
      </c>
      <c r="T523" s="18"/>
      <c r="U523" s="17">
        <v>2</v>
      </c>
      <c r="V523" s="17" t="s">
        <v>81</v>
      </c>
      <c r="W523" s="18">
        <v>4</v>
      </c>
      <c r="X523" s="18" t="s">
        <v>342</v>
      </c>
      <c r="Y523" s="18">
        <f t="shared" si="59"/>
        <v>0</v>
      </c>
      <c r="Z523" s="17" t="s">
        <v>107</v>
      </c>
      <c r="AA523" s="17">
        <v>1</v>
      </c>
      <c r="AB523" s="17" t="s">
        <v>172</v>
      </c>
      <c r="AC523" s="17" t="s">
        <v>208</v>
      </c>
      <c r="AD523" s="17" t="s">
        <v>214</v>
      </c>
      <c r="AE523" s="17" t="s">
        <v>193</v>
      </c>
      <c r="AF523" s="1">
        <f t="shared" si="56"/>
        <v>1</v>
      </c>
      <c r="AG523" s="1">
        <f t="shared" si="57"/>
        <v>0</v>
      </c>
      <c r="AH523" s="1">
        <f t="shared" si="58"/>
        <v>0</v>
      </c>
    </row>
    <row r="524" spans="19:34">
      <c r="S524" s="17">
        <v>11</v>
      </c>
      <c r="T524" s="18"/>
      <c r="U524" s="17">
        <v>2</v>
      </c>
      <c r="V524" s="17" t="s">
        <v>81</v>
      </c>
      <c r="W524" s="18">
        <v>4</v>
      </c>
      <c r="X524" s="18" t="s">
        <v>342</v>
      </c>
      <c r="Y524" s="18">
        <f t="shared" si="59"/>
        <v>0</v>
      </c>
      <c r="Z524" s="17" t="s">
        <v>27</v>
      </c>
      <c r="AA524" s="17">
        <v>1</v>
      </c>
      <c r="AB524" s="17" t="s">
        <v>193</v>
      </c>
      <c r="AC524" s="17" t="s">
        <v>206</v>
      </c>
      <c r="AD524" s="17" t="s">
        <v>172</v>
      </c>
      <c r="AE524" s="17" t="s">
        <v>210</v>
      </c>
      <c r="AF524" s="1">
        <f t="shared" si="56"/>
        <v>1</v>
      </c>
      <c r="AG524" s="1">
        <f t="shared" si="57"/>
        <v>0</v>
      </c>
      <c r="AH524" s="1">
        <f t="shared" si="58"/>
        <v>0</v>
      </c>
    </row>
    <row r="525" spans="19:34">
      <c r="S525" s="17">
        <v>12</v>
      </c>
      <c r="T525" s="18"/>
      <c r="U525" s="17">
        <v>2</v>
      </c>
      <c r="V525" s="17" t="s">
        <v>81</v>
      </c>
      <c r="W525" s="18">
        <v>4</v>
      </c>
      <c r="X525" s="18" t="s">
        <v>342</v>
      </c>
      <c r="Y525" s="18">
        <f t="shared" si="59"/>
        <v>0</v>
      </c>
      <c r="Z525" s="17" t="s">
        <v>49</v>
      </c>
      <c r="AA525" s="17">
        <v>1</v>
      </c>
      <c r="AB525" s="17" t="s">
        <v>214</v>
      </c>
      <c r="AC525" s="17" t="s">
        <v>180</v>
      </c>
      <c r="AD525" s="17" t="s">
        <v>176</v>
      </c>
      <c r="AE525" s="17" t="s">
        <v>202</v>
      </c>
      <c r="AF525" s="1">
        <f t="shared" si="56"/>
        <v>1</v>
      </c>
      <c r="AG525" s="1">
        <f t="shared" si="57"/>
        <v>0</v>
      </c>
      <c r="AH525" s="1">
        <f t="shared" si="58"/>
        <v>0</v>
      </c>
    </row>
    <row r="526" spans="19:34">
      <c r="S526" s="17">
        <v>13</v>
      </c>
      <c r="T526" s="18"/>
      <c r="U526" s="17">
        <v>1</v>
      </c>
      <c r="V526" s="17" t="s">
        <v>81</v>
      </c>
      <c r="W526" s="18">
        <v>3</v>
      </c>
      <c r="X526" s="18" t="s">
        <v>342</v>
      </c>
      <c r="Y526" s="18">
        <f t="shared" si="59"/>
        <v>1</v>
      </c>
      <c r="Z526" s="17" t="s">
        <v>83</v>
      </c>
      <c r="AA526" s="17">
        <v>2</v>
      </c>
      <c r="AB526" s="17" t="s">
        <v>183</v>
      </c>
      <c r="AC526" s="17" t="s">
        <v>208</v>
      </c>
      <c r="AD526" s="17" t="s">
        <v>189</v>
      </c>
      <c r="AE526" s="17" t="s">
        <v>196</v>
      </c>
      <c r="AF526" s="1">
        <f t="shared" si="56"/>
        <v>1</v>
      </c>
      <c r="AG526" s="1">
        <f t="shared" si="57"/>
        <v>0</v>
      </c>
      <c r="AH526" s="1">
        <f t="shared" si="58"/>
        <v>0</v>
      </c>
    </row>
    <row r="527" spans="19:34">
      <c r="S527" s="17">
        <v>14</v>
      </c>
      <c r="T527" s="18"/>
      <c r="U527" s="17">
        <v>2</v>
      </c>
      <c r="V527" s="17" t="s">
        <v>81</v>
      </c>
      <c r="W527" s="18">
        <v>2</v>
      </c>
      <c r="X527" s="18" t="s">
        <v>342</v>
      </c>
      <c r="Y527" s="18">
        <f t="shared" si="59"/>
        <v>2</v>
      </c>
      <c r="Z527" s="17" t="s">
        <v>39</v>
      </c>
      <c r="AA527" s="17">
        <v>1</v>
      </c>
      <c r="AB527" s="17" t="s">
        <v>204</v>
      </c>
      <c r="AC527" s="17" t="s">
        <v>185</v>
      </c>
      <c r="AD527" s="17" t="s">
        <v>164</v>
      </c>
      <c r="AE527" s="17" t="s">
        <v>187</v>
      </c>
      <c r="AF527" s="1">
        <f t="shared" si="56"/>
        <v>0</v>
      </c>
      <c r="AG527" s="1">
        <f t="shared" si="57"/>
        <v>1</v>
      </c>
      <c r="AH527" s="1">
        <f t="shared" si="58"/>
        <v>0</v>
      </c>
    </row>
    <row r="528" spans="19:34">
      <c r="S528" s="17">
        <v>15</v>
      </c>
      <c r="T528" s="18"/>
      <c r="U528" s="17">
        <v>1</v>
      </c>
      <c r="V528" s="17" t="s">
        <v>81</v>
      </c>
      <c r="W528" s="18">
        <v>1</v>
      </c>
      <c r="X528" s="18" t="s">
        <v>342</v>
      </c>
      <c r="Y528" s="18">
        <f t="shared" si="59"/>
        <v>3</v>
      </c>
      <c r="Z528" s="17" t="s">
        <v>123</v>
      </c>
      <c r="AA528" s="17">
        <v>2</v>
      </c>
      <c r="AB528" s="17" t="s">
        <v>198</v>
      </c>
      <c r="AC528" s="17" t="s">
        <v>212</v>
      </c>
      <c r="AD528" s="17" t="s">
        <v>200</v>
      </c>
      <c r="AE528" s="17" t="s">
        <v>191</v>
      </c>
      <c r="AF528" s="1">
        <f t="shared" si="56"/>
        <v>0</v>
      </c>
      <c r="AG528" s="1">
        <f t="shared" si="57"/>
        <v>0</v>
      </c>
      <c r="AH528" s="1">
        <f t="shared" si="58"/>
        <v>1</v>
      </c>
    </row>
    <row r="529" spans="19:34">
      <c r="S529" s="58" t="s">
        <v>339</v>
      </c>
      <c r="T529" s="58" t="s">
        <v>340</v>
      </c>
      <c r="U529" s="58" t="s">
        <v>341</v>
      </c>
      <c r="V529" s="58" t="s">
        <v>1</v>
      </c>
      <c r="W529" s="66" t="s">
        <v>220</v>
      </c>
      <c r="X529" s="66"/>
      <c r="Y529" s="66"/>
      <c r="Z529" s="58" t="s">
        <v>1</v>
      </c>
      <c r="AA529" s="58" t="s">
        <v>341</v>
      </c>
      <c r="AB529" s="58" t="s">
        <v>225</v>
      </c>
      <c r="AC529" s="58" t="s">
        <v>228</v>
      </c>
      <c r="AD529" s="58" t="s">
        <v>230</v>
      </c>
      <c r="AE529" s="58" t="s">
        <v>232</v>
      </c>
      <c r="AF529" s="1">
        <f t="shared" si="56"/>
        <v>1</v>
      </c>
      <c r="AG529" s="1">
        <f t="shared" si="57"/>
        <v>0</v>
      </c>
      <c r="AH529" s="1">
        <f t="shared" si="58"/>
        <v>0</v>
      </c>
    </row>
    <row r="530" spans="19:34">
      <c r="S530" s="17">
        <v>1</v>
      </c>
      <c r="T530" s="18"/>
      <c r="U530" s="17">
        <v>1</v>
      </c>
      <c r="V530" s="17" t="s">
        <v>123</v>
      </c>
      <c r="W530" s="18">
        <v>4</v>
      </c>
      <c r="X530" s="18" t="s">
        <v>342</v>
      </c>
      <c r="Y530" s="18">
        <f t="shared" ref="Y530:Y544" si="60">IF(W530="","",4-W530)</f>
        <v>0</v>
      </c>
      <c r="Z530" s="17" t="s">
        <v>65</v>
      </c>
      <c r="AA530" s="17">
        <v>2</v>
      </c>
      <c r="AB530" s="17" t="s">
        <v>191</v>
      </c>
      <c r="AC530" s="17" t="s">
        <v>185</v>
      </c>
      <c r="AD530" s="17" t="s">
        <v>206</v>
      </c>
      <c r="AE530" s="17" t="s">
        <v>202</v>
      </c>
      <c r="AF530" s="1">
        <f t="shared" si="56"/>
        <v>1</v>
      </c>
      <c r="AG530" s="1">
        <f t="shared" si="57"/>
        <v>0</v>
      </c>
      <c r="AH530" s="1">
        <f t="shared" si="58"/>
        <v>0</v>
      </c>
    </row>
    <row r="531" spans="19:34">
      <c r="S531" s="17">
        <v>2</v>
      </c>
      <c r="T531" s="18"/>
      <c r="U531" s="17">
        <v>2</v>
      </c>
      <c r="V531" s="17" t="s">
        <v>123</v>
      </c>
      <c r="W531" s="18">
        <v>4</v>
      </c>
      <c r="X531" s="18" t="s">
        <v>342</v>
      </c>
      <c r="Y531" s="18">
        <f t="shared" si="60"/>
        <v>0</v>
      </c>
      <c r="Z531" s="17" t="s">
        <v>378</v>
      </c>
      <c r="AA531" s="17">
        <v>1</v>
      </c>
      <c r="AB531" s="17" t="s">
        <v>180</v>
      </c>
      <c r="AC531" s="17" t="s">
        <v>172</v>
      </c>
      <c r="AD531" s="17" t="s">
        <v>200</v>
      </c>
      <c r="AE531" s="17" t="s">
        <v>198</v>
      </c>
      <c r="AF531" s="1">
        <f t="shared" si="56"/>
        <v>1</v>
      </c>
      <c r="AG531" s="1">
        <f t="shared" si="57"/>
        <v>0</v>
      </c>
      <c r="AH531" s="1">
        <f t="shared" si="58"/>
        <v>0</v>
      </c>
    </row>
    <row r="532" spans="19:34">
      <c r="S532" s="17">
        <v>3</v>
      </c>
      <c r="T532" s="18"/>
      <c r="U532" s="17">
        <v>2</v>
      </c>
      <c r="V532" s="17" t="s">
        <v>123</v>
      </c>
      <c r="W532" s="18">
        <v>4</v>
      </c>
      <c r="X532" s="18" t="s">
        <v>342</v>
      </c>
      <c r="Y532" s="18">
        <f t="shared" si="60"/>
        <v>0</v>
      </c>
      <c r="Z532" s="17" t="s">
        <v>75</v>
      </c>
      <c r="AA532" s="17">
        <v>1</v>
      </c>
      <c r="AB532" s="17" t="s">
        <v>176</v>
      </c>
      <c r="AC532" s="17" t="s">
        <v>183</v>
      </c>
      <c r="AD532" s="17" t="s">
        <v>204</v>
      </c>
      <c r="AE532" s="17" t="s">
        <v>212</v>
      </c>
      <c r="AF532" s="1">
        <f t="shared" si="56"/>
        <v>1</v>
      </c>
      <c r="AG532" s="1">
        <f t="shared" si="57"/>
        <v>0</v>
      </c>
      <c r="AH532" s="1">
        <f t="shared" si="58"/>
        <v>0</v>
      </c>
    </row>
    <row r="533" spans="19:34">
      <c r="S533" s="17">
        <v>4</v>
      </c>
      <c r="T533" s="18"/>
      <c r="U533" s="17">
        <v>2</v>
      </c>
      <c r="V533" s="17" t="s">
        <v>123</v>
      </c>
      <c r="W533" s="18">
        <v>4</v>
      </c>
      <c r="X533" s="18" t="s">
        <v>342</v>
      </c>
      <c r="Y533" s="18">
        <f t="shared" si="60"/>
        <v>0</v>
      </c>
      <c r="Z533" s="17" t="s">
        <v>14</v>
      </c>
      <c r="AA533" s="17">
        <v>1</v>
      </c>
      <c r="AB533" s="17" t="s">
        <v>196</v>
      </c>
      <c r="AC533" s="17" t="s">
        <v>193</v>
      </c>
      <c r="AD533" s="17" t="s">
        <v>208</v>
      </c>
      <c r="AE533" s="17" t="s">
        <v>164</v>
      </c>
      <c r="AF533" s="1">
        <f t="shared" si="56"/>
        <v>1</v>
      </c>
      <c r="AG533" s="1">
        <f t="shared" si="57"/>
        <v>0</v>
      </c>
      <c r="AH533" s="1">
        <f t="shared" si="58"/>
        <v>0</v>
      </c>
    </row>
    <row r="534" spans="19:34">
      <c r="S534" s="17">
        <v>5</v>
      </c>
      <c r="T534" s="18"/>
      <c r="U534" s="17">
        <v>1</v>
      </c>
      <c r="V534" s="17" t="s">
        <v>123</v>
      </c>
      <c r="W534" s="18">
        <v>4</v>
      </c>
      <c r="X534" s="18" t="s">
        <v>342</v>
      </c>
      <c r="Y534" s="18">
        <f t="shared" si="60"/>
        <v>0</v>
      </c>
      <c r="Z534" s="17" t="s">
        <v>111</v>
      </c>
      <c r="AA534" s="17">
        <v>2</v>
      </c>
      <c r="AB534" s="17" t="s">
        <v>214</v>
      </c>
      <c r="AC534" s="17" t="s">
        <v>210</v>
      </c>
      <c r="AD534" s="17" t="s">
        <v>187</v>
      </c>
      <c r="AE534" s="17" t="s">
        <v>189</v>
      </c>
      <c r="AF534" s="1">
        <f t="shared" si="56"/>
        <v>1</v>
      </c>
      <c r="AG534" s="1">
        <f t="shared" si="57"/>
        <v>0</v>
      </c>
      <c r="AH534" s="1">
        <f t="shared" si="58"/>
        <v>0</v>
      </c>
    </row>
    <row r="535" spans="19:34">
      <c r="S535" s="17">
        <v>6</v>
      </c>
      <c r="T535" s="18"/>
      <c r="U535" s="17">
        <v>2</v>
      </c>
      <c r="V535" s="17" t="s">
        <v>123</v>
      </c>
      <c r="W535" s="18">
        <v>4</v>
      </c>
      <c r="X535" s="18" t="s">
        <v>342</v>
      </c>
      <c r="Y535" s="18">
        <f t="shared" si="60"/>
        <v>0</v>
      </c>
      <c r="Z535" s="17" t="s">
        <v>61</v>
      </c>
      <c r="AA535" s="17">
        <v>1</v>
      </c>
      <c r="AB535" s="17" t="s">
        <v>204</v>
      </c>
      <c r="AC535" s="17" t="s">
        <v>210</v>
      </c>
      <c r="AD535" s="17" t="s">
        <v>180</v>
      </c>
      <c r="AE535" s="17" t="s">
        <v>189</v>
      </c>
      <c r="AF535" s="1">
        <f t="shared" si="56"/>
        <v>1</v>
      </c>
      <c r="AG535" s="1">
        <f t="shared" si="57"/>
        <v>0</v>
      </c>
      <c r="AH535" s="1">
        <f t="shared" si="58"/>
        <v>0</v>
      </c>
    </row>
    <row r="536" spans="19:34">
      <c r="S536" s="17">
        <v>7</v>
      </c>
      <c r="T536" s="18"/>
      <c r="U536" s="17">
        <v>1</v>
      </c>
      <c r="V536" s="17" t="s">
        <v>123</v>
      </c>
      <c r="W536" s="18">
        <v>4</v>
      </c>
      <c r="X536" s="18" t="s">
        <v>342</v>
      </c>
      <c r="Y536" s="18">
        <f t="shared" si="60"/>
        <v>0</v>
      </c>
      <c r="Z536" s="17" t="s">
        <v>125</v>
      </c>
      <c r="AA536" s="17">
        <v>2</v>
      </c>
      <c r="AB536" s="17" t="s">
        <v>187</v>
      </c>
      <c r="AC536" s="17" t="s">
        <v>206</v>
      </c>
      <c r="AD536" s="17" t="s">
        <v>183</v>
      </c>
      <c r="AE536" s="17" t="s">
        <v>196</v>
      </c>
      <c r="AF536" s="1">
        <f t="shared" si="56"/>
        <v>1</v>
      </c>
      <c r="AG536" s="1">
        <f t="shared" si="57"/>
        <v>0</v>
      </c>
      <c r="AH536" s="1">
        <f t="shared" si="58"/>
        <v>0</v>
      </c>
    </row>
    <row r="537" spans="19:34">
      <c r="S537" s="17">
        <v>8</v>
      </c>
      <c r="T537" s="18"/>
      <c r="U537" s="17">
        <v>1</v>
      </c>
      <c r="V537" s="17" t="s">
        <v>123</v>
      </c>
      <c r="W537" s="18">
        <v>4</v>
      </c>
      <c r="X537" s="18" t="s">
        <v>342</v>
      </c>
      <c r="Y537" s="18">
        <f t="shared" si="60"/>
        <v>0</v>
      </c>
      <c r="Z537" s="17" t="s">
        <v>31</v>
      </c>
      <c r="AA537" s="17">
        <v>2</v>
      </c>
      <c r="AB537" s="17" t="s">
        <v>200</v>
      </c>
      <c r="AC537" s="17" t="s">
        <v>198</v>
      </c>
      <c r="AD537" s="17" t="s">
        <v>212</v>
      </c>
      <c r="AE537" s="17" t="s">
        <v>185</v>
      </c>
      <c r="AF537" s="1">
        <f t="shared" si="56"/>
        <v>1</v>
      </c>
      <c r="AG537" s="1">
        <f t="shared" si="57"/>
        <v>0</v>
      </c>
      <c r="AH537" s="1">
        <f t="shared" si="58"/>
        <v>0</v>
      </c>
    </row>
    <row r="538" spans="19:34">
      <c r="S538" s="17">
        <v>9</v>
      </c>
      <c r="T538" s="18"/>
      <c r="U538" s="17">
        <v>2</v>
      </c>
      <c r="V538" s="17" t="s">
        <v>123</v>
      </c>
      <c r="W538" s="18">
        <v>3</v>
      </c>
      <c r="X538" s="18" t="s">
        <v>342</v>
      </c>
      <c r="Y538" s="18">
        <f t="shared" si="60"/>
        <v>1</v>
      </c>
      <c r="Z538" s="17" t="s">
        <v>107</v>
      </c>
      <c r="AA538" s="17">
        <v>1</v>
      </c>
      <c r="AB538" s="17" t="s">
        <v>202</v>
      </c>
      <c r="AC538" s="17" t="s">
        <v>164</v>
      </c>
      <c r="AD538" s="17" t="s">
        <v>191</v>
      </c>
      <c r="AE538" s="17" t="s">
        <v>176</v>
      </c>
      <c r="AF538" s="1">
        <f t="shared" si="56"/>
        <v>1</v>
      </c>
      <c r="AG538" s="1">
        <f t="shared" si="57"/>
        <v>0</v>
      </c>
      <c r="AH538" s="1">
        <f t="shared" si="58"/>
        <v>0</v>
      </c>
    </row>
    <row r="539" spans="19:34">
      <c r="S539" s="17">
        <v>10</v>
      </c>
      <c r="T539" s="18"/>
      <c r="U539" s="17">
        <v>2</v>
      </c>
      <c r="V539" s="17" t="s">
        <v>123</v>
      </c>
      <c r="W539" s="18">
        <v>4</v>
      </c>
      <c r="X539" s="18" t="s">
        <v>342</v>
      </c>
      <c r="Y539" s="18">
        <f t="shared" si="60"/>
        <v>0</v>
      </c>
      <c r="Z539" s="17" t="s">
        <v>99</v>
      </c>
      <c r="AA539" s="17">
        <v>1</v>
      </c>
      <c r="AB539" s="17" t="s">
        <v>172</v>
      </c>
      <c r="AC539" s="17" t="s">
        <v>208</v>
      </c>
      <c r="AD539" s="17" t="s">
        <v>214</v>
      </c>
      <c r="AE539" s="17" t="s">
        <v>193</v>
      </c>
      <c r="AF539" s="1">
        <f t="shared" si="56"/>
        <v>1</v>
      </c>
      <c r="AG539" s="1">
        <f t="shared" si="57"/>
        <v>0</v>
      </c>
      <c r="AH539" s="1">
        <f t="shared" si="58"/>
        <v>0</v>
      </c>
    </row>
    <row r="540" spans="19:34">
      <c r="S540" s="17">
        <v>11</v>
      </c>
      <c r="T540" s="18"/>
      <c r="U540" s="17">
        <v>1</v>
      </c>
      <c r="V540" s="17" t="s">
        <v>123</v>
      </c>
      <c r="W540" s="18">
        <v>3</v>
      </c>
      <c r="X540" s="18" t="s">
        <v>342</v>
      </c>
      <c r="Y540" s="18">
        <f t="shared" si="60"/>
        <v>1</v>
      </c>
      <c r="Z540" s="17" t="s">
        <v>49</v>
      </c>
      <c r="AA540" s="17">
        <v>2</v>
      </c>
      <c r="AB540" s="17" t="s">
        <v>193</v>
      </c>
      <c r="AC540" s="17" t="s">
        <v>206</v>
      </c>
      <c r="AD540" s="17" t="s">
        <v>172</v>
      </c>
      <c r="AE540" s="17" t="s">
        <v>210</v>
      </c>
      <c r="AF540" s="1">
        <f t="shared" si="56"/>
        <v>1</v>
      </c>
      <c r="AG540" s="1">
        <f t="shared" si="57"/>
        <v>0</v>
      </c>
      <c r="AH540" s="1">
        <f t="shared" si="58"/>
        <v>0</v>
      </c>
    </row>
    <row r="541" spans="19:34">
      <c r="S541" s="17">
        <v>12</v>
      </c>
      <c r="T541" s="18"/>
      <c r="U541" s="17">
        <v>2</v>
      </c>
      <c r="V541" s="17" t="s">
        <v>123</v>
      </c>
      <c r="W541" s="18">
        <v>4</v>
      </c>
      <c r="X541" s="18" t="s">
        <v>342</v>
      </c>
      <c r="Y541" s="18">
        <f t="shared" si="60"/>
        <v>0</v>
      </c>
      <c r="Z541" s="17" t="s">
        <v>27</v>
      </c>
      <c r="AA541" s="17">
        <v>1</v>
      </c>
      <c r="AB541" s="17" t="s">
        <v>214</v>
      </c>
      <c r="AC541" s="17" t="s">
        <v>180</v>
      </c>
      <c r="AD541" s="17" t="s">
        <v>176</v>
      </c>
      <c r="AE541" s="17" t="s">
        <v>202</v>
      </c>
      <c r="AF541" s="1">
        <f t="shared" si="56"/>
        <v>1</v>
      </c>
      <c r="AG541" s="1">
        <f t="shared" si="57"/>
        <v>0</v>
      </c>
      <c r="AH541" s="1">
        <f t="shared" si="58"/>
        <v>0</v>
      </c>
    </row>
    <row r="542" spans="19:34">
      <c r="S542" s="17">
        <v>13</v>
      </c>
      <c r="T542" s="18"/>
      <c r="U542" s="17">
        <v>1</v>
      </c>
      <c r="V542" s="17" t="s">
        <v>123</v>
      </c>
      <c r="W542" s="18">
        <v>3</v>
      </c>
      <c r="X542" s="18" t="s">
        <v>342</v>
      </c>
      <c r="Y542" s="18">
        <f t="shared" si="60"/>
        <v>1</v>
      </c>
      <c r="Z542" s="17" t="s">
        <v>39</v>
      </c>
      <c r="AA542" s="17">
        <v>2</v>
      </c>
      <c r="AB542" s="17" t="s">
        <v>183</v>
      </c>
      <c r="AC542" s="17" t="s">
        <v>208</v>
      </c>
      <c r="AD542" s="17" t="s">
        <v>189</v>
      </c>
      <c r="AE542" s="17" t="s">
        <v>196</v>
      </c>
      <c r="AF542" s="1">
        <f t="shared" si="56"/>
        <v>1</v>
      </c>
      <c r="AG542" s="1">
        <f t="shared" si="57"/>
        <v>0</v>
      </c>
      <c r="AH542" s="1">
        <f t="shared" si="58"/>
        <v>0</v>
      </c>
    </row>
    <row r="543" spans="19:34">
      <c r="S543" s="17">
        <v>14</v>
      </c>
      <c r="T543" s="18"/>
      <c r="U543" s="17">
        <v>1</v>
      </c>
      <c r="V543" s="17" t="s">
        <v>123</v>
      </c>
      <c r="W543" s="18">
        <v>2</v>
      </c>
      <c r="X543" s="18" t="s">
        <v>342</v>
      </c>
      <c r="Y543" s="18">
        <f t="shared" si="60"/>
        <v>2</v>
      </c>
      <c r="Z543" s="17" t="s">
        <v>83</v>
      </c>
      <c r="AA543" s="17">
        <v>2</v>
      </c>
      <c r="AB543" s="17" t="s">
        <v>204</v>
      </c>
      <c r="AC543" s="17" t="s">
        <v>185</v>
      </c>
      <c r="AD543" s="17" t="s">
        <v>164</v>
      </c>
      <c r="AE543" s="17" t="s">
        <v>187</v>
      </c>
      <c r="AF543" s="1">
        <f t="shared" si="56"/>
        <v>0</v>
      </c>
      <c r="AG543" s="1">
        <f t="shared" si="57"/>
        <v>1</v>
      </c>
      <c r="AH543" s="1">
        <f t="shared" si="58"/>
        <v>0</v>
      </c>
    </row>
    <row r="544" spans="19:34">
      <c r="S544" s="17">
        <v>15</v>
      </c>
      <c r="T544" s="18"/>
      <c r="U544" s="17">
        <v>2</v>
      </c>
      <c r="V544" s="17" t="s">
        <v>123</v>
      </c>
      <c r="W544" s="18">
        <v>3</v>
      </c>
      <c r="X544" s="18" t="s">
        <v>342</v>
      </c>
      <c r="Y544" s="18">
        <f t="shared" si="60"/>
        <v>1</v>
      </c>
      <c r="Z544" s="17" t="s">
        <v>81</v>
      </c>
      <c r="AA544" s="17">
        <v>1</v>
      </c>
      <c r="AB544" s="17" t="s">
        <v>198</v>
      </c>
      <c r="AC544" s="17" t="s">
        <v>212</v>
      </c>
      <c r="AD544" s="17" t="s">
        <v>200</v>
      </c>
      <c r="AE544" s="17" t="s">
        <v>191</v>
      </c>
      <c r="AF544" s="1">
        <f t="shared" si="56"/>
        <v>1</v>
      </c>
      <c r="AG544" s="1">
        <f t="shared" si="57"/>
        <v>0</v>
      </c>
      <c r="AH544" s="1">
        <f t="shared" si="58"/>
        <v>0</v>
      </c>
    </row>
    <row r="545" spans="19:34">
      <c r="S545" s="58" t="s">
        <v>339</v>
      </c>
      <c r="T545" s="58" t="s">
        <v>340</v>
      </c>
      <c r="U545" s="58" t="s">
        <v>341</v>
      </c>
      <c r="V545" s="58" t="s">
        <v>1</v>
      </c>
      <c r="W545" s="66" t="s">
        <v>220</v>
      </c>
      <c r="X545" s="66"/>
      <c r="Y545" s="66"/>
      <c r="Z545" s="58" t="s">
        <v>1</v>
      </c>
      <c r="AA545" s="58" t="s">
        <v>341</v>
      </c>
      <c r="AB545" s="58" t="s">
        <v>225</v>
      </c>
      <c r="AC545" s="58" t="s">
        <v>228</v>
      </c>
      <c r="AD545" s="58" t="s">
        <v>230</v>
      </c>
      <c r="AE545" s="58" t="s">
        <v>232</v>
      </c>
      <c r="AF545" s="1">
        <f t="shared" si="56"/>
        <v>1</v>
      </c>
      <c r="AG545" s="1">
        <f t="shared" si="57"/>
        <v>0</v>
      </c>
      <c r="AH545" s="1">
        <f t="shared" si="58"/>
        <v>0</v>
      </c>
    </row>
    <row r="546" spans="19:34">
      <c r="S546" s="17">
        <v>1</v>
      </c>
      <c r="T546" s="18"/>
      <c r="U546" s="17">
        <v>2</v>
      </c>
      <c r="V546" s="17" t="s">
        <v>39</v>
      </c>
      <c r="W546" s="18">
        <v>4</v>
      </c>
      <c r="X546" s="18" t="s">
        <v>342</v>
      </c>
      <c r="Y546" s="18">
        <f t="shared" ref="Y546:Y560" si="61">IF(W546="","",4-W546)</f>
        <v>0</v>
      </c>
      <c r="Z546" s="17" t="s">
        <v>14</v>
      </c>
      <c r="AA546" s="17">
        <v>1</v>
      </c>
      <c r="AB546" s="17" t="s">
        <v>191</v>
      </c>
      <c r="AC546" s="17" t="s">
        <v>185</v>
      </c>
      <c r="AD546" s="17" t="s">
        <v>206</v>
      </c>
      <c r="AE546" s="17" t="s">
        <v>202</v>
      </c>
      <c r="AF546" s="1">
        <f t="shared" si="56"/>
        <v>1</v>
      </c>
      <c r="AG546" s="1">
        <f t="shared" si="57"/>
        <v>0</v>
      </c>
      <c r="AH546" s="1">
        <f t="shared" si="58"/>
        <v>0</v>
      </c>
    </row>
    <row r="547" spans="19:34">
      <c r="S547" s="17">
        <v>2</v>
      </c>
      <c r="T547" s="18"/>
      <c r="U547" s="17">
        <v>1</v>
      </c>
      <c r="V547" s="17" t="s">
        <v>39</v>
      </c>
      <c r="W547" s="18">
        <v>4</v>
      </c>
      <c r="X547" s="18" t="s">
        <v>342</v>
      </c>
      <c r="Y547" s="18">
        <f t="shared" si="61"/>
        <v>0</v>
      </c>
      <c r="Z547" s="17" t="s">
        <v>75</v>
      </c>
      <c r="AA547" s="17">
        <v>2</v>
      </c>
      <c r="AB547" s="17" t="s">
        <v>180</v>
      </c>
      <c r="AC547" s="17" t="s">
        <v>172</v>
      </c>
      <c r="AD547" s="17" t="s">
        <v>200</v>
      </c>
      <c r="AE547" s="17" t="s">
        <v>198</v>
      </c>
      <c r="AF547" s="1">
        <f t="shared" si="56"/>
        <v>1</v>
      </c>
      <c r="AG547" s="1">
        <f t="shared" si="57"/>
        <v>0</v>
      </c>
      <c r="AH547" s="1">
        <f t="shared" si="58"/>
        <v>0</v>
      </c>
    </row>
    <row r="548" spans="19:34">
      <c r="S548" s="17">
        <v>3</v>
      </c>
      <c r="T548" s="18"/>
      <c r="U548" s="17">
        <v>1</v>
      </c>
      <c r="V548" s="17" t="s">
        <v>39</v>
      </c>
      <c r="W548" s="18">
        <v>4</v>
      </c>
      <c r="X548" s="18" t="s">
        <v>342</v>
      </c>
      <c r="Y548" s="18">
        <f t="shared" si="61"/>
        <v>0</v>
      </c>
      <c r="Z548" s="17" t="s">
        <v>378</v>
      </c>
      <c r="AA548" s="17">
        <v>2</v>
      </c>
      <c r="AB548" s="17" t="s">
        <v>176</v>
      </c>
      <c r="AC548" s="17" t="s">
        <v>183</v>
      </c>
      <c r="AD548" s="17" t="s">
        <v>204</v>
      </c>
      <c r="AE548" s="17" t="s">
        <v>212</v>
      </c>
      <c r="AF548" s="1">
        <f t="shared" si="56"/>
        <v>1</v>
      </c>
      <c r="AG548" s="1">
        <f t="shared" si="57"/>
        <v>0</v>
      </c>
      <c r="AH548" s="1">
        <f t="shared" si="58"/>
        <v>0</v>
      </c>
    </row>
    <row r="549" spans="19:34">
      <c r="S549" s="17">
        <v>4</v>
      </c>
      <c r="T549" s="18"/>
      <c r="U549" s="17">
        <v>1</v>
      </c>
      <c r="V549" s="17" t="s">
        <v>39</v>
      </c>
      <c r="W549" s="18">
        <v>4</v>
      </c>
      <c r="X549" s="18" t="s">
        <v>342</v>
      </c>
      <c r="Y549" s="18">
        <f t="shared" si="61"/>
        <v>0</v>
      </c>
      <c r="Z549" s="17" t="s">
        <v>65</v>
      </c>
      <c r="AA549" s="17">
        <v>2</v>
      </c>
      <c r="AB549" s="17" t="s">
        <v>196</v>
      </c>
      <c r="AC549" s="17" t="s">
        <v>193</v>
      </c>
      <c r="AD549" s="17" t="s">
        <v>208</v>
      </c>
      <c r="AE549" s="17" t="s">
        <v>164</v>
      </c>
      <c r="AF549" s="1">
        <f t="shared" si="56"/>
        <v>1</v>
      </c>
      <c r="AG549" s="1">
        <f t="shared" si="57"/>
        <v>0</v>
      </c>
      <c r="AH549" s="1">
        <f t="shared" si="58"/>
        <v>0</v>
      </c>
    </row>
    <row r="550" spans="19:34">
      <c r="S550" s="17">
        <v>5</v>
      </c>
      <c r="T550" s="18"/>
      <c r="U550" s="17">
        <v>1</v>
      </c>
      <c r="V550" s="17" t="s">
        <v>39</v>
      </c>
      <c r="W550" s="18">
        <v>4</v>
      </c>
      <c r="X550" s="18" t="s">
        <v>342</v>
      </c>
      <c r="Y550" s="18">
        <f t="shared" si="61"/>
        <v>0</v>
      </c>
      <c r="Z550" s="17" t="s">
        <v>31</v>
      </c>
      <c r="AA550" s="17">
        <v>2</v>
      </c>
      <c r="AB550" s="17" t="s">
        <v>214</v>
      </c>
      <c r="AC550" s="17" t="s">
        <v>210</v>
      </c>
      <c r="AD550" s="17" t="s">
        <v>187</v>
      </c>
      <c r="AE550" s="17" t="s">
        <v>189</v>
      </c>
      <c r="AF550" s="1">
        <f t="shared" si="56"/>
        <v>1</v>
      </c>
      <c r="AG550" s="1">
        <f t="shared" si="57"/>
        <v>0</v>
      </c>
      <c r="AH550" s="1">
        <f t="shared" si="58"/>
        <v>0</v>
      </c>
    </row>
    <row r="551" spans="19:34">
      <c r="S551" s="17">
        <v>6</v>
      </c>
      <c r="T551" s="18"/>
      <c r="U551" s="17">
        <v>2</v>
      </c>
      <c r="V551" s="17" t="s">
        <v>39</v>
      </c>
      <c r="W551" s="18">
        <v>4</v>
      </c>
      <c r="X551" s="18" t="s">
        <v>342</v>
      </c>
      <c r="Y551" s="18">
        <f t="shared" si="61"/>
        <v>0</v>
      </c>
      <c r="Z551" s="17" t="s">
        <v>125</v>
      </c>
      <c r="AA551" s="17">
        <v>1</v>
      </c>
      <c r="AB551" s="17" t="s">
        <v>204</v>
      </c>
      <c r="AC551" s="17" t="s">
        <v>210</v>
      </c>
      <c r="AD551" s="17" t="s">
        <v>180</v>
      </c>
      <c r="AE551" s="17" t="s">
        <v>189</v>
      </c>
      <c r="AF551" s="1">
        <f t="shared" si="56"/>
        <v>1</v>
      </c>
      <c r="AG551" s="1">
        <f t="shared" si="57"/>
        <v>0</v>
      </c>
      <c r="AH551" s="1">
        <f t="shared" si="58"/>
        <v>0</v>
      </c>
    </row>
    <row r="552" spans="19:34">
      <c r="S552" s="17">
        <v>7</v>
      </c>
      <c r="T552" s="18"/>
      <c r="U552" s="17">
        <v>2</v>
      </c>
      <c r="V552" s="17" t="s">
        <v>39</v>
      </c>
      <c r="W552" s="18">
        <v>4</v>
      </c>
      <c r="X552" s="18" t="s">
        <v>342</v>
      </c>
      <c r="Y552" s="18">
        <f t="shared" si="61"/>
        <v>0</v>
      </c>
      <c r="Z552" s="17" t="s">
        <v>61</v>
      </c>
      <c r="AA552" s="17">
        <v>1</v>
      </c>
      <c r="AB552" s="17" t="s">
        <v>187</v>
      </c>
      <c r="AC552" s="17" t="s">
        <v>206</v>
      </c>
      <c r="AD552" s="17" t="s">
        <v>183</v>
      </c>
      <c r="AE552" s="17" t="s">
        <v>196</v>
      </c>
      <c r="AF552" s="1">
        <f t="shared" si="56"/>
        <v>1</v>
      </c>
      <c r="AG552" s="1">
        <f t="shared" si="57"/>
        <v>0</v>
      </c>
      <c r="AH552" s="1">
        <f t="shared" si="58"/>
        <v>0</v>
      </c>
    </row>
    <row r="553" spans="19:34">
      <c r="S553" s="17">
        <v>8</v>
      </c>
      <c r="T553" s="18"/>
      <c r="U553" s="17">
        <v>2</v>
      </c>
      <c r="V553" s="17" t="s">
        <v>39</v>
      </c>
      <c r="W553" s="18">
        <v>4</v>
      </c>
      <c r="X553" s="18" t="s">
        <v>342</v>
      </c>
      <c r="Y553" s="18">
        <f t="shared" si="61"/>
        <v>0</v>
      </c>
      <c r="Z553" s="17" t="s">
        <v>111</v>
      </c>
      <c r="AA553" s="17">
        <v>1</v>
      </c>
      <c r="AB553" s="17" t="s">
        <v>200</v>
      </c>
      <c r="AC553" s="17" t="s">
        <v>198</v>
      </c>
      <c r="AD553" s="17" t="s">
        <v>212</v>
      </c>
      <c r="AE553" s="17" t="s">
        <v>185</v>
      </c>
      <c r="AF553" s="1">
        <f t="shared" si="56"/>
        <v>1</v>
      </c>
      <c r="AG553" s="1">
        <f t="shared" si="57"/>
        <v>0</v>
      </c>
      <c r="AH553" s="1">
        <f t="shared" si="58"/>
        <v>0</v>
      </c>
    </row>
    <row r="554" spans="19:34">
      <c r="S554" s="17">
        <v>9</v>
      </c>
      <c r="T554" s="18"/>
      <c r="U554" s="17">
        <v>2</v>
      </c>
      <c r="V554" s="17" t="s">
        <v>39</v>
      </c>
      <c r="W554" s="18">
        <v>2</v>
      </c>
      <c r="X554" s="18" t="s">
        <v>342</v>
      </c>
      <c r="Y554" s="18">
        <f t="shared" si="61"/>
        <v>2</v>
      </c>
      <c r="Z554" s="17" t="s">
        <v>27</v>
      </c>
      <c r="AA554" s="17">
        <v>1</v>
      </c>
      <c r="AB554" s="17" t="s">
        <v>202</v>
      </c>
      <c r="AC554" s="17" t="s">
        <v>164</v>
      </c>
      <c r="AD554" s="17" t="s">
        <v>191</v>
      </c>
      <c r="AE554" s="17" t="s">
        <v>176</v>
      </c>
      <c r="AF554" s="1">
        <f t="shared" si="56"/>
        <v>0</v>
      </c>
      <c r="AG554" s="1">
        <f t="shared" si="57"/>
        <v>1</v>
      </c>
      <c r="AH554" s="1">
        <f t="shared" si="58"/>
        <v>0</v>
      </c>
    </row>
    <row r="555" spans="19:34">
      <c r="S555" s="17">
        <v>10</v>
      </c>
      <c r="T555" s="18"/>
      <c r="U555" s="17">
        <v>1</v>
      </c>
      <c r="V555" s="17" t="s">
        <v>39</v>
      </c>
      <c r="W555" s="18">
        <v>1</v>
      </c>
      <c r="X555" s="18" t="s">
        <v>342</v>
      </c>
      <c r="Y555" s="18">
        <f t="shared" si="61"/>
        <v>3</v>
      </c>
      <c r="Z555" s="17" t="s">
        <v>49</v>
      </c>
      <c r="AA555" s="17">
        <v>2</v>
      </c>
      <c r="AB555" s="17" t="s">
        <v>172</v>
      </c>
      <c r="AC555" s="17" t="s">
        <v>208</v>
      </c>
      <c r="AD555" s="17" t="s">
        <v>214</v>
      </c>
      <c r="AE555" s="17" t="s">
        <v>193</v>
      </c>
      <c r="AF555" s="1">
        <f t="shared" si="56"/>
        <v>0</v>
      </c>
      <c r="AG555" s="1">
        <f t="shared" si="57"/>
        <v>0</v>
      </c>
      <c r="AH555" s="1">
        <f t="shared" si="58"/>
        <v>1</v>
      </c>
    </row>
    <row r="556" spans="19:34">
      <c r="S556" s="17">
        <v>11</v>
      </c>
      <c r="T556" s="18"/>
      <c r="U556" s="17">
        <v>2</v>
      </c>
      <c r="V556" s="17" t="s">
        <v>39</v>
      </c>
      <c r="W556" s="18">
        <v>3</v>
      </c>
      <c r="X556" s="18" t="s">
        <v>342</v>
      </c>
      <c r="Y556" s="18">
        <f t="shared" si="61"/>
        <v>1</v>
      </c>
      <c r="Z556" s="17" t="s">
        <v>99</v>
      </c>
      <c r="AA556" s="17">
        <v>1</v>
      </c>
      <c r="AB556" s="17" t="s">
        <v>193</v>
      </c>
      <c r="AC556" s="17" t="s">
        <v>206</v>
      </c>
      <c r="AD556" s="17" t="s">
        <v>172</v>
      </c>
      <c r="AE556" s="17" t="s">
        <v>210</v>
      </c>
      <c r="AF556" s="1">
        <f t="shared" si="56"/>
        <v>1</v>
      </c>
      <c r="AG556" s="1">
        <f t="shared" si="57"/>
        <v>0</v>
      </c>
      <c r="AH556" s="1">
        <f t="shared" si="58"/>
        <v>0</v>
      </c>
    </row>
    <row r="557" spans="19:34">
      <c r="S557" s="17">
        <v>12</v>
      </c>
      <c r="T557" s="18"/>
      <c r="U557" s="17">
        <v>2</v>
      </c>
      <c r="V557" s="17" t="s">
        <v>39</v>
      </c>
      <c r="W557" s="18">
        <v>2</v>
      </c>
      <c r="X557" s="18" t="s">
        <v>342</v>
      </c>
      <c r="Y557" s="18">
        <f t="shared" si="61"/>
        <v>2</v>
      </c>
      <c r="Z557" s="17" t="s">
        <v>107</v>
      </c>
      <c r="AA557" s="17">
        <v>1</v>
      </c>
      <c r="AB557" s="17" t="s">
        <v>214</v>
      </c>
      <c r="AC557" s="17" t="s">
        <v>180</v>
      </c>
      <c r="AD557" s="17" t="s">
        <v>176</v>
      </c>
      <c r="AE557" s="17" t="s">
        <v>202</v>
      </c>
      <c r="AF557" s="1">
        <f t="shared" si="56"/>
        <v>0</v>
      </c>
      <c r="AG557" s="1">
        <f t="shared" si="57"/>
        <v>1</v>
      </c>
      <c r="AH557" s="1">
        <f t="shared" si="58"/>
        <v>0</v>
      </c>
    </row>
    <row r="558" spans="19:34">
      <c r="S558" s="17">
        <v>13</v>
      </c>
      <c r="T558" s="18"/>
      <c r="U558" s="17">
        <v>2</v>
      </c>
      <c r="V558" s="17" t="s">
        <v>39</v>
      </c>
      <c r="W558" s="18">
        <v>1</v>
      </c>
      <c r="X558" s="18" t="s">
        <v>342</v>
      </c>
      <c r="Y558" s="18">
        <f t="shared" si="61"/>
        <v>3</v>
      </c>
      <c r="Z558" s="17" t="s">
        <v>123</v>
      </c>
      <c r="AA558" s="17">
        <v>1</v>
      </c>
      <c r="AB558" s="17" t="s">
        <v>183</v>
      </c>
      <c r="AC558" s="17" t="s">
        <v>208</v>
      </c>
      <c r="AD558" s="17" t="s">
        <v>189</v>
      </c>
      <c r="AE558" s="17" t="s">
        <v>196</v>
      </c>
      <c r="AF558" s="1">
        <f t="shared" si="56"/>
        <v>0</v>
      </c>
      <c r="AG558" s="1">
        <f t="shared" si="57"/>
        <v>0</v>
      </c>
      <c r="AH558" s="1">
        <f t="shared" si="58"/>
        <v>1</v>
      </c>
    </row>
    <row r="559" spans="19:34">
      <c r="S559" s="17">
        <v>14</v>
      </c>
      <c r="T559" s="18"/>
      <c r="U559" s="17">
        <v>1</v>
      </c>
      <c r="V559" s="17" t="s">
        <v>39</v>
      </c>
      <c r="W559" s="18">
        <v>2</v>
      </c>
      <c r="X559" s="18" t="s">
        <v>342</v>
      </c>
      <c r="Y559" s="18">
        <f t="shared" si="61"/>
        <v>2</v>
      </c>
      <c r="Z559" s="17" t="s">
        <v>81</v>
      </c>
      <c r="AA559" s="17">
        <v>2</v>
      </c>
      <c r="AB559" s="17" t="s">
        <v>204</v>
      </c>
      <c r="AC559" s="17" t="s">
        <v>185</v>
      </c>
      <c r="AD559" s="17" t="s">
        <v>164</v>
      </c>
      <c r="AE559" s="17" t="s">
        <v>187</v>
      </c>
      <c r="AF559" s="1">
        <f t="shared" si="56"/>
        <v>0</v>
      </c>
      <c r="AG559" s="1">
        <f t="shared" si="57"/>
        <v>1</v>
      </c>
      <c r="AH559" s="1">
        <f t="shared" si="58"/>
        <v>0</v>
      </c>
    </row>
    <row r="560" spans="19:34">
      <c r="S560" s="17">
        <v>15</v>
      </c>
      <c r="T560" s="18"/>
      <c r="U560" s="17">
        <v>1</v>
      </c>
      <c r="V560" s="17" t="s">
        <v>39</v>
      </c>
      <c r="W560" s="18">
        <v>0</v>
      </c>
      <c r="X560" s="18" t="s">
        <v>342</v>
      </c>
      <c r="Y560" s="18">
        <f t="shared" si="61"/>
        <v>4</v>
      </c>
      <c r="Z560" s="17" t="s">
        <v>83</v>
      </c>
      <c r="AA560" s="17">
        <v>2</v>
      </c>
      <c r="AB560" s="17" t="s">
        <v>198</v>
      </c>
      <c r="AC560" s="17" t="s">
        <v>212</v>
      </c>
      <c r="AD560" s="17" t="s">
        <v>200</v>
      </c>
      <c r="AE560" s="17" t="s">
        <v>191</v>
      </c>
      <c r="AF560" s="1">
        <f t="shared" si="56"/>
        <v>0</v>
      </c>
      <c r="AG560" s="1">
        <f t="shared" si="57"/>
        <v>0</v>
      </c>
      <c r="AH560" s="1">
        <f t="shared" si="58"/>
        <v>1</v>
      </c>
    </row>
    <row r="561" spans="19:34">
      <c r="S561" s="58" t="s">
        <v>339</v>
      </c>
      <c r="T561" s="58" t="s">
        <v>340</v>
      </c>
      <c r="U561" s="58" t="s">
        <v>341</v>
      </c>
      <c r="V561" s="58" t="s">
        <v>1</v>
      </c>
      <c r="W561" s="66" t="s">
        <v>220</v>
      </c>
      <c r="X561" s="66"/>
      <c r="Y561" s="66"/>
      <c r="Z561" s="58" t="s">
        <v>1</v>
      </c>
      <c r="AA561" s="58" t="s">
        <v>341</v>
      </c>
      <c r="AB561" s="58" t="s">
        <v>225</v>
      </c>
      <c r="AC561" s="58" t="s">
        <v>228</v>
      </c>
      <c r="AD561" s="58" t="s">
        <v>230</v>
      </c>
      <c r="AE561" s="58" t="s">
        <v>232</v>
      </c>
      <c r="AF561" s="1">
        <f t="shared" si="56"/>
        <v>1</v>
      </c>
      <c r="AG561" s="1">
        <f t="shared" si="57"/>
        <v>0</v>
      </c>
      <c r="AH561" s="1">
        <f t="shared" si="58"/>
        <v>0</v>
      </c>
    </row>
    <row r="562" spans="19:34">
      <c r="S562" s="17">
        <v>1</v>
      </c>
      <c r="T562" s="18"/>
      <c r="U562" s="17">
        <v>1</v>
      </c>
      <c r="V562" s="17" t="s">
        <v>83</v>
      </c>
      <c r="W562" s="18">
        <v>4</v>
      </c>
      <c r="X562" s="18" t="s">
        <v>342</v>
      </c>
      <c r="Y562" s="18">
        <f t="shared" ref="Y562:Y576" si="62">IF(W562="","",4-W562)</f>
        <v>0</v>
      </c>
      <c r="Z562" s="17" t="s">
        <v>75</v>
      </c>
      <c r="AA562" s="17">
        <v>2</v>
      </c>
      <c r="AB562" s="17" t="s">
        <v>191</v>
      </c>
      <c r="AC562" s="17" t="s">
        <v>185</v>
      </c>
      <c r="AD562" s="17" t="s">
        <v>206</v>
      </c>
      <c r="AE562" s="17" t="s">
        <v>202</v>
      </c>
      <c r="AF562" s="1">
        <f t="shared" si="56"/>
        <v>1</v>
      </c>
      <c r="AG562" s="1">
        <f t="shared" si="57"/>
        <v>0</v>
      </c>
      <c r="AH562" s="1">
        <f t="shared" si="58"/>
        <v>0</v>
      </c>
    </row>
    <row r="563" spans="19:34">
      <c r="S563" s="17">
        <v>2</v>
      </c>
      <c r="T563" s="18"/>
      <c r="U563" s="17">
        <v>2</v>
      </c>
      <c r="V563" s="17" t="s">
        <v>83</v>
      </c>
      <c r="W563" s="18">
        <v>4</v>
      </c>
      <c r="X563" s="18" t="s">
        <v>342</v>
      </c>
      <c r="Y563" s="18">
        <f t="shared" si="62"/>
        <v>0</v>
      </c>
      <c r="Z563" s="17" t="s">
        <v>14</v>
      </c>
      <c r="AA563" s="17">
        <v>1</v>
      </c>
      <c r="AB563" s="17" t="s">
        <v>180</v>
      </c>
      <c r="AC563" s="17" t="s">
        <v>172</v>
      </c>
      <c r="AD563" s="17" t="s">
        <v>200</v>
      </c>
      <c r="AE563" s="17" t="s">
        <v>198</v>
      </c>
      <c r="AF563" s="1">
        <f t="shared" si="56"/>
        <v>1</v>
      </c>
      <c r="AG563" s="1">
        <f t="shared" si="57"/>
        <v>0</v>
      </c>
      <c r="AH563" s="1">
        <f t="shared" si="58"/>
        <v>0</v>
      </c>
    </row>
    <row r="564" spans="19:34">
      <c r="S564" s="17">
        <v>3</v>
      </c>
      <c r="T564" s="18"/>
      <c r="U564" s="17">
        <v>2</v>
      </c>
      <c r="V564" s="17" t="s">
        <v>83</v>
      </c>
      <c r="W564" s="18">
        <v>4</v>
      </c>
      <c r="X564" s="18" t="s">
        <v>342</v>
      </c>
      <c r="Y564" s="18">
        <f t="shared" si="62"/>
        <v>0</v>
      </c>
      <c r="Z564" s="17" t="s">
        <v>65</v>
      </c>
      <c r="AA564" s="17">
        <v>1</v>
      </c>
      <c r="AB564" s="17" t="s">
        <v>176</v>
      </c>
      <c r="AC564" s="17" t="s">
        <v>183</v>
      </c>
      <c r="AD564" s="17" t="s">
        <v>204</v>
      </c>
      <c r="AE564" s="17" t="s">
        <v>212</v>
      </c>
      <c r="AF564" s="1">
        <f t="shared" si="56"/>
        <v>1</v>
      </c>
      <c r="AG564" s="1">
        <f t="shared" si="57"/>
        <v>0</v>
      </c>
      <c r="AH564" s="1">
        <f t="shared" si="58"/>
        <v>0</v>
      </c>
    </row>
    <row r="565" spans="19:34">
      <c r="S565" s="17">
        <v>4</v>
      </c>
      <c r="T565" s="18"/>
      <c r="U565" s="17">
        <v>1</v>
      </c>
      <c r="V565" s="17" t="s">
        <v>83</v>
      </c>
      <c r="W565" s="18">
        <v>4</v>
      </c>
      <c r="X565" s="18" t="s">
        <v>342</v>
      </c>
      <c r="Y565" s="18">
        <f t="shared" si="62"/>
        <v>0</v>
      </c>
      <c r="Z565" s="17" t="s">
        <v>378</v>
      </c>
      <c r="AA565" s="17">
        <v>2</v>
      </c>
      <c r="AB565" s="17" t="s">
        <v>196</v>
      </c>
      <c r="AC565" s="17" t="s">
        <v>193</v>
      </c>
      <c r="AD565" s="17" t="s">
        <v>208</v>
      </c>
      <c r="AE565" s="17" t="s">
        <v>164</v>
      </c>
      <c r="AF565" s="1">
        <f t="shared" si="56"/>
        <v>1</v>
      </c>
      <c r="AG565" s="1">
        <f t="shared" si="57"/>
        <v>0</v>
      </c>
      <c r="AH565" s="1">
        <f t="shared" si="58"/>
        <v>0</v>
      </c>
    </row>
    <row r="566" spans="19:34">
      <c r="S566" s="17">
        <v>5</v>
      </c>
      <c r="T566" s="18"/>
      <c r="U566" s="17">
        <v>2</v>
      </c>
      <c r="V566" s="17" t="s">
        <v>83</v>
      </c>
      <c r="W566" s="18">
        <v>3</v>
      </c>
      <c r="X566" s="18" t="s">
        <v>342</v>
      </c>
      <c r="Y566" s="18">
        <f t="shared" si="62"/>
        <v>1</v>
      </c>
      <c r="Z566" s="17" t="s">
        <v>125</v>
      </c>
      <c r="AA566" s="17">
        <v>1</v>
      </c>
      <c r="AB566" s="17" t="s">
        <v>214</v>
      </c>
      <c r="AC566" s="17" t="s">
        <v>210</v>
      </c>
      <c r="AD566" s="17" t="s">
        <v>187</v>
      </c>
      <c r="AE566" s="17" t="s">
        <v>189</v>
      </c>
      <c r="AF566" s="1">
        <f t="shared" si="56"/>
        <v>1</v>
      </c>
      <c r="AG566" s="1">
        <f t="shared" si="57"/>
        <v>0</v>
      </c>
      <c r="AH566" s="1">
        <f t="shared" si="58"/>
        <v>0</v>
      </c>
    </row>
    <row r="567" spans="19:34">
      <c r="S567" s="17">
        <v>6</v>
      </c>
      <c r="T567" s="18"/>
      <c r="U567" s="17">
        <v>2</v>
      </c>
      <c r="V567" s="17" t="s">
        <v>83</v>
      </c>
      <c r="W567" s="18">
        <v>4</v>
      </c>
      <c r="X567" s="18" t="s">
        <v>342</v>
      </c>
      <c r="Y567" s="18">
        <f t="shared" si="62"/>
        <v>0</v>
      </c>
      <c r="Z567" s="17" t="s">
        <v>31</v>
      </c>
      <c r="AA567" s="17">
        <v>1</v>
      </c>
      <c r="AB567" s="17" t="s">
        <v>204</v>
      </c>
      <c r="AC567" s="17" t="s">
        <v>210</v>
      </c>
      <c r="AD567" s="17" t="s">
        <v>180</v>
      </c>
      <c r="AE567" s="17" t="s">
        <v>189</v>
      </c>
      <c r="AF567" s="1">
        <f t="shared" si="56"/>
        <v>1</v>
      </c>
      <c r="AG567" s="1">
        <f t="shared" si="57"/>
        <v>0</v>
      </c>
      <c r="AH567" s="1">
        <f t="shared" si="58"/>
        <v>0</v>
      </c>
    </row>
    <row r="568" spans="19:34">
      <c r="S568" s="17">
        <v>7</v>
      </c>
      <c r="T568" s="18"/>
      <c r="U568" s="17">
        <v>1</v>
      </c>
      <c r="V568" s="17" t="s">
        <v>83</v>
      </c>
      <c r="W568" s="18">
        <v>4</v>
      </c>
      <c r="X568" s="18" t="s">
        <v>342</v>
      </c>
      <c r="Y568" s="18">
        <f t="shared" si="62"/>
        <v>0</v>
      </c>
      <c r="Z568" s="17" t="s">
        <v>111</v>
      </c>
      <c r="AA568" s="17">
        <v>2</v>
      </c>
      <c r="AB568" s="17" t="s">
        <v>187</v>
      </c>
      <c r="AC568" s="17" t="s">
        <v>206</v>
      </c>
      <c r="AD568" s="17" t="s">
        <v>183</v>
      </c>
      <c r="AE568" s="17" t="s">
        <v>196</v>
      </c>
      <c r="AF568" s="1">
        <f t="shared" si="56"/>
        <v>1</v>
      </c>
      <c r="AG568" s="1">
        <f t="shared" si="57"/>
        <v>0</v>
      </c>
      <c r="AH568" s="1">
        <f t="shared" si="58"/>
        <v>0</v>
      </c>
    </row>
    <row r="569" spans="19:34">
      <c r="S569" s="17">
        <v>8</v>
      </c>
      <c r="T569" s="18"/>
      <c r="U569" s="17">
        <v>2</v>
      </c>
      <c r="V569" s="17" t="s">
        <v>83</v>
      </c>
      <c r="W569" s="18">
        <v>4</v>
      </c>
      <c r="X569" s="18" t="s">
        <v>342</v>
      </c>
      <c r="Y569" s="18">
        <f t="shared" si="62"/>
        <v>0</v>
      </c>
      <c r="Z569" s="17" t="s">
        <v>61</v>
      </c>
      <c r="AA569" s="17">
        <v>1</v>
      </c>
      <c r="AB569" s="17" t="s">
        <v>200</v>
      </c>
      <c r="AC569" s="17" t="s">
        <v>198</v>
      </c>
      <c r="AD569" s="17" t="s">
        <v>212</v>
      </c>
      <c r="AE569" s="17" t="s">
        <v>185</v>
      </c>
      <c r="AF569" s="1">
        <f t="shared" si="56"/>
        <v>1</v>
      </c>
      <c r="AG569" s="1">
        <f t="shared" si="57"/>
        <v>0</v>
      </c>
      <c r="AH569" s="1">
        <f t="shared" si="58"/>
        <v>0</v>
      </c>
    </row>
    <row r="570" spans="19:34">
      <c r="S570" s="17">
        <v>9</v>
      </c>
      <c r="T570" s="18"/>
      <c r="U570" s="17">
        <v>1</v>
      </c>
      <c r="V570" s="17" t="s">
        <v>83</v>
      </c>
      <c r="W570" s="18">
        <v>3</v>
      </c>
      <c r="X570" s="18" t="s">
        <v>342</v>
      </c>
      <c r="Y570" s="18">
        <f t="shared" si="62"/>
        <v>1</v>
      </c>
      <c r="Z570" s="17" t="s">
        <v>49</v>
      </c>
      <c r="AA570" s="17">
        <v>2</v>
      </c>
      <c r="AB570" s="17" t="s">
        <v>202</v>
      </c>
      <c r="AC570" s="17" t="s">
        <v>164</v>
      </c>
      <c r="AD570" s="17" t="s">
        <v>191</v>
      </c>
      <c r="AE570" s="17" t="s">
        <v>176</v>
      </c>
      <c r="AF570" s="1">
        <f t="shared" si="56"/>
        <v>1</v>
      </c>
      <c r="AG570" s="1">
        <f t="shared" si="57"/>
        <v>0</v>
      </c>
      <c r="AH570" s="1">
        <f t="shared" si="58"/>
        <v>0</v>
      </c>
    </row>
    <row r="571" spans="19:34">
      <c r="S571" s="17">
        <v>10</v>
      </c>
      <c r="T571" s="18"/>
      <c r="U571" s="17">
        <v>2</v>
      </c>
      <c r="V571" s="17" t="s">
        <v>83</v>
      </c>
      <c r="W571" s="18">
        <v>2</v>
      </c>
      <c r="X571" s="18" t="s">
        <v>342</v>
      </c>
      <c r="Y571" s="18">
        <f t="shared" si="62"/>
        <v>2</v>
      </c>
      <c r="Z571" s="17" t="s">
        <v>27</v>
      </c>
      <c r="AA571" s="17">
        <v>1</v>
      </c>
      <c r="AB571" s="17" t="s">
        <v>172</v>
      </c>
      <c r="AC571" s="17" t="s">
        <v>208</v>
      </c>
      <c r="AD571" s="17" t="s">
        <v>214</v>
      </c>
      <c r="AE571" s="17" t="s">
        <v>193</v>
      </c>
      <c r="AF571" s="1">
        <f t="shared" si="56"/>
        <v>0</v>
      </c>
      <c r="AG571" s="1">
        <f t="shared" si="57"/>
        <v>1</v>
      </c>
      <c r="AH571" s="1">
        <f t="shared" si="58"/>
        <v>0</v>
      </c>
    </row>
    <row r="572" spans="19:34">
      <c r="S572" s="17">
        <v>11</v>
      </c>
      <c r="T572" s="18"/>
      <c r="U572" s="17">
        <v>1</v>
      </c>
      <c r="V572" s="17" t="s">
        <v>83</v>
      </c>
      <c r="W572" s="18">
        <v>4</v>
      </c>
      <c r="X572" s="18" t="s">
        <v>342</v>
      </c>
      <c r="Y572" s="18">
        <f t="shared" si="62"/>
        <v>0</v>
      </c>
      <c r="Z572" s="17" t="s">
        <v>107</v>
      </c>
      <c r="AA572" s="17">
        <v>2</v>
      </c>
      <c r="AB572" s="17" t="s">
        <v>193</v>
      </c>
      <c r="AC572" s="17" t="s">
        <v>206</v>
      </c>
      <c r="AD572" s="17" t="s">
        <v>172</v>
      </c>
      <c r="AE572" s="17" t="s">
        <v>210</v>
      </c>
      <c r="AF572" s="1">
        <f t="shared" si="56"/>
        <v>1</v>
      </c>
      <c r="AG572" s="1">
        <f t="shared" si="57"/>
        <v>0</v>
      </c>
      <c r="AH572" s="1">
        <f t="shared" si="58"/>
        <v>0</v>
      </c>
    </row>
    <row r="573" spans="19:34">
      <c r="S573" s="17">
        <v>12</v>
      </c>
      <c r="T573" s="18"/>
      <c r="U573" s="17">
        <v>2</v>
      </c>
      <c r="V573" s="17" t="s">
        <v>83</v>
      </c>
      <c r="W573" s="18">
        <v>4</v>
      </c>
      <c r="X573" s="18" t="s">
        <v>342</v>
      </c>
      <c r="Y573" s="18">
        <f t="shared" si="62"/>
        <v>0</v>
      </c>
      <c r="Z573" s="17" t="s">
        <v>99</v>
      </c>
      <c r="AA573" s="17">
        <v>1</v>
      </c>
      <c r="AB573" s="17" t="s">
        <v>214</v>
      </c>
      <c r="AC573" s="17" t="s">
        <v>180</v>
      </c>
      <c r="AD573" s="17" t="s">
        <v>176</v>
      </c>
      <c r="AE573" s="17" t="s">
        <v>202</v>
      </c>
      <c r="AF573" s="1">
        <f t="shared" si="56"/>
        <v>1</v>
      </c>
      <c r="AG573" s="1">
        <f t="shared" si="57"/>
        <v>0</v>
      </c>
      <c r="AH573" s="1">
        <f t="shared" si="58"/>
        <v>0</v>
      </c>
    </row>
    <row r="574" spans="19:34">
      <c r="S574" s="17">
        <v>13</v>
      </c>
      <c r="T574" s="18"/>
      <c r="U574" s="17">
        <v>2</v>
      </c>
      <c r="V574" s="17" t="s">
        <v>83</v>
      </c>
      <c r="W574" s="18">
        <v>1</v>
      </c>
      <c r="X574" s="18" t="s">
        <v>342</v>
      </c>
      <c r="Y574" s="18">
        <f t="shared" si="62"/>
        <v>3</v>
      </c>
      <c r="Z574" s="17" t="s">
        <v>81</v>
      </c>
      <c r="AA574" s="17">
        <v>1</v>
      </c>
      <c r="AB574" s="17" t="s">
        <v>183</v>
      </c>
      <c r="AC574" s="17" t="s">
        <v>208</v>
      </c>
      <c r="AD574" s="17" t="s">
        <v>189</v>
      </c>
      <c r="AE574" s="17" t="s">
        <v>196</v>
      </c>
      <c r="AF574" s="1">
        <f t="shared" si="56"/>
        <v>0</v>
      </c>
      <c r="AG574" s="1">
        <f t="shared" si="57"/>
        <v>0</v>
      </c>
      <c r="AH574" s="1">
        <f t="shared" si="58"/>
        <v>1</v>
      </c>
    </row>
    <row r="575" spans="19:34">
      <c r="S575" s="17">
        <v>14</v>
      </c>
      <c r="T575" s="18"/>
      <c r="U575" s="17">
        <v>2</v>
      </c>
      <c r="V575" s="17" t="s">
        <v>83</v>
      </c>
      <c r="W575" s="18">
        <v>2</v>
      </c>
      <c r="X575" s="18" t="s">
        <v>342</v>
      </c>
      <c r="Y575" s="18">
        <f t="shared" si="62"/>
        <v>2</v>
      </c>
      <c r="Z575" s="17" t="s">
        <v>123</v>
      </c>
      <c r="AA575" s="17">
        <v>1</v>
      </c>
      <c r="AB575" s="17" t="s">
        <v>204</v>
      </c>
      <c r="AC575" s="17" t="s">
        <v>185</v>
      </c>
      <c r="AD575" s="17" t="s">
        <v>164</v>
      </c>
      <c r="AE575" s="17" t="s">
        <v>187</v>
      </c>
      <c r="AF575" s="1">
        <f t="shared" si="56"/>
        <v>0</v>
      </c>
      <c r="AG575" s="1">
        <f t="shared" si="57"/>
        <v>1</v>
      </c>
      <c r="AH575" s="1">
        <f t="shared" si="58"/>
        <v>0</v>
      </c>
    </row>
    <row r="576" spans="19:34">
      <c r="S576" s="17">
        <v>15</v>
      </c>
      <c r="T576" s="18"/>
      <c r="U576" s="17">
        <v>2</v>
      </c>
      <c r="V576" s="17" t="s">
        <v>83</v>
      </c>
      <c r="W576" s="18">
        <v>4</v>
      </c>
      <c r="X576" s="18" t="s">
        <v>342</v>
      </c>
      <c r="Y576" s="18">
        <f t="shared" si="62"/>
        <v>0</v>
      </c>
      <c r="Z576" s="17" t="s">
        <v>39</v>
      </c>
      <c r="AA576" s="17">
        <v>1</v>
      </c>
      <c r="AB576" s="17" t="s">
        <v>198</v>
      </c>
      <c r="AC576" s="17" t="s">
        <v>212</v>
      </c>
      <c r="AD576" s="17" t="s">
        <v>200</v>
      </c>
      <c r="AE576" s="17" t="s">
        <v>191</v>
      </c>
      <c r="AF576" s="1">
        <f t="shared" si="56"/>
        <v>1</v>
      </c>
      <c r="AG576" s="1">
        <f t="shared" si="57"/>
        <v>0</v>
      </c>
      <c r="AH576" s="1">
        <f t="shared" si="58"/>
        <v>0</v>
      </c>
    </row>
    <row r="577" spans="19:34">
      <c r="S577" s="58" t="s">
        <v>339</v>
      </c>
      <c r="T577" s="58" t="s">
        <v>340</v>
      </c>
      <c r="U577" s="58" t="s">
        <v>341</v>
      </c>
      <c r="V577" s="58" t="s">
        <v>1</v>
      </c>
      <c r="W577" s="66" t="s">
        <v>220</v>
      </c>
      <c r="X577" s="66"/>
      <c r="Y577" s="66"/>
      <c r="Z577" s="58" t="s">
        <v>1</v>
      </c>
      <c r="AA577" s="58" t="s">
        <v>341</v>
      </c>
      <c r="AB577" s="58" t="s">
        <v>225</v>
      </c>
      <c r="AC577" s="58" t="s">
        <v>228</v>
      </c>
      <c r="AD577" s="58" t="s">
        <v>230</v>
      </c>
      <c r="AE577" s="58" t="s">
        <v>232</v>
      </c>
      <c r="AF577" s="1">
        <f t="shared" ref="AF577:AF640" si="63">IF(W577="",0,IF(W577&gt;Y577,1,0))</f>
        <v>1</v>
      </c>
      <c r="AG577" s="1">
        <f t="shared" ref="AG577:AG640" si="64">IF(W577="",0,IF(W577=Y577,1,0))</f>
        <v>0</v>
      </c>
      <c r="AH577" s="1">
        <f t="shared" ref="AH577:AH640" si="65">IF(W577="",0,IF(W577&lt;Y577,1,0))</f>
        <v>0</v>
      </c>
    </row>
    <row r="578" spans="19:34">
      <c r="S578" s="17">
        <v>1</v>
      </c>
      <c r="T578" s="18"/>
      <c r="U578" s="17">
        <v>2</v>
      </c>
      <c r="V578" s="17" t="s">
        <v>49</v>
      </c>
      <c r="W578" s="18">
        <v>4</v>
      </c>
      <c r="X578" s="18" t="s">
        <v>342</v>
      </c>
      <c r="Y578" s="18">
        <f t="shared" ref="Y578:Y592" si="66">IF(W578="","",4-W578)</f>
        <v>0</v>
      </c>
      <c r="Z578" s="17" t="s">
        <v>61</v>
      </c>
      <c r="AA578" s="17">
        <v>1</v>
      </c>
      <c r="AB578" s="17" t="s">
        <v>191</v>
      </c>
      <c r="AC578" s="17" t="s">
        <v>185</v>
      </c>
      <c r="AD578" s="17" t="s">
        <v>206</v>
      </c>
      <c r="AE578" s="17" t="s">
        <v>202</v>
      </c>
      <c r="AF578" s="1">
        <f t="shared" si="63"/>
        <v>1</v>
      </c>
      <c r="AG578" s="1">
        <f t="shared" si="64"/>
        <v>0</v>
      </c>
      <c r="AH578" s="1">
        <f t="shared" si="65"/>
        <v>0</v>
      </c>
    </row>
    <row r="579" spans="19:34">
      <c r="S579" s="17">
        <v>2</v>
      </c>
      <c r="T579" s="18"/>
      <c r="U579" s="17">
        <v>2</v>
      </c>
      <c r="V579" s="17" t="s">
        <v>49</v>
      </c>
      <c r="W579" s="18">
        <v>3</v>
      </c>
      <c r="X579" s="18" t="s">
        <v>342</v>
      </c>
      <c r="Y579" s="18">
        <f t="shared" si="66"/>
        <v>1</v>
      </c>
      <c r="Z579" s="17" t="s">
        <v>111</v>
      </c>
      <c r="AA579" s="17">
        <v>1</v>
      </c>
      <c r="AB579" s="17" t="s">
        <v>180</v>
      </c>
      <c r="AC579" s="17" t="s">
        <v>172</v>
      </c>
      <c r="AD579" s="17" t="s">
        <v>200</v>
      </c>
      <c r="AE579" s="17" t="s">
        <v>198</v>
      </c>
      <c r="AF579" s="1">
        <f t="shared" si="63"/>
        <v>1</v>
      </c>
      <c r="AG579" s="1">
        <f t="shared" si="64"/>
        <v>0</v>
      </c>
      <c r="AH579" s="1">
        <f t="shared" si="65"/>
        <v>0</v>
      </c>
    </row>
    <row r="580" spans="19:34">
      <c r="S580" s="17">
        <v>3</v>
      </c>
      <c r="T580" s="18"/>
      <c r="U580" s="17">
        <v>2</v>
      </c>
      <c r="V580" s="17" t="s">
        <v>49</v>
      </c>
      <c r="W580" s="18">
        <v>3</v>
      </c>
      <c r="X580" s="18" t="s">
        <v>342</v>
      </c>
      <c r="Y580" s="18">
        <f t="shared" si="66"/>
        <v>1</v>
      </c>
      <c r="Z580" s="17" t="s">
        <v>31</v>
      </c>
      <c r="AA580" s="17">
        <v>1</v>
      </c>
      <c r="AB580" s="17" t="s">
        <v>176</v>
      </c>
      <c r="AC580" s="17" t="s">
        <v>183</v>
      </c>
      <c r="AD580" s="17" t="s">
        <v>204</v>
      </c>
      <c r="AE580" s="17" t="s">
        <v>212</v>
      </c>
      <c r="AF580" s="1">
        <f t="shared" si="63"/>
        <v>1</v>
      </c>
      <c r="AG580" s="1">
        <f t="shared" si="64"/>
        <v>0</v>
      </c>
      <c r="AH580" s="1">
        <f t="shared" si="65"/>
        <v>0</v>
      </c>
    </row>
    <row r="581" spans="19:34">
      <c r="S581" s="17">
        <v>4</v>
      </c>
      <c r="T581" s="18"/>
      <c r="U581" s="17">
        <v>1</v>
      </c>
      <c r="V581" s="17" t="s">
        <v>49</v>
      </c>
      <c r="W581" s="18">
        <v>1</v>
      </c>
      <c r="X581" s="18" t="s">
        <v>342</v>
      </c>
      <c r="Y581" s="18">
        <f t="shared" si="66"/>
        <v>3</v>
      </c>
      <c r="Z581" s="17" t="s">
        <v>125</v>
      </c>
      <c r="AA581" s="17">
        <v>2</v>
      </c>
      <c r="AB581" s="17" t="s">
        <v>196</v>
      </c>
      <c r="AC581" s="17" t="s">
        <v>193</v>
      </c>
      <c r="AD581" s="17" t="s">
        <v>208</v>
      </c>
      <c r="AE581" s="17" t="s">
        <v>164</v>
      </c>
      <c r="AF581" s="1">
        <f t="shared" si="63"/>
        <v>0</v>
      </c>
      <c r="AG581" s="1">
        <f t="shared" si="64"/>
        <v>0</v>
      </c>
      <c r="AH581" s="1">
        <f t="shared" si="65"/>
        <v>1</v>
      </c>
    </row>
    <row r="582" spans="19:34">
      <c r="S582" s="17">
        <v>5</v>
      </c>
      <c r="T582" s="18"/>
      <c r="U582" s="17">
        <v>2</v>
      </c>
      <c r="V582" s="17" t="s">
        <v>49</v>
      </c>
      <c r="W582" s="18">
        <v>4</v>
      </c>
      <c r="X582" s="18" t="s">
        <v>342</v>
      </c>
      <c r="Y582" s="18">
        <f t="shared" si="66"/>
        <v>0</v>
      </c>
      <c r="Z582" s="17" t="s">
        <v>378</v>
      </c>
      <c r="AA582" s="17">
        <v>1</v>
      </c>
      <c r="AB582" s="17" t="s">
        <v>214</v>
      </c>
      <c r="AC582" s="17" t="s">
        <v>210</v>
      </c>
      <c r="AD582" s="17" t="s">
        <v>187</v>
      </c>
      <c r="AE582" s="17" t="s">
        <v>189</v>
      </c>
      <c r="AF582" s="1">
        <f t="shared" si="63"/>
        <v>1</v>
      </c>
      <c r="AG582" s="1">
        <f t="shared" si="64"/>
        <v>0</v>
      </c>
      <c r="AH582" s="1">
        <f t="shared" si="65"/>
        <v>0</v>
      </c>
    </row>
    <row r="583" spans="19:34">
      <c r="S583" s="17">
        <v>6</v>
      </c>
      <c r="T583" s="18"/>
      <c r="U583" s="17">
        <v>1</v>
      </c>
      <c r="V583" s="17" t="s">
        <v>49</v>
      </c>
      <c r="W583" s="18">
        <v>4</v>
      </c>
      <c r="X583" s="18" t="s">
        <v>342</v>
      </c>
      <c r="Y583" s="18">
        <f t="shared" si="66"/>
        <v>0</v>
      </c>
      <c r="Z583" s="17" t="s">
        <v>65</v>
      </c>
      <c r="AA583" s="17">
        <v>2</v>
      </c>
      <c r="AB583" s="17" t="s">
        <v>204</v>
      </c>
      <c r="AC583" s="17" t="s">
        <v>210</v>
      </c>
      <c r="AD583" s="17" t="s">
        <v>180</v>
      </c>
      <c r="AE583" s="17" t="s">
        <v>189</v>
      </c>
      <c r="AF583" s="1">
        <f t="shared" si="63"/>
        <v>1</v>
      </c>
      <c r="AG583" s="1">
        <f t="shared" si="64"/>
        <v>0</v>
      </c>
      <c r="AH583" s="1">
        <f t="shared" si="65"/>
        <v>0</v>
      </c>
    </row>
    <row r="584" spans="19:34">
      <c r="S584" s="17">
        <v>7</v>
      </c>
      <c r="T584" s="18"/>
      <c r="U584" s="17">
        <v>2</v>
      </c>
      <c r="V584" s="17" t="s">
        <v>49</v>
      </c>
      <c r="W584" s="18">
        <v>4</v>
      </c>
      <c r="X584" s="18" t="s">
        <v>342</v>
      </c>
      <c r="Y584" s="18">
        <f t="shared" si="66"/>
        <v>0</v>
      </c>
      <c r="Z584" s="17" t="s">
        <v>14</v>
      </c>
      <c r="AA584" s="17">
        <v>1</v>
      </c>
      <c r="AB584" s="17" t="s">
        <v>187</v>
      </c>
      <c r="AC584" s="17" t="s">
        <v>206</v>
      </c>
      <c r="AD584" s="17" t="s">
        <v>183</v>
      </c>
      <c r="AE584" s="17" t="s">
        <v>196</v>
      </c>
      <c r="AF584" s="1">
        <f t="shared" si="63"/>
        <v>1</v>
      </c>
      <c r="AG584" s="1">
        <f t="shared" si="64"/>
        <v>0</v>
      </c>
      <c r="AH584" s="1">
        <f t="shared" si="65"/>
        <v>0</v>
      </c>
    </row>
    <row r="585" spans="19:34">
      <c r="S585" s="17">
        <v>8</v>
      </c>
      <c r="T585" s="18"/>
      <c r="U585" s="17">
        <v>2</v>
      </c>
      <c r="V585" s="17" t="s">
        <v>49</v>
      </c>
      <c r="W585" s="18">
        <v>4</v>
      </c>
      <c r="X585" s="18" t="s">
        <v>342</v>
      </c>
      <c r="Y585" s="18">
        <f t="shared" si="66"/>
        <v>0</v>
      </c>
      <c r="Z585" s="17" t="s">
        <v>75</v>
      </c>
      <c r="AA585" s="17">
        <v>1</v>
      </c>
      <c r="AB585" s="17" t="s">
        <v>200</v>
      </c>
      <c r="AC585" s="17" t="s">
        <v>198</v>
      </c>
      <c r="AD585" s="17" t="s">
        <v>212</v>
      </c>
      <c r="AE585" s="17" t="s">
        <v>185</v>
      </c>
      <c r="AF585" s="1">
        <f t="shared" si="63"/>
        <v>1</v>
      </c>
      <c r="AG585" s="1">
        <f t="shared" si="64"/>
        <v>0</v>
      </c>
      <c r="AH585" s="1">
        <f t="shared" si="65"/>
        <v>0</v>
      </c>
    </row>
    <row r="586" spans="19:34">
      <c r="S586" s="17">
        <v>9</v>
      </c>
      <c r="T586" s="18"/>
      <c r="U586" s="17">
        <v>2</v>
      </c>
      <c r="V586" s="17" t="s">
        <v>49</v>
      </c>
      <c r="W586" s="18">
        <v>1</v>
      </c>
      <c r="X586" s="18" t="s">
        <v>342</v>
      </c>
      <c r="Y586" s="18">
        <f t="shared" si="66"/>
        <v>3</v>
      </c>
      <c r="Z586" s="17" t="s">
        <v>83</v>
      </c>
      <c r="AA586" s="17">
        <v>1</v>
      </c>
      <c r="AB586" s="17" t="s">
        <v>202</v>
      </c>
      <c r="AC586" s="17" t="s">
        <v>164</v>
      </c>
      <c r="AD586" s="17" t="s">
        <v>191</v>
      </c>
      <c r="AE586" s="17" t="s">
        <v>176</v>
      </c>
      <c r="AF586" s="1">
        <f t="shared" si="63"/>
        <v>0</v>
      </c>
      <c r="AG586" s="1">
        <f t="shared" si="64"/>
        <v>0</v>
      </c>
      <c r="AH586" s="1">
        <f t="shared" si="65"/>
        <v>1</v>
      </c>
    </row>
    <row r="587" spans="19:34">
      <c r="S587" s="17">
        <v>10</v>
      </c>
      <c r="T587" s="18"/>
      <c r="U587" s="17">
        <v>2</v>
      </c>
      <c r="V587" s="17" t="s">
        <v>49</v>
      </c>
      <c r="W587" s="18">
        <v>3</v>
      </c>
      <c r="X587" s="18" t="s">
        <v>342</v>
      </c>
      <c r="Y587" s="18">
        <f t="shared" si="66"/>
        <v>1</v>
      </c>
      <c r="Z587" s="17" t="s">
        <v>39</v>
      </c>
      <c r="AA587" s="17">
        <v>1</v>
      </c>
      <c r="AB587" s="17" t="s">
        <v>172</v>
      </c>
      <c r="AC587" s="17" t="s">
        <v>208</v>
      </c>
      <c r="AD587" s="17" t="s">
        <v>214</v>
      </c>
      <c r="AE587" s="17" t="s">
        <v>193</v>
      </c>
      <c r="AF587" s="1">
        <f t="shared" si="63"/>
        <v>1</v>
      </c>
      <c r="AG587" s="1">
        <f t="shared" si="64"/>
        <v>0</v>
      </c>
      <c r="AH587" s="1">
        <f t="shared" si="65"/>
        <v>0</v>
      </c>
    </row>
    <row r="588" spans="19:34">
      <c r="S588" s="17">
        <v>11</v>
      </c>
      <c r="T588" s="18"/>
      <c r="U588" s="17">
        <v>2</v>
      </c>
      <c r="V588" s="17" t="s">
        <v>49</v>
      </c>
      <c r="W588" s="18">
        <v>1</v>
      </c>
      <c r="X588" s="18" t="s">
        <v>342</v>
      </c>
      <c r="Y588" s="18">
        <f t="shared" si="66"/>
        <v>3</v>
      </c>
      <c r="Z588" s="17" t="s">
        <v>123</v>
      </c>
      <c r="AA588" s="17">
        <v>1</v>
      </c>
      <c r="AB588" s="17" t="s">
        <v>193</v>
      </c>
      <c r="AC588" s="17" t="s">
        <v>206</v>
      </c>
      <c r="AD588" s="17" t="s">
        <v>172</v>
      </c>
      <c r="AE588" s="17" t="s">
        <v>210</v>
      </c>
      <c r="AF588" s="1">
        <f t="shared" si="63"/>
        <v>0</v>
      </c>
      <c r="AG588" s="1">
        <f t="shared" si="64"/>
        <v>0</v>
      </c>
      <c r="AH588" s="1">
        <f t="shared" si="65"/>
        <v>1</v>
      </c>
    </row>
    <row r="589" spans="19:34">
      <c r="S589" s="17">
        <v>12</v>
      </c>
      <c r="T589" s="18"/>
      <c r="U589" s="17">
        <v>1</v>
      </c>
      <c r="V589" s="17" t="s">
        <v>49</v>
      </c>
      <c r="W589" s="18">
        <v>0</v>
      </c>
      <c r="X589" s="18" t="s">
        <v>342</v>
      </c>
      <c r="Y589" s="18">
        <f t="shared" si="66"/>
        <v>4</v>
      </c>
      <c r="Z589" s="17" t="s">
        <v>81</v>
      </c>
      <c r="AA589" s="17">
        <v>2</v>
      </c>
      <c r="AB589" s="17" t="s">
        <v>214</v>
      </c>
      <c r="AC589" s="17" t="s">
        <v>180</v>
      </c>
      <c r="AD589" s="17" t="s">
        <v>176</v>
      </c>
      <c r="AE589" s="17" t="s">
        <v>202</v>
      </c>
      <c r="AF589" s="1">
        <f t="shared" si="63"/>
        <v>0</v>
      </c>
      <c r="AG589" s="1">
        <f t="shared" si="64"/>
        <v>0</v>
      </c>
      <c r="AH589" s="1">
        <f t="shared" si="65"/>
        <v>1</v>
      </c>
    </row>
    <row r="590" spans="19:34">
      <c r="S590" s="17">
        <v>13</v>
      </c>
      <c r="T590" s="18"/>
      <c r="U590" s="17">
        <v>1</v>
      </c>
      <c r="V590" s="17" t="s">
        <v>49</v>
      </c>
      <c r="W590" s="18">
        <v>4</v>
      </c>
      <c r="X590" s="18" t="s">
        <v>342</v>
      </c>
      <c r="Y590" s="18">
        <f t="shared" si="66"/>
        <v>0</v>
      </c>
      <c r="Z590" s="17" t="s">
        <v>99</v>
      </c>
      <c r="AA590" s="17">
        <v>2</v>
      </c>
      <c r="AB590" s="17" t="s">
        <v>183</v>
      </c>
      <c r="AC590" s="17" t="s">
        <v>208</v>
      </c>
      <c r="AD590" s="17" t="s">
        <v>189</v>
      </c>
      <c r="AE590" s="17" t="s">
        <v>196</v>
      </c>
      <c r="AF590" s="1">
        <f t="shared" si="63"/>
        <v>1</v>
      </c>
      <c r="AG590" s="1">
        <f t="shared" si="64"/>
        <v>0</v>
      </c>
      <c r="AH590" s="1">
        <f t="shared" si="65"/>
        <v>0</v>
      </c>
    </row>
    <row r="591" spans="19:34">
      <c r="S591" s="17">
        <v>14</v>
      </c>
      <c r="T591" s="18"/>
      <c r="U591" s="17">
        <v>2</v>
      </c>
      <c r="V591" s="17" t="s">
        <v>49</v>
      </c>
      <c r="W591" s="18">
        <v>3</v>
      </c>
      <c r="X591" s="18" t="s">
        <v>342</v>
      </c>
      <c r="Y591" s="18">
        <f t="shared" si="66"/>
        <v>1</v>
      </c>
      <c r="Z591" s="17" t="s">
        <v>107</v>
      </c>
      <c r="AA591" s="17">
        <v>1</v>
      </c>
      <c r="AB591" s="17" t="s">
        <v>204</v>
      </c>
      <c r="AC591" s="17" t="s">
        <v>185</v>
      </c>
      <c r="AD591" s="17" t="s">
        <v>164</v>
      </c>
      <c r="AE591" s="17" t="s">
        <v>187</v>
      </c>
      <c r="AF591" s="1">
        <f t="shared" si="63"/>
        <v>1</v>
      </c>
      <c r="AG591" s="1">
        <f t="shared" si="64"/>
        <v>0</v>
      </c>
      <c r="AH591" s="1">
        <f t="shared" si="65"/>
        <v>0</v>
      </c>
    </row>
    <row r="592" spans="19:34">
      <c r="S592" s="17">
        <v>15</v>
      </c>
      <c r="T592" s="18"/>
      <c r="U592" s="17">
        <v>2</v>
      </c>
      <c r="V592" s="17" t="s">
        <v>49</v>
      </c>
      <c r="W592" s="18">
        <v>2</v>
      </c>
      <c r="X592" s="18" t="s">
        <v>342</v>
      </c>
      <c r="Y592" s="18">
        <f t="shared" si="66"/>
        <v>2</v>
      </c>
      <c r="Z592" s="17" t="s">
        <v>27</v>
      </c>
      <c r="AA592" s="17">
        <v>1</v>
      </c>
      <c r="AB592" s="17" t="s">
        <v>198</v>
      </c>
      <c r="AC592" s="17" t="s">
        <v>212</v>
      </c>
      <c r="AD592" s="17" t="s">
        <v>200</v>
      </c>
      <c r="AE592" s="17" t="s">
        <v>191</v>
      </c>
      <c r="AF592" s="1">
        <f t="shared" si="63"/>
        <v>0</v>
      </c>
      <c r="AG592" s="1">
        <f t="shared" si="64"/>
        <v>1</v>
      </c>
      <c r="AH592" s="1">
        <f t="shared" si="65"/>
        <v>0</v>
      </c>
    </row>
    <row r="593" spans="19:34">
      <c r="S593" s="58" t="s">
        <v>339</v>
      </c>
      <c r="T593" s="58" t="s">
        <v>340</v>
      </c>
      <c r="U593" s="58" t="s">
        <v>341</v>
      </c>
      <c r="V593" s="58" t="s">
        <v>1</v>
      </c>
      <c r="W593" s="66" t="s">
        <v>220</v>
      </c>
      <c r="X593" s="66"/>
      <c r="Y593" s="66"/>
      <c r="Z593" s="58" t="s">
        <v>1</v>
      </c>
      <c r="AA593" s="58" t="s">
        <v>341</v>
      </c>
      <c r="AB593" s="58" t="s">
        <v>225</v>
      </c>
      <c r="AC593" s="58" t="s">
        <v>228</v>
      </c>
      <c r="AD593" s="58" t="s">
        <v>230</v>
      </c>
      <c r="AE593" s="58" t="s">
        <v>232</v>
      </c>
      <c r="AF593" s="1">
        <f t="shared" si="63"/>
        <v>1</v>
      </c>
      <c r="AG593" s="1">
        <f t="shared" si="64"/>
        <v>0</v>
      </c>
      <c r="AH593" s="1">
        <f t="shared" si="65"/>
        <v>0</v>
      </c>
    </row>
    <row r="594" spans="19:34">
      <c r="S594" s="17">
        <v>1</v>
      </c>
      <c r="T594" s="18"/>
      <c r="U594" s="17">
        <v>1</v>
      </c>
      <c r="V594" s="17" t="s">
        <v>27</v>
      </c>
      <c r="W594" s="18">
        <v>4</v>
      </c>
      <c r="X594" s="18" t="s">
        <v>342</v>
      </c>
      <c r="Y594" s="18">
        <f t="shared" ref="Y594:Y608" si="67">IF(W594="","",4-W594)</f>
        <v>0</v>
      </c>
      <c r="Z594" s="17" t="s">
        <v>111</v>
      </c>
      <c r="AA594" s="17">
        <v>2</v>
      </c>
      <c r="AB594" s="17" t="s">
        <v>191</v>
      </c>
      <c r="AC594" s="17" t="s">
        <v>185</v>
      </c>
      <c r="AD594" s="17" t="s">
        <v>206</v>
      </c>
      <c r="AE594" s="17" t="s">
        <v>202</v>
      </c>
      <c r="AF594" s="1">
        <f t="shared" si="63"/>
        <v>1</v>
      </c>
      <c r="AG594" s="1">
        <f t="shared" si="64"/>
        <v>0</v>
      </c>
      <c r="AH594" s="1">
        <f t="shared" si="65"/>
        <v>0</v>
      </c>
    </row>
    <row r="595" spans="19:34">
      <c r="S595" s="17">
        <v>2</v>
      </c>
      <c r="T595" s="18"/>
      <c r="U595" s="17">
        <v>1</v>
      </c>
      <c r="V595" s="17" t="s">
        <v>27</v>
      </c>
      <c r="W595" s="18">
        <v>4</v>
      </c>
      <c r="X595" s="18" t="s">
        <v>342</v>
      </c>
      <c r="Y595" s="18">
        <f t="shared" si="67"/>
        <v>0</v>
      </c>
      <c r="Z595" s="17" t="s">
        <v>61</v>
      </c>
      <c r="AA595" s="17">
        <v>2</v>
      </c>
      <c r="AB595" s="17" t="s">
        <v>180</v>
      </c>
      <c r="AC595" s="17" t="s">
        <v>172</v>
      </c>
      <c r="AD595" s="17" t="s">
        <v>200</v>
      </c>
      <c r="AE595" s="17" t="s">
        <v>198</v>
      </c>
      <c r="AF595" s="1">
        <f t="shared" si="63"/>
        <v>1</v>
      </c>
      <c r="AG595" s="1">
        <f t="shared" si="64"/>
        <v>0</v>
      </c>
      <c r="AH595" s="1">
        <f t="shared" si="65"/>
        <v>0</v>
      </c>
    </row>
    <row r="596" spans="19:34">
      <c r="S596" s="17">
        <v>3</v>
      </c>
      <c r="T596" s="18"/>
      <c r="U596" s="17">
        <v>2</v>
      </c>
      <c r="V596" s="17" t="s">
        <v>27</v>
      </c>
      <c r="W596" s="18">
        <v>1</v>
      </c>
      <c r="X596" s="18" t="s">
        <v>342</v>
      </c>
      <c r="Y596" s="18">
        <f t="shared" si="67"/>
        <v>3</v>
      </c>
      <c r="Z596" s="17" t="s">
        <v>125</v>
      </c>
      <c r="AA596" s="17">
        <v>1</v>
      </c>
      <c r="AB596" s="17" t="s">
        <v>176</v>
      </c>
      <c r="AC596" s="17" t="s">
        <v>183</v>
      </c>
      <c r="AD596" s="17" t="s">
        <v>204</v>
      </c>
      <c r="AE596" s="17" t="s">
        <v>212</v>
      </c>
      <c r="AF596" s="1">
        <f t="shared" si="63"/>
        <v>0</v>
      </c>
      <c r="AG596" s="1">
        <f t="shared" si="64"/>
        <v>0</v>
      </c>
      <c r="AH596" s="1">
        <f t="shared" si="65"/>
        <v>1</v>
      </c>
    </row>
    <row r="597" spans="19:34">
      <c r="S597" s="17">
        <v>4</v>
      </c>
      <c r="T597" s="18"/>
      <c r="U597" s="17">
        <v>1</v>
      </c>
      <c r="V597" s="17" t="s">
        <v>27</v>
      </c>
      <c r="W597" s="18">
        <v>2</v>
      </c>
      <c r="X597" s="18" t="s">
        <v>342</v>
      </c>
      <c r="Y597" s="18">
        <f t="shared" si="67"/>
        <v>2</v>
      </c>
      <c r="Z597" s="17" t="s">
        <v>31</v>
      </c>
      <c r="AA597" s="17">
        <v>2</v>
      </c>
      <c r="AB597" s="17" t="s">
        <v>196</v>
      </c>
      <c r="AC597" s="17" t="s">
        <v>193</v>
      </c>
      <c r="AD597" s="17" t="s">
        <v>208</v>
      </c>
      <c r="AE597" s="17" t="s">
        <v>164</v>
      </c>
      <c r="AF597" s="1">
        <f t="shared" si="63"/>
        <v>0</v>
      </c>
      <c r="AG597" s="1">
        <f t="shared" si="64"/>
        <v>1</v>
      </c>
      <c r="AH597" s="1">
        <f t="shared" si="65"/>
        <v>0</v>
      </c>
    </row>
    <row r="598" spans="19:34">
      <c r="S598" s="17">
        <v>5</v>
      </c>
      <c r="T598" s="18"/>
      <c r="U598" s="17">
        <v>2</v>
      </c>
      <c r="V598" s="17" t="s">
        <v>27</v>
      </c>
      <c r="W598" s="18">
        <v>4</v>
      </c>
      <c r="X598" s="18" t="s">
        <v>342</v>
      </c>
      <c r="Y598" s="18">
        <f t="shared" si="67"/>
        <v>0</v>
      </c>
      <c r="Z598" s="17" t="s">
        <v>65</v>
      </c>
      <c r="AA598" s="17">
        <v>1</v>
      </c>
      <c r="AB598" s="17" t="s">
        <v>214</v>
      </c>
      <c r="AC598" s="17" t="s">
        <v>210</v>
      </c>
      <c r="AD598" s="17" t="s">
        <v>187</v>
      </c>
      <c r="AE598" s="17" t="s">
        <v>189</v>
      </c>
      <c r="AF598" s="1">
        <f t="shared" si="63"/>
        <v>1</v>
      </c>
      <c r="AG598" s="1">
        <f t="shared" si="64"/>
        <v>0</v>
      </c>
      <c r="AH598" s="1">
        <f t="shared" si="65"/>
        <v>0</v>
      </c>
    </row>
    <row r="599" spans="19:34">
      <c r="S599" s="17">
        <v>6</v>
      </c>
      <c r="T599" s="18"/>
      <c r="U599" s="17">
        <v>2</v>
      </c>
      <c r="V599" s="17" t="s">
        <v>27</v>
      </c>
      <c r="W599" s="18">
        <v>4</v>
      </c>
      <c r="X599" s="18" t="s">
        <v>342</v>
      </c>
      <c r="Y599" s="18">
        <f t="shared" si="67"/>
        <v>0</v>
      </c>
      <c r="Z599" s="17" t="s">
        <v>378</v>
      </c>
      <c r="AA599" s="17">
        <v>1</v>
      </c>
      <c r="AB599" s="17" t="s">
        <v>204</v>
      </c>
      <c r="AC599" s="17" t="s">
        <v>210</v>
      </c>
      <c r="AD599" s="17" t="s">
        <v>180</v>
      </c>
      <c r="AE599" s="17" t="s">
        <v>189</v>
      </c>
      <c r="AF599" s="1">
        <f t="shared" si="63"/>
        <v>1</v>
      </c>
      <c r="AG599" s="1">
        <f t="shared" si="64"/>
        <v>0</v>
      </c>
      <c r="AH599" s="1">
        <f t="shared" si="65"/>
        <v>0</v>
      </c>
    </row>
    <row r="600" spans="19:34">
      <c r="S600" s="17">
        <v>7</v>
      </c>
      <c r="T600" s="18"/>
      <c r="U600" s="17">
        <v>2</v>
      </c>
      <c r="V600" s="17" t="s">
        <v>27</v>
      </c>
      <c r="W600" s="18">
        <v>4</v>
      </c>
      <c r="X600" s="18" t="s">
        <v>342</v>
      </c>
      <c r="Y600" s="18">
        <f t="shared" si="67"/>
        <v>0</v>
      </c>
      <c r="Z600" s="17" t="s">
        <v>75</v>
      </c>
      <c r="AA600" s="17">
        <v>1</v>
      </c>
      <c r="AB600" s="17" t="s">
        <v>187</v>
      </c>
      <c r="AC600" s="17" t="s">
        <v>206</v>
      </c>
      <c r="AD600" s="17" t="s">
        <v>183</v>
      </c>
      <c r="AE600" s="17" t="s">
        <v>196</v>
      </c>
      <c r="AF600" s="1">
        <f t="shared" si="63"/>
        <v>1</v>
      </c>
      <c r="AG600" s="1">
        <f t="shared" si="64"/>
        <v>0</v>
      </c>
      <c r="AH600" s="1">
        <f t="shared" si="65"/>
        <v>0</v>
      </c>
    </row>
    <row r="601" spans="19:34">
      <c r="S601" s="17">
        <v>8</v>
      </c>
      <c r="T601" s="18"/>
      <c r="U601" s="17">
        <v>1</v>
      </c>
      <c r="V601" s="17" t="s">
        <v>27</v>
      </c>
      <c r="W601" s="18">
        <v>4</v>
      </c>
      <c r="X601" s="18" t="s">
        <v>342</v>
      </c>
      <c r="Y601" s="18">
        <f t="shared" si="67"/>
        <v>0</v>
      </c>
      <c r="Z601" s="17" t="s">
        <v>14</v>
      </c>
      <c r="AA601" s="17">
        <v>2</v>
      </c>
      <c r="AB601" s="17" t="s">
        <v>200</v>
      </c>
      <c r="AC601" s="17" t="s">
        <v>198</v>
      </c>
      <c r="AD601" s="17" t="s">
        <v>212</v>
      </c>
      <c r="AE601" s="17" t="s">
        <v>185</v>
      </c>
      <c r="AF601" s="1">
        <f t="shared" si="63"/>
        <v>1</v>
      </c>
      <c r="AG601" s="1">
        <f t="shared" si="64"/>
        <v>0</v>
      </c>
      <c r="AH601" s="1">
        <f t="shared" si="65"/>
        <v>0</v>
      </c>
    </row>
    <row r="602" spans="19:34">
      <c r="S602" s="17">
        <v>9</v>
      </c>
      <c r="T602" s="18"/>
      <c r="U602" s="17">
        <v>1</v>
      </c>
      <c r="V602" s="17" t="s">
        <v>27</v>
      </c>
      <c r="W602" s="18">
        <v>2</v>
      </c>
      <c r="X602" s="18" t="s">
        <v>342</v>
      </c>
      <c r="Y602" s="18">
        <f t="shared" si="67"/>
        <v>2</v>
      </c>
      <c r="Z602" s="17" t="s">
        <v>39</v>
      </c>
      <c r="AA602" s="17">
        <v>2</v>
      </c>
      <c r="AB602" s="17" t="s">
        <v>202</v>
      </c>
      <c r="AC602" s="17" t="s">
        <v>164</v>
      </c>
      <c r="AD602" s="17" t="s">
        <v>191</v>
      </c>
      <c r="AE602" s="17" t="s">
        <v>176</v>
      </c>
      <c r="AF602" s="1">
        <f t="shared" si="63"/>
        <v>0</v>
      </c>
      <c r="AG602" s="1">
        <f t="shared" si="64"/>
        <v>1</v>
      </c>
      <c r="AH602" s="1">
        <f t="shared" si="65"/>
        <v>0</v>
      </c>
    </row>
    <row r="603" spans="19:34">
      <c r="S603" s="17">
        <v>10</v>
      </c>
      <c r="T603" s="18"/>
      <c r="U603" s="17">
        <v>1</v>
      </c>
      <c r="V603" s="17" t="s">
        <v>27</v>
      </c>
      <c r="W603" s="18">
        <v>2</v>
      </c>
      <c r="X603" s="18" t="s">
        <v>342</v>
      </c>
      <c r="Y603" s="18">
        <f t="shared" si="67"/>
        <v>2</v>
      </c>
      <c r="Z603" s="17" t="s">
        <v>83</v>
      </c>
      <c r="AA603" s="17">
        <v>2</v>
      </c>
      <c r="AB603" s="17" t="s">
        <v>172</v>
      </c>
      <c r="AC603" s="17" t="s">
        <v>208</v>
      </c>
      <c r="AD603" s="17" t="s">
        <v>214</v>
      </c>
      <c r="AE603" s="17" t="s">
        <v>193</v>
      </c>
      <c r="AF603" s="1">
        <f t="shared" si="63"/>
        <v>0</v>
      </c>
      <c r="AG603" s="1">
        <f t="shared" si="64"/>
        <v>1</v>
      </c>
      <c r="AH603" s="1">
        <f t="shared" si="65"/>
        <v>0</v>
      </c>
    </row>
    <row r="604" spans="19:34">
      <c r="S604" s="17">
        <v>11</v>
      </c>
      <c r="T604" s="18"/>
      <c r="U604" s="17">
        <v>1</v>
      </c>
      <c r="V604" s="17" t="s">
        <v>27</v>
      </c>
      <c r="W604" s="18">
        <v>0</v>
      </c>
      <c r="X604" s="18" t="s">
        <v>342</v>
      </c>
      <c r="Y604" s="18">
        <f t="shared" si="67"/>
        <v>4</v>
      </c>
      <c r="Z604" s="17" t="s">
        <v>81</v>
      </c>
      <c r="AA604" s="17">
        <v>2</v>
      </c>
      <c r="AB604" s="17" t="s">
        <v>193</v>
      </c>
      <c r="AC604" s="17" t="s">
        <v>206</v>
      </c>
      <c r="AD604" s="17" t="s">
        <v>172</v>
      </c>
      <c r="AE604" s="17" t="s">
        <v>210</v>
      </c>
      <c r="AF604" s="1">
        <f t="shared" si="63"/>
        <v>0</v>
      </c>
      <c r="AG604" s="1">
        <f t="shared" si="64"/>
        <v>0</v>
      </c>
      <c r="AH604" s="1">
        <f t="shared" si="65"/>
        <v>1</v>
      </c>
    </row>
    <row r="605" spans="19:34">
      <c r="S605" s="17">
        <v>12</v>
      </c>
      <c r="T605" s="18"/>
      <c r="U605" s="17">
        <v>1</v>
      </c>
      <c r="V605" s="17" t="s">
        <v>27</v>
      </c>
      <c r="W605" s="18">
        <v>0</v>
      </c>
      <c r="X605" s="18" t="s">
        <v>342</v>
      </c>
      <c r="Y605" s="18">
        <f t="shared" si="67"/>
        <v>4</v>
      </c>
      <c r="Z605" s="17" t="s">
        <v>123</v>
      </c>
      <c r="AA605" s="17">
        <v>2</v>
      </c>
      <c r="AB605" s="17" t="s">
        <v>214</v>
      </c>
      <c r="AC605" s="17" t="s">
        <v>180</v>
      </c>
      <c r="AD605" s="17" t="s">
        <v>176</v>
      </c>
      <c r="AE605" s="17" t="s">
        <v>202</v>
      </c>
      <c r="AF605" s="1">
        <f t="shared" si="63"/>
        <v>0</v>
      </c>
      <c r="AG605" s="1">
        <f t="shared" si="64"/>
        <v>0</v>
      </c>
      <c r="AH605" s="1">
        <f t="shared" si="65"/>
        <v>1</v>
      </c>
    </row>
    <row r="606" spans="19:34">
      <c r="S606" s="17">
        <v>13</v>
      </c>
      <c r="T606" s="18"/>
      <c r="U606" s="17">
        <v>1</v>
      </c>
      <c r="V606" s="17" t="s">
        <v>27</v>
      </c>
      <c r="W606" s="18">
        <v>2</v>
      </c>
      <c r="X606" s="18" t="s">
        <v>342</v>
      </c>
      <c r="Y606" s="18">
        <f t="shared" si="67"/>
        <v>2</v>
      </c>
      <c r="Z606" s="17" t="s">
        <v>107</v>
      </c>
      <c r="AA606" s="17">
        <v>2</v>
      </c>
      <c r="AB606" s="17" t="s">
        <v>183</v>
      </c>
      <c r="AC606" s="17" t="s">
        <v>208</v>
      </c>
      <c r="AD606" s="17" t="s">
        <v>189</v>
      </c>
      <c r="AE606" s="17" t="s">
        <v>196</v>
      </c>
      <c r="AF606" s="1">
        <f t="shared" si="63"/>
        <v>0</v>
      </c>
      <c r="AG606" s="1">
        <f t="shared" si="64"/>
        <v>1</v>
      </c>
      <c r="AH606" s="1">
        <f t="shared" si="65"/>
        <v>0</v>
      </c>
    </row>
    <row r="607" spans="19:34">
      <c r="S607" s="17">
        <v>14</v>
      </c>
      <c r="T607" s="18"/>
      <c r="U607" s="17">
        <v>1</v>
      </c>
      <c r="V607" s="17" t="s">
        <v>27</v>
      </c>
      <c r="W607" s="18">
        <v>4</v>
      </c>
      <c r="X607" s="18" t="s">
        <v>342</v>
      </c>
      <c r="Y607" s="18">
        <f t="shared" si="67"/>
        <v>0</v>
      </c>
      <c r="Z607" s="17" t="s">
        <v>99</v>
      </c>
      <c r="AA607" s="17">
        <v>2</v>
      </c>
      <c r="AB607" s="17" t="s">
        <v>204</v>
      </c>
      <c r="AC607" s="17" t="s">
        <v>185</v>
      </c>
      <c r="AD607" s="17" t="s">
        <v>164</v>
      </c>
      <c r="AE607" s="17" t="s">
        <v>187</v>
      </c>
      <c r="AF607" s="1">
        <f t="shared" si="63"/>
        <v>1</v>
      </c>
      <c r="AG607" s="1">
        <f t="shared" si="64"/>
        <v>0</v>
      </c>
      <c r="AH607" s="1">
        <f t="shared" si="65"/>
        <v>0</v>
      </c>
    </row>
    <row r="608" spans="19:34">
      <c r="S608" s="17">
        <v>15</v>
      </c>
      <c r="T608" s="18"/>
      <c r="U608" s="17">
        <v>1</v>
      </c>
      <c r="V608" s="17" t="s">
        <v>27</v>
      </c>
      <c r="W608" s="18">
        <v>2</v>
      </c>
      <c r="X608" s="18" t="s">
        <v>342</v>
      </c>
      <c r="Y608" s="18">
        <f t="shared" si="67"/>
        <v>2</v>
      </c>
      <c r="Z608" s="17" t="s">
        <v>49</v>
      </c>
      <c r="AA608" s="17">
        <v>2</v>
      </c>
      <c r="AB608" s="17" t="s">
        <v>198</v>
      </c>
      <c r="AC608" s="17" t="s">
        <v>212</v>
      </c>
      <c r="AD608" s="17" t="s">
        <v>200</v>
      </c>
      <c r="AE608" s="17" t="s">
        <v>191</v>
      </c>
      <c r="AF608" s="1">
        <f t="shared" si="63"/>
        <v>0</v>
      </c>
      <c r="AG608" s="1">
        <f t="shared" si="64"/>
        <v>1</v>
      </c>
      <c r="AH608" s="1">
        <f t="shared" si="65"/>
        <v>0</v>
      </c>
    </row>
    <row r="609" spans="19:34">
      <c r="S609" s="58" t="s">
        <v>339</v>
      </c>
      <c r="T609" s="58" t="s">
        <v>340</v>
      </c>
      <c r="U609" s="58" t="s">
        <v>341</v>
      </c>
      <c r="V609" s="58" t="s">
        <v>1</v>
      </c>
      <c r="W609" s="66" t="s">
        <v>220</v>
      </c>
      <c r="X609" s="66"/>
      <c r="Y609" s="66"/>
      <c r="Z609" s="58" t="s">
        <v>1</v>
      </c>
      <c r="AA609" s="58" t="s">
        <v>341</v>
      </c>
      <c r="AB609" s="58" t="s">
        <v>225</v>
      </c>
      <c r="AC609" s="58" t="s">
        <v>228</v>
      </c>
      <c r="AD609" s="58" t="s">
        <v>230</v>
      </c>
      <c r="AE609" s="58" t="s">
        <v>232</v>
      </c>
      <c r="AF609" s="1">
        <f t="shared" si="63"/>
        <v>1</v>
      </c>
      <c r="AG609" s="1">
        <f t="shared" si="64"/>
        <v>0</v>
      </c>
      <c r="AH609" s="1">
        <f t="shared" si="65"/>
        <v>0</v>
      </c>
    </row>
    <row r="610" spans="19:34">
      <c r="S610" s="17">
        <v>1</v>
      </c>
      <c r="T610" s="18"/>
      <c r="U610" s="17">
        <v>1</v>
      </c>
      <c r="V610" s="17" t="s">
        <v>107</v>
      </c>
      <c r="W610" s="18">
        <v>4</v>
      </c>
      <c r="X610" s="18" t="s">
        <v>342</v>
      </c>
      <c r="Y610" s="18">
        <f t="shared" ref="Y610:Y624" si="68">IF(W610="","",4-W610)</f>
        <v>0</v>
      </c>
      <c r="Z610" s="17" t="s">
        <v>31</v>
      </c>
      <c r="AA610" s="17">
        <v>2</v>
      </c>
      <c r="AB610" s="17" t="s">
        <v>191</v>
      </c>
      <c r="AC610" s="17" t="s">
        <v>185</v>
      </c>
      <c r="AD610" s="17" t="s">
        <v>206</v>
      </c>
      <c r="AE610" s="17" t="s">
        <v>202</v>
      </c>
      <c r="AF610" s="1">
        <f t="shared" si="63"/>
        <v>1</v>
      </c>
      <c r="AG610" s="1">
        <f t="shared" si="64"/>
        <v>0</v>
      </c>
      <c r="AH610" s="1">
        <f t="shared" si="65"/>
        <v>0</v>
      </c>
    </row>
    <row r="611" spans="19:34">
      <c r="S611" s="17">
        <v>2</v>
      </c>
      <c r="T611" s="18"/>
      <c r="U611" s="17">
        <v>1</v>
      </c>
      <c r="V611" s="17" t="s">
        <v>107</v>
      </c>
      <c r="W611" s="18">
        <v>4</v>
      </c>
      <c r="X611" s="18" t="s">
        <v>342</v>
      </c>
      <c r="Y611" s="18">
        <f t="shared" si="68"/>
        <v>0</v>
      </c>
      <c r="Z611" s="17" t="s">
        <v>125</v>
      </c>
      <c r="AA611" s="17">
        <v>2</v>
      </c>
      <c r="AB611" s="17" t="s">
        <v>180</v>
      </c>
      <c r="AC611" s="17" t="s">
        <v>172</v>
      </c>
      <c r="AD611" s="17" t="s">
        <v>200</v>
      </c>
      <c r="AE611" s="17" t="s">
        <v>198</v>
      </c>
      <c r="AF611" s="1">
        <f t="shared" si="63"/>
        <v>1</v>
      </c>
      <c r="AG611" s="1">
        <f t="shared" si="64"/>
        <v>0</v>
      </c>
      <c r="AH611" s="1">
        <f t="shared" si="65"/>
        <v>0</v>
      </c>
    </row>
    <row r="612" spans="19:34">
      <c r="S612" s="17">
        <v>3</v>
      </c>
      <c r="T612" s="18"/>
      <c r="U612" s="17">
        <v>1</v>
      </c>
      <c r="V612" s="17" t="s">
        <v>107</v>
      </c>
      <c r="W612" s="18">
        <v>4</v>
      </c>
      <c r="X612" s="18" t="s">
        <v>342</v>
      </c>
      <c r="Y612" s="18">
        <f t="shared" si="68"/>
        <v>0</v>
      </c>
      <c r="Z612" s="17" t="s">
        <v>61</v>
      </c>
      <c r="AA612" s="17">
        <v>2</v>
      </c>
      <c r="AB612" s="17" t="s">
        <v>176</v>
      </c>
      <c r="AC612" s="17" t="s">
        <v>183</v>
      </c>
      <c r="AD612" s="17" t="s">
        <v>204</v>
      </c>
      <c r="AE612" s="17" t="s">
        <v>212</v>
      </c>
      <c r="AF612" s="1">
        <f t="shared" si="63"/>
        <v>1</v>
      </c>
      <c r="AG612" s="1">
        <f t="shared" si="64"/>
        <v>0</v>
      </c>
      <c r="AH612" s="1">
        <f t="shared" si="65"/>
        <v>0</v>
      </c>
    </row>
    <row r="613" spans="19:34">
      <c r="S613" s="17">
        <v>4</v>
      </c>
      <c r="T613" s="18"/>
      <c r="U613" s="17">
        <v>1</v>
      </c>
      <c r="V613" s="17" t="s">
        <v>107</v>
      </c>
      <c r="W613" s="18">
        <v>1</v>
      </c>
      <c r="X613" s="18" t="s">
        <v>342</v>
      </c>
      <c r="Y613" s="18">
        <f t="shared" si="68"/>
        <v>3</v>
      </c>
      <c r="Z613" s="17" t="s">
        <v>111</v>
      </c>
      <c r="AA613" s="17">
        <v>2</v>
      </c>
      <c r="AB613" s="17" t="s">
        <v>196</v>
      </c>
      <c r="AC613" s="17" t="s">
        <v>193</v>
      </c>
      <c r="AD613" s="17" t="s">
        <v>208</v>
      </c>
      <c r="AE613" s="17" t="s">
        <v>164</v>
      </c>
      <c r="AF613" s="1">
        <f t="shared" si="63"/>
        <v>0</v>
      </c>
      <c r="AG613" s="1">
        <f t="shared" si="64"/>
        <v>0</v>
      </c>
      <c r="AH613" s="1">
        <f t="shared" si="65"/>
        <v>1</v>
      </c>
    </row>
    <row r="614" spans="19:34">
      <c r="S614" s="17">
        <v>5</v>
      </c>
      <c r="T614" s="18"/>
      <c r="U614" s="17">
        <v>2</v>
      </c>
      <c r="V614" s="17" t="s">
        <v>107</v>
      </c>
      <c r="W614" s="18">
        <v>4</v>
      </c>
      <c r="X614" s="18" t="s">
        <v>342</v>
      </c>
      <c r="Y614" s="18">
        <f t="shared" si="68"/>
        <v>0</v>
      </c>
      <c r="Z614" s="17" t="s">
        <v>14</v>
      </c>
      <c r="AA614" s="17">
        <v>1</v>
      </c>
      <c r="AB614" s="17" t="s">
        <v>214</v>
      </c>
      <c r="AC614" s="17" t="s">
        <v>210</v>
      </c>
      <c r="AD614" s="17" t="s">
        <v>187</v>
      </c>
      <c r="AE614" s="17" t="s">
        <v>189</v>
      </c>
      <c r="AF614" s="1">
        <f t="shared" si="63"/>
        <v>1</v>
      </c>
      <c r="AG614" s="1">
        <f t="shared" si="64"/>
        <v>0</v>
      </c>
      <c r="AH614" s="1">
        <f t="shared" si="65"/>
        <v>0</v>
      </c>
    </row>
    <row r="615" spans="19:34">
      <c r="S615" s="17">
        <v>6</v>
      </c>
      <c r="T615" s="18"/>
      <c r="U615" s="17">
        <v>2</v>
      </c>
      <c r="V615" s="17" t="s">
        <v>107</v>
      </c>
      <c r="W615" s="18">
        <v>4</v>
      </c>
      <c r="X615" s="18" t="s">
        <v>342</v>
      </c>
      <c r="Y615" s="18">
        <f t="shared" si="68"/>
        <v>0</v>
      </c>
      <c r="Z615" s="17" t="s">
        <v>75</v>
      </c>
      <c r="AA615" s="17">
        <v>1</v>
      </c>
      <c r="AB615" s="17" t="s">
        <v>204</v>
      </c>
      <c r="AC615" s="17" t="s">
        <v>210</v>
      </c>
      <c r="AD615" s="17" t="s">
        <v>180</v>
      </c>
      <c r="AE615" s="17" t="s">
        <v>189</v>
      </c>
      <c r="AF615" s="1">
        <f t="shared" si="63"/>
        <v>1</v>
      </c>
      <c r="AG615" s="1">
        <f t="shared" si="64"/>
        <v>0</v>
      </c>
      <c r="AH615" s="1">
        <f t="shared" si="65"/>
        <v>0</v>
      </c>
    </row>
    <row r="616" spans="19:34">
      <c r="S616" s="17">
        <v>7</v>
      </c>
      <c r="T616" s="18"/>
      <c r="U616" s="17">
        <v>1</v>
      </c>
      <c r="V616" s="17" t="s">
        <v>107</v>
      </c>
      <c r="W616" s="18">
        <v>4</v>
      </c>
      <c r="X616" s="18" t="s">
        <v>342</v>
      </c>
      <c r="Y616" s="18">
        <f t="shared" si="68"/>
        <v>0</v>
      </c>
      <c r="Z616" s="17" t="s">
        <v>378</v>
      </c>
      <c r="AA616" s="17">
        <v>2</v>
      </c>
      <c r="AB616" s="17" t="s">
        <v>187</v>
      </c>
      <c r="AC616" s="17" t="s">
        <v>206</v>
      </c>
      <c r="AD616" s="17" t="s">
        <v>183</v>
      </c>
      <c r="AE616" s="17" t="s">
        <v>196</v>
      </c>
      <c r="AF616" s="1">
        <f t="shared" si="63"/>
        <v>1</v>
      </c>
      <c r="AG616" s="1">
        <f t="shared" si="64"/>
        <v>0</v>
      </c>
      <c r="AH616" s="1">
        <f t="shared" si="65"/>
        <v>0</v>
      </c>
    </row>
    <row r="617" spans="19:34">
      <c r="S617" s="17">
        <v>8</v>
      </c>
      <c r="T617" s="18"/>
      <c r="U617" s="17">
        <v>2</v>
      </c>
      <c r="V617" s="17" t="s">
        <v>107</v>
      </c>
      <c r="W617" s="18">
        <v>4</v>
      </c>
      <c r="X617" s="18" t="s">
        <v>342</v>
      </c>
      <c r="Y617" s="18">
        <f t="shared" si="68"/>
        <v>0</v>
      </c>
      <c r="Z617" s="17" t="s">
        <v>65</v>
      </c>
      <c r="AA617" s="17">
        <v>1</v>
      </c>
      <c r="AB617" s="17" t="s">
        <v>200</v>
      </c>
      <c r="AC617" s="17" t="s">
        <v>198</v>
      </c>
      <c r="AD617" s="17" t="s">
        <v>212</v>
      </c>
      <c r="AE617" s="17" t="s">
        <v>185</v>
      </c>
      <c r="AF617" s="1">
        <f t="shared" si="63"/>
        <v>1</v>
      </c>
      <c r="AG617" s="1">
        <f t="shared" si="64"/>
        <v>0</v>
      </c>
      <c r="AH617" s="1">
        <f t="shared" si="65"/>
        <v>0</v>
      </c>
    </row>
    <row r="618" spans="19:34">
      <c r="S618" s="17">
        <v>9</v>
      </c>
      <c r="T618" s="18"/>
      <c r="U618" s="17">
        <v>1</v>
      </c>
      <c r="V618" s="17" t="s">
        <v>107</v>
      </c>
      <c r="W618" s="18">
        <v>1</v>
      </c>
      <c r="X618" s="18" t="s">
        <v>342</v>
      </c>
      <c r="Y618" s="18">
        <f t="shared" si="68"/>
        <v>3</v>
      </c>
      <c r="Z618" s="17" t="s">
        <v>123</v>
      </c>
      <c r="AA618" s="17">
        <v>2</v>
      </c>
      <c r="AB618" s="17" t="s">
        <v>202</v>
      </c>
      <c r="AC618" s="17" t="s">
        <v>164</v>
      </c>
      <c r="AD618" s="17" t="s">
        <v>191</v>
      </c>
      <c r="AE618" s="17" t="s">
        <v>176</v>
      </c>
      <c r="AF618" s="1">
        <f t="shared" si="63"/>
        <v>0</v>
      </c>
      <c r="AG618" s="1">
        <f t="shared" si="64"/>
        <v>0</v>
      </c>
      <c r="AH618" s="1">
        <f t="shared" si="65"/>
        <v>1</v>
      </c>
    </row>
    <row r="619" spans="19:34">
      <c r="S619" s="17">
        <v>10</v>
      </c>
      <c r="T619" s="18"/>
      <c r="U619" s="17">
        <v>1</v>
      </c>
      <c r="V619" s="17" t="s">
        <v>107</v>
      </c>
      <c r="W619" s="18">
        <v>0</v>
      </c>
      <c r="X619" s="18" t="s">
        <v>342</v>
      </c>
      <c r="Y619" s="18">
        <f t="shared" si="68"/>
        <v>4</v>
      </c>
      <c r="Z619" s="17" t="s">
        <v>81</v>
      </c>
      <c r="AA619" s="17">
        <v>2</v>
      </c>
      <c r="AB619" s="17" t="s">
        <v>172</v>
      </c>
      <c r="AC619" s="17" t="s">
        <v>208</v>
      </c>
      <c r="AD619" s="17" t="s">
        <v>214</v>
      </c>
      <c r="AE619" s="17" t="s">
        <v>193</v>
      </c>
      <c r="AF619" s="1">
        <f t="shared" si="63"/>
        <v>0</v>
      </c>
      <c r="AG619" s="1">
        <f t="shared" si="64"/>
        <v>0</v>
      </c>
      <c r="AH619" s="1">
        <f t="shared" si="65"/>
        <v>1</v>
      </c>
    </row>
    <row r="620" spans="19:34">
      <c r="S620" s="17">
        <v>11</v>
      </c>
      <c r="T620" s="18"/>
      <c r="U620" s="17">
        <v>2</v>
      </c>
      <c r="V620" s="17" t="s">
        <v>107</v>
      </c>
      <c r="W620" s="18">
        <v>0</v>
      </c>
      <c r="X620" s="18" t="s">
        <v>342</v>
      </c>
      <c r="Y620" s="18">
        <f t="shared" si="68"/>
        <v>4</v>
      </c>
      <c r="Z620" s="17" t="s">
        <v>83</v>
      </c>
      <c r="AA620" s="17">
        <v>1</v>
      </c>
      <c r="AB620" s="17" t="s">
        <v>193</v>
      </c>
      <c r="AC620" s="17" t="s">
        <v>206</v>
      </c>
      <c r="AD620" s="17" t="s">
        <v>172</v>
      </c>
      <c r="AE620" s="17" t="s">
        <v>210</v>
      </c>
      <c r="AF620" s="1">
        <f t="shared" si="63"/>
        <v>0</v>
      </c>
      <c r="AG620" s="1">
        <f t="shared" si="64"/>
        <v>0</v>
      </c>
      <c r="AH620" s="1">
        <f t="shared" si="65"/>
        <v>1</v>
      </c>
    </row>
    <row r="621" spans="19:34">
      <c r="S621" s="17">
        <v>12</v>
      </c>
      <c r="T621" s="18"/>
      <c r="U621" s="17">
        <v>1</v>
      </c>
      <c r="V621" s="17" t="s">
        <v>107</v>
      </c>
      <c r="W621" s="18">
        <v>2</v>
      </c>
      <c r="X621" s="18" t="s">
        <v>342</v>
      </c>
      <c r="Y621" s="18">
        <f t="shared" si="68"/>
        <v>2</v>
      </c>
      <c r="Z621" s="17" t="s">
        <v>39</v>
      </c>
      <c r="AA621" s="17">
        <v>2</v>
      </c>
      <c r="AB621" s="17" t="s">
        <v>214</v>
      </c>
      <c r="AC621" s="17" t="s">
        <v>180</v>
      </c>
      <c r="AD621" s="17" t="s">
        <v>176</v>
      </c>
      <c r="AE621" s="17" t="s">
        <v>202</v>
      </c>
      <c r="AF621" s="1">
        <f t="shared" si="63"/>
        <v>0</v>
      </c>
      <c r="AG621" s="1">
        <f t="shared" si="64"/>
        <v>1</v>
      </c>
      <c r="AH621" s="1">
        <f t="shared" si="65"/>
        <v>0</v>
      </c>
    </row>
    <row r="622" spans="19:34">
      <c r="S622" s="17">
        <v>13</v>
      </c>
      <c r="T622" s="18"/>
      <c r="U622" s="17">
        <v>2</v>
      </c>
      <c r="V622" s="17" t="s">
        <v>107</v>
      </c>
      <c r="W622" s="18">
        <v>2</v>
      </c>
      <c r="X622" s="18" t="s">
        <v>342</v>
      </c>
      <c r="Y622" s="18">
        <f t="shared" si="68"/>
        <v>2</v>
      </c>
      <c r="Z622" s="17" t="s">
        <v>27</v>
      </c>
      <c r="AA622" s="17">
        <v>1</v>
      </c>
      <c r="AB622" s="17" t="s">
        <v>183</v>
      </c>
      <c r="AC622" s="17" t="s">
        <v>208</v>
      </c>
      <c r="AD622" s="17" t="s">
        <v>189</v>
      </c>
      <c r="AE622" s="17" t="s">
        <v>196</v>
      </c>
      <c r="AF622" s="1">
        <f t="shared" si="63"/>
        <v>0</v>
      </c>
      <c r="AG622" s="1">
        <f t="shared" si="64"/>
        <v>1</v>
      </c>
      <c r="AH622" s="1">
        <f t="shared" si="65"/>
        <v>0</v>
      </c>
    </row>
    <row r="623" spans="19:34">
      <c r="S623" s="17">
        <v>14</v>
      </c>
      <c r="T623" s="18"/>
      <c r="U623" s="17">
        <v>1</v>
      </c>
      <c r="V623" s="17" t="s">
        <v>107</v>
      </c>
      <c r="W623" s="18">
        <v>1</v>
      </c>
      <c r="X623" s="18" t="s">
        <v>342</v>
      </c>
      <c r="Y623" s="18">
        <f t="shared" si="68"/>
        <v>3</v>
      </c>
      <c r="Z623" s="17" t="s">
        <v>49</v>
      </c>
      <c r="AA623" s="17">
        <v>2</v>
      </c>
      <c r="AB623" s="17" t="s">
        <v>204</v>
      </c>
      <c r="AC623" s="17" t="s">
        <v>185</v>
      </c>
      <c r="AD623" s="17" t="s">
        <v>164</v>
      </c>
      <c r="AE623" s="17" t="s">
        <v>187</v>
      </c>
      <c r="AF623" s="1">
        <f t="shared" si="63"/>
        <v>0</v>
      </c>
      <c r="AG623" s="1">
        <f t="shared" si="64"/>
        <v>0</v>
      </c>
      <c r="AH623" s="1">
        <f t="shared" si="65"/>
        <v>1</v>
      </c>
    </row>
    <row r="624" spans="19:34">
      <c r="S624" s="17">
        <v>15</v>
      </c>
      <c r="T624" s="18"/>
      <c r="U624" s="17">
        <v>2</v>
      </c>
      <c r="V624" s="17" t="s">
        <v>107</v>
      </c>
      <c r="W624" s="18">
        <v>3</v>
      </c>
      <c r="X624" s="18" t="s">
        <v>342</v>
      </c>
      <c r="Y624" s="18">
        <f t="shared" si="68"/>
        <v>1</v>
      </c>
      <c r="Z624" s="17" t="s">
        <v>99</v>
      </c>
      <c r="AA624" s="17">
        <v>1</v>
      </c>
      <c r="AB624" s="17" t="s">
        <v>198</v>
      </c>
      <c r="AC624" s="17" t="s">
        <v>212</v>
      </c>
      <c r="AD624" s="17" t="s">
        <v>200</v>
      </c>
      <c r="AE624" s="17" t="s">
        <v>191</v>
      </c>
      <c r="AF624" s="1">
        <f t="shared" si="63"/>
        <v>1</v>
      </c>
      <c r="AG624" s="1">
        <f t="shared" si="64"/>
        <v>0</v>
      </c>
      <c r="AH624" s="1">
        <f t="shared" si="65"/>
        <v>0</v>
      </c>
    </row>
    <row r="625" spans="19:34">
      <c r="S625" s="58" t="s">
        <v>339</v>
      </c>
      <c r="T625" s="58" t="s">
        <v>340</v>
      </c>
      <c r="U625" s="58" t="s">
        <v>341</v>
      </c>
      <c r="V625" s="58" t="s">
        <v>1</v>
      </c>
      <c r="W625" s="66" t="s">
        <v>220</v>
      </c>
      <c r="X625" s="66"/>
      <c r="Y625" s="66"/>
      <c r="Z625" s="58" t="s">
        <v>1</v>
      </c>
      <c r="AA625" s="58" t="s">
        <v>341</v>
      </c>
      <c r="AB625" s="58" t="s">
        <v>225</v>
      </c>
      <c r="AC625" s="58" t="s">
        <v>228</v>
      </c>
      <c r="AD625" s="58" t="s">
        <v>230</v>
      </c>
      <c r="AE625" s="58" t="s">
        <v>232</v>
      </c>
      <c r="AF625" s="1">
        <f t="shared" si="63"/>
        <v>1</v>
      </c>
      <c r="AG625" s="1">
        <f t="shared" si="64"/>
        <v>0</v>
      </c>
      <c r="AH625" s="1">
        <f t="shared" si="65"/>
        <v>0</v>
      </c>
    </row>
    <row r="626" spans="19:34">
      <c r="S626" s="17">
        <v>1</v>
      </c>
      <c r="T626" s="18"/>
      <c r="U626" s="17">
        <v>1</v>
      </c>
      <c r="V626" s="17" t="s">
        <v>99</v>
      </c>
      <c r="W626" s="18">
        <v>2</v>
      </c>
      <c r="X626" s="18" t="s">
        <v>342</v>
      </c>
      <c r="Y626" s="18">
        <f t="shared" ref="Y626:Y640" si="69">IF(W626="","",4-W626)</f>
        <v>2</v>
      </c>
      <c r="Z626" s="17" t="s">
        <v>125</v>
      </c>
      <c r="AA626" s="17">
        <v>2</v>
      </c>
      <c r="AB626" s="17" t="s">
        <v>191</v>
      </c>
      <c r="AC626" s="17" t="s">
        <v>185</v>
      </c>
      <c r="AD626" s="17" t="s">
        <v>206</v>
      </c>
      <c r="AE626" s="17" t="s">
        <v>202</v>
      </c>
      <c r="AF626" s="1">
        <f t="shared" si="63"/>
        <v>0</v>
      </c>
      <c r="AG626" s="1">
        <f t="shared" si="64"/>
        <v>1</v>
      </c>
      <c r="AH626" s="1">
        <f t="shared" si="65"/>
        <v>0</v>
      </c>
    </row>
    <row r="627" spans="19:34">
      <c r="S627" s="17">
        <v>2</v>
      </c>
      <c r="T627" s="18"/>
      <c r="U627" s="17">
        <v>1</v>
      </c>
      <c r="V627" s="17" t="s">
        <v>99</v>
      </c>
      <c r="W627" s="18">
        <v>1</v>
      </c>
      <c r="X627" s="18" t="s">
        <v>342</v>
      </c>
      <c r="Y627" s="18">
        <f t="shared" si="69"/>
        <v>3</v>
      </c>
      <c r="Z627" s="17" t="s">
        <v>31</v>
      </c>
      <c r="AA627" s="17">
        <v>2</v>
      </c>
      <c r="AB627" s="17" t="s">
        <v>180</v>
      </c>
      <c r="AC627" s="17" t="s">
        <v>172</v>
      </c>
      <c r="AD627" s="17" t="s">
        <v>200</v>
      </c>
      <c r="AE627" s="17" t="s">
        <v>198</v>
      </c>
      <c r="AF627" s="1">
        <f t="shared" si="63"/>
        <v>0</v>
      </c>
      <c r="AG627" s="1">
        <f t="shared" si="64"/>
        <v>0</v>
      </c>
      <c r="AH627" s="1">
        <f t="shared" si="65"/>
        <v>1</v>
      </c>
    </row>
    <row r="628" spans="19:34">
      <c r="S628" s="17">
        <v>3</v>
      </c>
      <c r="T628" s="18"/>
      <c r="U628" s="17">
        <v>1</v>
      </c>
      <c r="V628" s="17" t="s">
        <v>99</v>
      </c>
      <c r="W628" s="18">
        <v>3</v>
      </c>
      <c r="X628" s="18" t="s">
        <v>342</v>
      </c>
      <c r="Y628" s="18">
        <f t="shared" si="69"/>
        <v>1</v>
      </c>
      <c r="Z628" s="17" t="s">
        <v>111</v>
      </c>
      <c r="AA628" s="17">
        <v>2</v>
      </c>
      <c r="AB628" s="17" t="s">
        <v>176</v>
      </c>
      <c r="AC628" s="17" t="s">
        <v>183</v>
      </c>
      <c r="AD628" s="17" t="s">
        <v>204</v>
      </c>
      <c r="AE628" s="17" t="s">
        <v>212</v>
      </c>
      <c r="AF628" s="1">
        <f t="shared" si="63"/>
        <v>1</v>
      </c>
      <c r="AG628" s="1">
        <f t="shared" si="64"/>
        <v>0</v>
      </c>
      <c r="AH628" s="1">
        <f t="shared" si="65"/>
        <v>0</v>
      </c>
    </row>
    <row r="629" spans="19:34">
      <c r="S629" s="17">
        <v>4</v>
      </c>
      <c r="T629" s="18"/>
      <c r="U629" s="17">
        <v>1</v>
      </c>
      <c r="V629" s="17" t="s">
        <v>99</v>
      </c>
      <c r="W629" s="18">
        <v>4</v>
      </c>
      <c r="X629" s="18" t="s">
        <v>342</v>
      </c>
      <c r="Y629" s="18">
        <f t="shared" si="69"/>
        <v>0</v>
      </c>
      <c r="Z629" s="17" t="s">
        <v>61</v>
      </c>
      <c r="AA629" s="17">
        <v>2</v>
      </c>
      <c r="AB629" s="17" t="s">
        <v>196</v>
      </c>
      <c r="AC629" s="17" t="s">
        <v>193</v>
      </c>
      <c r="AD629" s="17" t="s">
        <v>208</v>
      </c>
      <c r="AE629" s="17" t="s">
        <v>164</v>
      </c>
      <c r="AF629" s="1">
        <f t="shared" si="63"/>
        <v>1</v>
      </c>
      <c r="AG629" s="1">
        <f t="shared" si="64"/>
        <v>0</v>
      </c>
      <c r="AH629" s="1">
        <f t="shared" si="65"/>
        <v>0</v>
      </c>
    </row>
    <row r="630" spans="19:34">
      <c r="S630" s="17">
        <v>5</v>
      </c>
      <c r="T630" s="18"/>
      <c r="U630" s="17">
        <v>2</v>
      </c>
      <c r="V630" s="17" t="s">
        <v>99</v>
      </c>
      <c r="W630" s="18">
        <v>4</v>
      </c>
      <c r="X630" s="18" t="s">
        <v>342</v>
      </c>
      <c r="Y630" s="18">
        <f t="shared" si="69"/>
        <v>0</v>
      </c>
      <c r="Z630" s="17" t="s">
        <v>75</v>
      </c>
      <c r="AA630" s="17">
        <v>1</v>
      </c>
      <c r="AB630" s="17" t="s">
        <v>214</v>
      </c>
      <c r="AC630" s="17" t="s">
        <v>210</v>
      </c>
      <c r="AD630" s="17" t="s">
        <v>187</v>
      </c>
      <c r="AE630" s="17" t="s">
        <v>189</v>
      </c>
      <c r="AF630" s="1">
        <f t="shared" si="63"/>
        <v>1</v>
      </c>
      <c r="AG630" s="1">
        <f t="shared" si="64"/>
        <v>0</v>
      </c>
      <c r="AH630" s="1">
        <f t="shared" si="65"/>
        <v>0</v>
      </c>
    </row>
    <row r="631" spans="19:34">
      <c r="S631" s="17">
        <v>6</v>
      </c>
      <c r="T631" s="18"/>
      <c r="U631" s="17">
        <v>1</v>
      </c>
      <c r="V631" s="17" t="s">
        <v>99</v>
      </c>
      <c r="W631" s="18">
        <v>4</v>
      </c>
      <c r="X631" s="18" t="s">
        <v>342</v>
      </c>
      <c r="Y631" s="18">
        <f t="shared" si="69"/>
        <v>0</v>
      </c>
      <c r="Z631" s="17" t="s">
        <v>14</v>
      </c>
      <c r="AA631" s="17">
        <v>2</v>
      </c>
      <c r="AB631" s="17" t="s">
        <v>204</v>
      </c>
      <c r="AC631" s="17" t="s">
        <v>210</v>
      </c>
      <c r="AD631" s="17" t="s">
        <v>180</v>
      </c>
      <c r="AE631" s="17" t="s">
        <v>189</v>
      </c>
      <c r="AF631" s="1">
        <f t="shared" si="63"/>
        <v>1</v>
      </c>
      <c r="AG631" s="1">
        <f t="shared" si="64"/>
        <v>0</v>
      </c>
      <c r="AH631" s="1">
        <f t="shared" si="65"/>
        <v>0</v>
      </c>
    </row>
    <row r="632" spans="19:34">
      <c r="S632" s="17">
        <v>7</v>
      </c>
      <c r="T632" s="18"/>
      <c r="U632" s="17">
        <v>2</v>
      </c>
      <c r="V632" s="17" t="s">
        <v>99</v>
      </c>
      <c r="W632" s="18">
        <v>3</v>
      </c>
      <c r="X632" s="18" t="s">
        <v>342</v>
      </c>
      <c r="Y632" s="18">
        <f t="shared" si="69"/>
        <v>1</v>
      </c>
      <c r="Z632" s="17" t="s">
        <v>65</v>
      </c>
      <c r="AA632" s="17">
        <v>1</v>
      </c>
      <c r="AB632" s="17" t="s">
        <v>187</v>
      </c>
      <c r="AC632" s="17" t="s">
        <v>206</v>
      </c>
      <c r="AD632" s="17" t="s">
        <v>183</v>
      </c>
      <c r="AE632" s="17" t="s">
        <v>196</v>
      </c>
      <c r="AF632" s="1">
        <f t="shared" si="63"/>
        <v>1</v>
      </c>
      <c r="AG632" s="1">
        <f t="shared" si="64"/>
        <v>0</v>
      </c>
      <c r="AH632" s="1">
        <f t="shared" si="65"/>
        <v>0</v>
      </c>
    </row>
    <row r="633" spans="19:34">
      <c r="S633" s="17">
        <v>8</v>
      </c>
      <c r="T633" s="18"/>
      <c r="U633" s="17">
        <v>1</v>
      </c>
      <c r="V633" s="17" t="s">
        <v>99</v>
      </c>
      <c r="W633" s="18">
        <v>4</v>
      </c>
      <c r="X633" s="18" t="s">
        <v>342</v>
      </c>
      <c r="Y633" s="18">
        <f t="shared" si="69"/>
        <v>0</v>
      </c>
      <c r="Z633" s="17" t="s">
        <v>378</v>
      </c>
      <c r="AA633" s="17">
        <v>2</v>
      </c>
      <c r="AB633" s="17" t="s">
        <v>200</v>
      </c>
      <c r="AC633" s="17" t="s">
        <v>198</v>
      </c>
      <c r="AD633" s="17" t="s">
        <v>212</v>
      </c>
      <c r="AE633" s="17" t="s">
        <v>185</v>
      </c>
      <c r="AF633" s="1">
        <f t="shared" si="63"/>
        <v>1</v>
      </c>
      <c r="AG633" s="1">
        <f t="shared" si="64"/>
        <v>0</v>
      </c>
      <c r="AH633" s="1">
        <f t="shared" si="65"/>
        <v>0</v>
      </c>
    </row>
    <row r="634" spans="19:34">
      <c r="S634" s="17">
        <v>9</v>
      </c>
      <c r="T634" s="18"/>
      <c r="U634" s="17">
        <v>2</v>
      </c>
      <c r="V634" s="17" t="s">
        <v>99</v>
      </c>
      <c r="W634" s="18">
        <v>0</v>
      </c>
      <c r="X634" s="18" t="s">
        <v>342</v>
      </c>
      <c r="Y634" s="18">
        <f t="shared" si="69"/>
        <v>4</v>
      </c>
      <c r="Z634" s="17" t="s">
        <v>81</v>
      </c>
      <c r="AA634" s="17">
        <v>1</v>
      </c>
      <c r="AB634" s="17" t="s">
        <v>202</v>
      </c>
      <c r="AC634" s="17" t="s">
        <v>164</v>
      </c>
      <c r="AD634" s="17" t="s">
        <v>191</v>
      </c>
      <c r="AE634" s="17" t="s">
        <v>176</v>
      </c>
      <c r="AF634" s="1">
        <f t="shared" si="63"/>
        <v>0</v>
      </c>
      <c r="AG634" s="1">
        <f t="shared" si="64"/>
        <v>0</v>
      </c>
      <c r="AH634" s="1">
        <f t="shared" si="65"/>
        <v>1</v>
      </c>
    </row>
    <row r="635" spans="19:34">
      <c r="S635" s="17">
        <v>10</v>
      </c>
      <c r="T635" s="18"/>
      <c r="U635" s="17">
        <v>1</v>
      </c>
      <c r="V635" s="17" t="s">
        <v>99</v>
      </c>
      <c r="W635" s="18">
        <v>0</v>
      </c>
      <c r="X635" s="18" t="s">
        <v>342</v>
      </c>
      <c r="Y635" s="18">
        <f t="shared" si="69"/>
        <v>4</v>
      </c>
      <c r="Z635" s="17" t="s">
        <v>123</v>
      </c>
      <c r="AA635" s="17">
        <v>2</v>
      </c>
      <c r="AB635" s="17" t="s">
        <v>172</v>
      </c>
      <c r="AC635" s="17" t="s">
        <v>208</v>
      </c>
      <c r="AD635" s="17" t="s">
        <v>214</v>
      </c>
      <c r="AE635" s="17" t="s">
        <v>193</v>
      </c>
      <c r="AF635" s="1">
        <f t="shared" si="63"/>
        <v>0</v>
      </c>
      <c r="AG635" s="1">
        <f t="shared" si="64"/>
        <v>0</v>
      </c>
      <c r="AH635" s="1">
        <f t="shared" si="65"/>
        <v>1</v>
      </c>
    </row>
    <row r="636" spans="19:34">
      <c r="S636" s="17">
        <v>11</v>
      </c>
      <c r="T636" s="18"/>
      <c r="U636" s="17">
        <v>1</v>
      </c>
      <c r="V636" s="17" t="s">
        <v>99</v>
      </c>
      <c r="W636" s="18">
        <v>1</v>
      </c>
      <c r="X636" s="18" t="s">
        <v>342</v>
      </c>
      <c r="Y636" s="18">
        <f t="shared" si="69"/>
        <v>3</v>
      </c>
      <c r="Z636" s="17" t="s">
        <v>39</v>
      </c>
      <c r="AA636" s="17">
        <v>2</v>
      </c>
      <c r="AB636" s="17" t="s">
        <v>193</v>
      </c>
      <c r="AC636" s="17" t="s">
        <v>206</v>
      </c>
      <c r="AD636" s="17" t="s">
        <v>172</v>
      </c>
      <c r="AE636" s="17" t="s">
        <v>210</v>
      </c>
      <c r="AF636" s="1">
        <f t="shared" si="63"/>
        <v>0</v>
      </c>
      <c r="AG636" s="1">
        <f t="shared" si="64"/>
        <v>0</v>
      </c>
      <c r="AH636" s="1">
        <f t="shared" si="65"/>
        <v>1</v>
      </c>
    </row>
    <row r="637" spans="19:34">
      <c r="S637" s="17">
        <v>12</v>
      </c>
      <c r="T637" s="18"/>
      <c r="U637" s="17">
        <v>1</v>
      </c>
      <c r="V637" s="17" t="s">
        <v>99</v>
      </c>
      <c r="W637" s="18">
        <v>0</v>
      </c>
      <c r="X637" s="18" t="s">
        <v>342</v>
      </c>
      <c r="Y637" s="18">
        <f t="shared" si="69"/>
        <v>4</v>
      </c>
      <c r="Z637" s="17" t="s">
        <v>83</v>
      </c>
      <c r="AA637" s="17">
        <v>2</v>
      </c>
      <c r="AB637" s="17" t="s">
        <v>214</v>
      </c>
      <c r="AC637" s="17" t="s">
        <v>180</v>
      </c>
      <c r="AD637" s="17" t="s">
        <v>176</v>
      </c>
      <c r="AE637" s="17" t="s">
        <v>202</v>
      </c>
      <c r="AF637" s="1">
        <f t="shared" si="63"/>
        <v>0</v>
      </c>
      <c r="AG637" s="1">
        <f t="shared" si="64"/>
        <v>0</v>
      </c>
      <c r="AH637" s="1">
        <f t="shared" si="65"/>
        <v>1</v>
      </c>
    </row>
    <row r="638" spans="19:34">
      <c r="S638" s="17">
        <v>13</v>
      </c>
      <c r="T638" s="18"/>
      <c r="U638" s="17">
        <v>2</v>
      </c>
      <c r="V638" s="17" t="s">
        <v>99</v>
      </c>
      <c r="W638" s="18">
        <v>0</v>
      </c>
      <c r="X638" s="18" t="s">
        <v>342</v>
      </c>
      <c r="Y638" s="18">
        <f t="shared" si="69"/>
        <v>4</v>
      </c>
      <c r="Z638" s="17" t="s">
        <v>49</v>
      </c>
      <c r="AA638" s="17">
        <v>1</v>
      </c>
      <c r="AB638" s="17" t="s">
        <v>183</v>
      </c>
      <c r="AC638" s="17" t="s">
        <v>208</v>
      </c>
      <c r="AD638" s="17" t="s">
        <v>189</v>
      </c>
      <c r="AE638" s="17" t="s">
        <v>196</v>
      </c>
      <c r="AF638" s="1">
        <f t="shared" si="63"/>
        <v>0</v>
      </c>
      <c r="AG638" s="1">
        <f t="shared" si="64"/>
        <v>0</v>
      </c>
      <c r="AH638" s="1">
        <f t="shared" si="65"/>
        <v>1</v>
      </c>
    </row>
    <row r="639" spans="19:34">
      <c r="S639" s="17">
        <v>14</v>
      </c>
      <c r="T639" s="18"/>
      <c r="U639" s="17">
        <v>2</v>
      </c>
      <c r="V639" s="17" t="s">
        <v>99</v>
      </c>
      <c r="W639" s="18">
        <v>0</v>
      </c>
      <c r="X639" s="18" t="s">
        <v>342</v>
      </c>
      <c r="Y639" s="18">
        <f t="shared" si="69"/>
        <v>4</v>
      </c>
      <c r="Z639" s="17" t="s">
        <v>27</v>
      </c>
      <c r="AA639" s="17">
        <v>1</v>
      </c>
      <c r="AB639" s="17" t="s">
        <v>204</v>
      </c>
      <c r="AC639" s="17" t="s">
        <v>185</v>
      </c>
      <c r="AD639" s="17" t="s">
        <v>164</v>
      </c>
      <c r="AE639" s="17" t="s">
        <v>187</v>
      </c>
      <c r="AF639" s="1">
        <f t="shared" si="63"/>
        <v>0</v>
      </c>
      <c r="AG639" s="1">
        <f t="shared" si="64"/>
        <v>0</v>
      </c>
      <c r="AH639" s="1">
        <f t="shared" si="65"/>
        <v>1</v>
      </c>
    </row>
    <row r="640" spans="19:34">
      <c r="S640" s="17">
        <v>15</v>
      </c>
      <c r="T640" s="18"/>
      <c r="U640" s="17">
        <v>1</v>
      </c>
      <c r="V640" s="17" t="s">
        <v>99</v>
      </c>
      <c r="W640" s="18">
        <v>1</v>
      </c>
      <c r="X640" s="18" t="s">
        <v>342</v>
      </c>
      <c r="Y640" s="18">
        <f t="shared" si="69"/>
        <v>3</v>
      </c>
      <c r="Z640" s="17" t="s">
        <v>107</v>
      </c>
      <c r="AA640" s="17">
        <v>2</v>
      </c>
      <c r="AB640" s="17" t="s">
        <v>198</v>
      </c>
      <c r="AC640" s="17" t="s">
        <v>212</v>
      </c>
      <c r="AD640" s="17" t="s">
        <v>200</v>
      </c>
      <c r="AE640" s="17" t="s">
        <v>191</v>
      </c>
      <c r="AF640" s="1">
        <f t="shared" si="63"/>
        <v>0</v>
      </c>
      <c r="AG640" s="1">
        <f t="shared" si="64"/>
        <v>0</v>
      </c>
      <c r="AH640" s="1">
        <f t="shared" si="65"/>
        <v>1</v>
      </c>
    </row>
    <row r="641" spans="19:34">
      <c r="S641" s="58" t="s">
        <v>339</v>
      </c>
      <c r="T641" s="58" t="s">
        <v>340</v>
      </c>
      <c r="U641" s="58" t="s">
        <v>341</v>
      </c>
      <c r="V641" s="58" t="s">
        <v>1</v>
      </c>
      <c r="W641" s="66" t="s">
        <v>220</v>
      </c>
      <c r="X641" s="66"/>
      <c r="Y641" s="66"/>
      <c r="Z641" s="58" t="s">
        <v>1</v>
      </c>
      <c r="AA641" s="58" t="s">
        <v>341</v>
      </c>
      <c r="AB641" s="58" t="s">
        <v>225</v>
      </c>
      <c r="AC641" s="58" t="s">
        <v>228</v>
      </c>
      <c r="AD641" s="58" t="s">
        <v>230</v>
      </c>
      <c r="AE641" s="58" t="s">
        <v>232</v>
      </c>
      <c r="AF641" s="1">
        <f t="shared" ref="AF641:AF704" si="70">IF(W641="",0,IF(W641&gt;Y641,1,0))</f>
        <v>1</v>
      </c>
      <c r="AG641" s="1">
        <f t="shared" ref="AG641:AG704" si="71">IF(W641="",0,IF(W641=Y641,1,0))</f>
        <v>0</v>
      </c>
      <c r="AH641" s="1">
        <f t="shared" ref="AH641:AH704" si="72">IF(W641="",0,IF(W641&lt;Y641,1,0))</f>
        <v>0</v>
      </c>
    </row>
    <row r="642" spans="19:34">
      <c r="S642" s="17">
        <v>1</v>
      </c>
      <c r="T642" s="18"/>
      <c r="U642" s="17">
        <v>2</v>
      </c>
      <c r="V642" s="17" t="s">
        <v>125</v>
      </c>
      <c r="W642" s="18">
        <v>2</v>
      </c>
      <c r="X642" s="18" t="s">
        <v>342</v>
      </c>
      <c r="Y642" s="18">
        <f t="shared" ref="Y642:Y656" si="73">IF(W642="","",4-W642)</f>
        <v>2</v>
      </c>
      <c r="Z642" s="17" t="s">
        <v>99</v>
      </c>
      <c r="AA642" s="17">
        <v>1</v>
      </c>
      <c r="AB642" s="17" t="s">
        <v>191</v>
      </c>
      <c r="AC642" s="17" t="s">
        <v>185</v>
      </c>
      <c r="AD642" s="17" t="s">
        <v>206</v>
      </c>
      <c r="AE642" s="17" t="s">
        <v>202</v>
      </c>
      <c r="AF642" s="1">
        <f t="shared" si="70"/>
        <v>0</v>
      </c>
      <c r="AG642" s="1">
        <f t="shared" si="71"/>
        <v>1</v>
      </c>
      <c r="AH642" s="1">
        <f t="shared" si="72"/>
        <v>0</v>
      </c>
    </row>
    <row r="643" spans="19:34">
      <c r="S643" s="17">
        <v>2</v>
      </c>
      <c r="T643" s="18"/>
      <c r="U643" s="17">
        <v>2</v>
      </c>
      <c r="V643" s="17" t="s">
        <v>125</v>
      </c>
      <c r="W643" s="18">
        <v>0</v>
      </c>
      <c r="X643" s="18" t="s">
        <v>342</v>
      </c>
      <c r="Y643" s="18">
        <f t="shared" si="73"/>
        <v>4</v>
      </c>
      <c r="Z643" s="17" t="s">
        <v>107</v>
      </c>
      <c r="AA643" s="17">
        <v>1</v>
      </c>
      <c r="AB643" s="17" t="s">
        <v>180</v>
      </c>
      <c r="AC643" s="17" t="s">
        <v>172</v>
      </c>
      <c r="AD643" s="17" t="s">
        <v>200</v>
      </c>
      <c r="AE643" s="17" t="s">
        <v>198</v>
      </c>
      <c r="AF643" s="1">
        <f t="shared" si="70"/>
        <v>0</v>
      </c>
      <c r="AG643" s="1">
        <f t="shared" si="71"/>
        <v>0</v>
      </c>
      <c r="AH643" s="1">
        <f t="shared" si="72"/>
        <v>1</v>
      </c>
    </row>
    <row r="644" spans="19:34">
      <c r="S644" s="17">
        <v>3</v>
      </c>
      <c r="T644" s="18"/>
      <c r="U644" s="17">
        <v>1</v>
      </c>
      <c r="V644" s="17" t="s">
        <v>125</v>
      </c>
      <c r="W644" s="18">
        <v>3</v>
      </c>
      <c r="X644" s="18" t="s">
        <v>342</v>
      </c>
      <c r="Y644" s="18">
        <f t="shared" si="73"/>
        <v>1</v>
      </c>
      <c r="Z644" s="17" t="s">
        <v>27</v>
      </c>
      <c r="AA644" s="17">
        <v>2</v>
      </c>
      <c r="AB644" s="17" t="s">
        <v>176</v>
      </c>
      <c r="AC644" s="17" t="s">
        <v>183</v>
      </c>
      <c r="AD644" s="17" t="s">
        <v>204</v>
      </c>
      <c r="AE644" s="17" t="s">
        <v>212</v>
      </c>
      <c r="AF644" s="1">
        <f t="shared" si="70"/>
        <v>1</v>
      </c>
      <c r="AG644" s="1">
        <f t="shared" si="71"/>
        <v>0</v>
      </c>
      <c r="AH644" s="1">
        <f t="shared" si="72"/>
        <v>0</v>
      </c>
    </row>
    <row r="645" spans="19:34">
      <c r="S645" s="17">
        <v>4</v>
      </c>
      <c r="T645" s="18"/>
      <c r="U645" s="17">
        <v>2</v>
      </c>
      <c r="V645" s="17" t="s">
        <v>125</v>
      </c>
      <c r="W645" s="18">
        <v>3</v>
      </c>
      <c r="X645" s="18" t="s">
        <v>342</v>
      </c>
      <c r="Y645" s="18">
        <f t="shared" si="73"/>
        <v>1</v>
      </c>
      <c r="Z645" s="17" t="s">
        <v>49</v>
      </c>
      <c r="AA645" s="17">
        <v>1</v>
      </c>
      <c r="AB645" s="17" t="s">
        <v>196</v>
      </c>
      <c r="AC645" s="17" t="s">
        <v>193</v>
      </c>
      <c r="AD645" s="17" t="s">
        <v>208</v>
      </c>
      <c r="AE645" s="17" t="s">
        <v>164</v>
      </c>
      <c r="AF645" s="1">
        <f t="shared" si="70"/>
        <v>1</v>
      </c>
      <c r="AG645" s="1">
        <f t="shared" si="71"/>
        <v>0</v>
      </c>
      <c r="AH645" s="1">
        <f t="shared" si="72"/>
        <v>0</v>
      </c>
    </row>
    <row r="646" spans="19:34">
      <c r="S646" s="17">
        <v>5</v>
      </c>
      <c r="T646" s="18"/>
      <c r="U646" s="17">
        <v>1</v>
      </c>
      <c r="V646" s="17" t="s">
        <v>125</v>
      </c>
      <c r="W646" s="18">
        <v>1</v>
      </c>
      <c r="X646" s="18" t="s">
        <v>342</v>
      </c>
      <c r="Y646" s="18">
        <f t="shared" si="73"/>
        <v>3</v>
      </c>
      <c r="Z646" s="17" t="s">
        <v>83</v>
      </c>
      <c r="AA646" s="17">
        <v>2</v>
      </c>
      <c r="AB646" s="17" t="s">
        <v>214</v>
      </c>
      <c r="AC646" s="17" t="s">
        <v>210</v>
      </c>
      <c r="AD646" s="17" t="s">
        <v>187</v>
      </c>
      <c r="AE646" s="17" t="s">
        <v>189</v>
      </c>
      <c r="AF646" s="1">
        <f t="shared" si="70"/>
        <v>0</v>
      </c>
      <c r="AG646" s="1">
        <f t="shared" si="71"/>
        <v>0</v>
      </c>
      <c r="AH646" s="1">
        <f t="shared" si="72"/>
        <v>1</v>
      </c>
    </row>
    <row r="647" spans="19:34">
      <c r="S647" s="17">
        <v>6</v>
      </c>
      <c r="T647" s="18"/>
      <c r="U647" s="17">
        <v>1</v>
      </c>
      <c r="V647" s="17" t="s">
        <v>125</v>
      </c>
      <c r="W647" s="18">
        <v>0</v>
      </c>
      <c r="X647" s="18" t="s">
        <v>342</v>
      </c>
      <c r="Y647" s="18">
        <f t="shared" si="73"/>
        <v>4</v>
      </c>
      <c r="Z647" s="17" t="s">
        <v>39</v>
      </c>
      <c r="AA647" s="17">
        <v>2</v>
      </c>
      <c r="AB647" s="17" t="s">
        <v>204</v>
      </c>
      <c r="AC647" s="17" t="s">
        <v>210</v>
      </c>
      <c r="AD647" s="17" t="s">
        <v>180</v>
      </c>
      <c r="AE647" s="17" t="s">
        <v>189</v>
      </c>
      <c r="AF647" s="1">
        <f t="shared" si="70"/>
        <v>0</v>
      </c>
      <c r="AG647" s="1">
        <f t="shared" si="71"/>
        <v>0</v>
      </c>
      <c r="AH647" s="1">
        <f t="shared" si="72"/>
        <v>1</v>
      </c>
    </row>
    <row r="648" spans="19:34">
      <c r="S648" s="17">
        <v>7</v>
      </c>
      <c r="T648" s="18"/>
      <c r="U648" s="17">
        <v>2</v>
      </c>
      <c r="V648" s="17" t="s">
        <v>125</v>
      </c>
      <c r="W648" s="18">
        <v>0</v>
      </c>
      <c r="X648" s="18" t="s">
        <v>342</v>
      </c>
      <c r="Y648" s="18">
        <f t="shared" si="73"/>
        <v>4</v>
      </c>
      <c r="Z648" s="17" t="s">
        <v>123</v>
      </c>
      <c r="AA648" s="17">
        <v>1</v>
      </c>
      <c r="AB648" s="17" t="s">
        <v>187</v>
      </c>
      <c r="AC648" s="17" t="s">
        <v>206</v>
      </c>
      <c r="AD648" s="17" t="s">
        <v>183</v>
      </c>
      <c r="AE648" s="17" t="s">
        <v>196</v>
      </c>
      <c r="AF648" s="1">
        <f t="shared" si="70"/>
        <v>0</v>
      </c>
      <c r="AG648" s="1">
        <f t="shared" si="71"/>
        <v>0</v>
      </c>
      <c r="AH648" s="1">
        <f t="shared" si="72"/>
        <v>1</v>
      </c>
    </row>
    <row r="649" spans="19:34">
      <c r="S649" s="17">
        <v>8</v>
      </c>
      <c r="T649" s="18"/>
      <c r="U649" s="17">
        <v>2</v>
      </c>
      <c r="V649" s="17" t="s">
        <v>125</v>
      </c>
      <c r="W649" s="18">
        <v>0</v>
      </c>
      <c r="X649" s="18" t="s">
        <v>342</v>
      </c>
      <c r="Y649" s="18">
        <f t="shared" si="73"/>
        <v>4</v>
      </c>
      <c r="Z649" s="17" t="s">
        <v>81</v>
      </c>
      <c r="AA649" s="17">
        <v>1</v>
      </c>
      <c r="AB649" s="17" t="s">
        <v>200</v>
      </c>
      <c r="AC649" s="17" t="s">
        <v>198</v>
      </c>
      <c r="AD649" s="17" t="s">
        <v>212</v>
      </c>
      <c r="AE649" s="17" t="s">
        <v>185</v>
      </c>
      <c r="AF649" s="1">
        <f t="shared" si="70"/>
        <v>0</v>
      </c>
      <c r="AG649" s="1">
        <f t="shared" si="71"/>
        <v>0</v>
      </c>
      <c r="AH649" s="1">
        <f t="shared" si="72"/>
        <v>1</v>
      </c>
    </row>
    <row r="650" spans="19:34">
      <c r="S650" s="17">
        <v>9</v>
      </c>
      <c r="T650" s="18"/>
      <c r="U650" s="17">
        <v>1</v>
      </c>
      <c r="V650" s="17" t="s">
        <v>125</v>
      </c>
      <c r="W650" s="18">
        <v>4</v>
      </c>
      <c r="X650" s="18" t="s">
        <v>342</v>
      </c>
      <c r="Y650" s="18">
        <f t="shared" si="73"/>
        <v>0</v>
      </c>
      <c r="Z650" s="17" t="s">
        <v>378</v>
      </c>
      <c r="AA650" s="17">
        <v>2</v>
      </c>
      <c r="AB650" s="17" t="s">
        <v>202</v>
      </c>
      <c r="AC650" s="17" t="s">
        <v>164</v>
      </c>
      <c r="AD650" s="17" t="s">
        <v>191</v>
      </c>
      <c r="AE650" s="17" t="s">
        <v>176</v>
      </c>
      <c r="AF650" s="1">
        <f t="shared" si="70"/>
        <v>1</v>
      </c>
      <c r="AG650" s="1">
        <f t="shared" si="71"/>
        <v>0</v>
      </c>
      <c r="AH650" s="1">
        <f t="shared" si="72"/>
        <v>0</v>
      </c>
    </row>
    <row r="651" spans="19:34">
      <c r="S651" s="17">
        <v>10</v>
      </c>
      <c r="T651" s="18"/>
      <c r="U651" s="17">
        <v>2</v>
      </c>
      <c r="V651" s="17" t="s">
        <v>125</v>
      </c>
      <c r="W651" s="18">
        <v>4</v>
      </c>
      <c r="X651" s="18" t="s">
        <v>342</v>
      </c>
      <c r="Y651" s="18">
        <f t="shared" si="73"/>
        <v>0</v>
      </c>
      <c r="Z651" s="17" t="s">
        <v>65</v>
      </c>
      <c r="AA651" s="17">
        <v>1</v>
      </c>
      <c r="AB651" s="17" t="s">
        <v>172</v>
      </c>
      <c r="AC651" s="17" t="s">
        <v>208</v>
      </c>
      <c r="AD651" s="17" t="s">
        <v>214</v>
      </c>
      <c r="AE651" s="17" t="s">
        <v>193</v>
      </c>
      <c r="AF651" s="1">
        <f t="shared" si="70"/>
        <v>1</v>
      </c>
      <c r="AG651" s="1">
        <f t="shared" si="71"/>
        <v>0</v>
      </c>
      <c r="AH651" s="1">
        <f t="shared" si="72"/>
        <v>0</v>
      </c>
    </row>
    <row r="652" spans="19:34">
      <c r="S652" s="17">
        <v>11</v>
      </c>
      <c r="T652" s="18"/>
      <c r="U652" s="17">
        <v>2</v>
      </c>
      <c r="V652" s="17" t="s">
        <v>125</v>
      </c>
      <c r="W652" s="18">
        <v>4</v>
      </c>
      <c r="X652" s="18" t="s">
        <v>342</v>
      </c>
      <c r="Y652" s="18">
        <f t="shared" si="73"/>
        <v>0</v>
      </c>
      <c r="Z652" s="17" t="s">
        <v>14</v>
      </c>
      <c r="AA652" s="17">
        <v>1</v>
      </c>
      <c r="AB652" s="17" t="s">
        <v>193</v>
      </c>
      <c r="AC652" s="17" t="s">
        <v>206</v>
      </c>
      <c r="AD652" s="17" t="s">
        <v>172</v>
      </c>
      <c r="AE652" s="17" t="s">
        <v>210</v>
      </c>
      <c r="AF652" s="1">
        <f t="shared" si="70"/>
        <v>1</v>
      </c>
      <c r="AG652" s="1">
        <f t="shared" si="71"/>
        <v>0</v>
      </c>
      <c r="AH652" s="1">
        <f t="shared" si="72"/>
        <v>0</v>
      </c>
    </row>
    <row r="653" spans="19:34">
      <c r="S653" s="17">
        <v>12</v>
      </c>
      <c r="T653" s="18"/>
      <c r="U653" s="17">
        <v>2</v>
      </c>
      <c r="V653" s="17" t="s">
        <v>125</v>
      </c>
      <c r="W653" s="18">
        <v>4</v>
      </c>
      <c r="X653" s="18" t="s">
        <v>342</v>
      </c>
      <c r="Y653" s="18">
        <f t="shared" si="73"/>
        <v>0</v>
      </c>
      <c r="Z653" s="17" t="s">
        <v>75</v>
      </c>
      <c r="AA653" s="17">
        <v>1</v>
      </c>
      <c r="AB653" s="17" t="s">
        <v>214</v>
      </c>
      <c r="AC653" s="17" t="s">
        <v>180</v>
      </c>
      <c r="AD653" s="17" t="s">
        <v>176</v>
      </c>
      <c r="AE653" s="17" t="s">
        <v>202</v>
      </c>
      <c r="AF653" s="1">
        <f t="shared" si="70"/>
        <v>1</v>
      </c>
      <c r="AG653" s="1">
        <f t="shared" si="71"/>
        <v>0</v>
      </c>
      <c r="AH653" s="1">
        <f t="shared" si="72"/>
        <v>0</v>
      </c>
    </row>
    <row r="654" spans="19:34">
      <c r="S654" s="17">
        <v>13</v>
      </c>
      <c r="T654" s="18"/>
      <c r="U654" s="17">
        <v>2</v>
      </c>
      <c r="V654" s="17" t="s">
        <v>125</v>
      </c>
      <c r="W654" s="18">
        <v>4</v>
      </c>
      <c r="X654" s="18" t="s">
        <v>342</v>
      </c>
      <c r="Y654" s="18">
        <f t="shared" si="73"/>
        <v>0</v>
      </c>
      <c r="Z654" s="17" t="s">
        <v>61</v>
      </c>
      <c r="AA654" s="17">
        <v>1</v>
      </c>
      <c r="AB654" s="17" t="s">
        <v>183</v>
      </c>
      <c r="AC654" s="17" t="s">
        <v>208</v>
      </c>
      <c r="AD654" s="17" t="s">
        <v>189</v>
      </c>
      <c r="AE654" s="17" t="s">
        <v>196</v>
      </c>
      <c r="AF654" s="1">
        <f t="shared" si="70"/>
        <v>1</v>
      </c>
      <c r="AG654" s="1">
        <f t="shared" si="71"/>
        <v>0</v>
      </c>
      <c r="AH654" s="1">
        <f t="shared" si="72"/>
        <v>0</v>
      </c>
    </row>
    <row r="655" spans="19:34">
      <c r="S655" s="17">
        <v>14</v>
      </c>
      <c r="T655" s="18"/>
      <c r="U655" s="17">
        <v>2</v>
      </c>
      <c r="V655" s="17" t="s">
        <v>125</v>
      </c>
      <c r="W655" s="18">
        <v>4</v>
      </c>
      <c r="X655" s="18" t="s">
        <v>342</v>
      </c>
      <c r="Y655" s="18">
        <f t="shared" si="73"/>
        <v>0</v>
      </c>
      <c r="Z655" s="17" t="s">
        <v>111</v>
      </c>
      <c r="AA655" s="17">
        <v>1</v>
      </c>
      <c r="AB655" s="17" t="s">
        <v>204</v>
      </c>
      <c r="AC655" s="17" t="s">
        <v>185</v>
      </c>
      <c r="AD655" s="17" t="s">
        <v>164</v>
      </c>
      <c r="AE655" s="17" t="s">
        <v>187</v>
      </c>
      <c r="AF655" s="1">
        <f t="shared" si="70"/>
        <v>1</v>
      </c>
      <c r="AG655" s="1">
        <f t="shared" si="71"/>
        <v>0</v>
      </c>
      <c r="AH655" s="1">
        <f t="shared" si="72"/>
        <v>0</v>
      </c>
    </row>
    <row r="656" spans="19:34">
      <c r="S656" s="17">
        <v>15</v>
      </c>
      <c r="T656" s="18"/>
      <c r="U656" s="17">
        <v>2</v>
      </c>
      <c r="V656" s="17" t="s">
        <v>125</v>
      </c>
      <c r="W656" s="18">
        <v>3</v>
      </c>
      <c r="X656" s="18" t="s">
        <v>342</v>
      </c>
      <c r="Y656" s="18">
        <f t="shared" si="73"/>
        <v>1</v>
      </c>
      <c r="Z656" s="17" t="s">
        <v>31</v>
      </c>
      <c r="AA656" s="17">
        <v>1</v>
      </c>
      <c r="AB656" s="17" t="s">
        <v>198</v>
      </c>
      <c r="AC656" s="17" t="s">
        <v>212</v>
      </c>
      <c r="AD656" s="17" t="s">
        <v>200</v>
      </c>
      <c r="AE656" s="17" t="s">
        <v>191</v>
      </c>
      <c r="AF656" s="1">
        <f t="shared" si="70"/>
        <v>1</v>
      </c>
      <c r="AG656" s="1">
        <f t="shared" si="71"/>
        <v>0</v>
      </c>
      <c r="AH656" s="1">
        <f t="shared" si="72"/>
        <v>0</v>
      </c>
    </row>
    <row r="657" spans="19:34">
      <c r="S657" s="58" t="s">
        <v>339</v>
      </c>
      <c r="T657" s="58" t="s">
        <v>340</v>
      </c>
      <c r="U657" s="58" t="s">
        <v>341</v>
      </c>
      <c r="V657" s="58" t="s">
        <v>1</v>
      </c>
      <c r="W657" s="66" t="s">
        <v>220</v>
      </c>
      <c r="X657" s="66"/>
      <c r="Y657" s="66"/>
      <c r="Z657" s="58" t="s">
        <v>1</v>
      </c>
      <c r="AA657" s="58" t="s">
        <v>341</v>
      </c>
      <c r="AB657" s="58" t="s">
        <v>225</v>
      </c>
      <c r="AC657" s="58" t="s">
        <v>228</v>
      </c>
      <c r="AD657" s="58" t="s">
        <v>230</v>
      </c>
      <c r="AE657" s="58" t="s">
        <v>232</v>
      </c>
      <c r="AF657" s="1">
        <f t="shared" si="70"/>
        <v>1</v>
      </c>
      <c r="AG657" s="1">
        <f t="shared" si="71"/>
        <v>0</v>
      </c>
      <c r="AH657" s="1">
        <f t="shared" si="72"/>
        <v>0</v>
      </c>
    </row>
    <row r="658" spans="19:34">
      <c r="S658" s="17">
        <v>1</v>
      </c>
      <c r="T658" s="18"/>
      <c r="U658" s="17">
        <v>2</v>
      </c>
      <c r="V658" s="17" t="s">
        <v>31</v>
      </c>
      <c r="W658" s="18">
        <v>0</v>
      </c>
      <c r="X658" s="18" t="s">
        <v>342</v>
      </c>
      <c r="Y658" s="18">
        <f t="shared" ref="Y658:Y672" si="74">IF(W658="","",4-W658)</f>
        <v>4</v>
      </c>
      <c r="Z658" s="17" t="s">
        <v>107</v>
      </c>
      <c r="AA658" s="17">
        <v>1</v>
      </c>
      <c r="AB658" s="17" t="s">
        <v>191</v>
      </c>
      <c r="AC658" s="17" t="s">
        <v>185</v>
      </c>
      <c r="AD658" s="17" t="s">
        <v>206</v>
      </c>
      <c r="AE658" s="17" t="s">
        <v>202</v>
      </c>
      <c r="AF658" s="1">
        <f t="shared" si="70"/>
        <v>0</v>
      </c>
      <c r="AG658" s="1">
        <f t="shared" si="71"/>
        <v>0</v>
      </c>
      <c r="AH658" s="1">
        <f t="shared" si="72"/>
        <v>1</v>
      </c>
    </row>
    <row r="659" spans="19:34">
      <c r="S659" s="17">
        <v>2</v>
      </c>
      <c r="T659" s="18"/>
      <c r="U659" s="17">
        <v>2</v>
      </c>
      <c r="V659" s="17" t="s">
        <v>31</v>
      </c>
      <c r="W659" s="18">
        <v>3</v>
      </c>
      <c r="X659" s="18" t="s">
        <v>342</v>
      </c>
      <c r="Y659" s="18">
        <f t="shared" si="74"/>
        <v>1</v>
      </c>
      <c r="Z659" s="17" t="s">
        <v>99</v>
      </c>
      <c r="AA659" s="17">
        <v>1</v>
      </c>
      <c r="AB659" s="17" t="s">
        <v>180</v>
      </c>
      <c r="AC659" s="17" t="s">
        <v>172</v>
      </c>
      <c r="AD659" s="17" t="s">
        <v>200</v>
      </c>
      <c r="AE659" s="17" t="s">
        <v>198</v>
      </c>
      <c r="AF659" s="1">
        <f t="shared" si="70"/>
        <v>1</v>
      </c>
      <c r="AG659" s="1">
        <f t="shared" si="71"/>
        <v>0</v>
      </c>
      <c r="AH659" s="1">
        <f t="shared" si="72"/>
        <v>0</v>
      </c>
    </row>
    <row r="660" spans="19:34">
      <c r="S660" s="17">
        <v>3</v>
      </c>
      <c r="T660" s="18"/>
      <c r="U660" s="17">
        <v>1</v>
      </c>
      <c r="V660" s="17" t="s">
        <v>31</v>
      </c>
      <c r="W660" s="18">
        <v>1</v>
      </c>
      <c r="X660" s="18" t="s">
        <v>342</v>
      </c>
      <c r="Y660" s="18">
        <f t="shared" si="74"/>
        <v>3</v>
      </c>
      <c r="Z660" s="17" t="s">
        <v>49</v>
      </c>
      <c r="AA660" s="17">
        <v>2</v>
      </c>
      <c r="AB660" s="17" t="s">
        <v>176</v>
      </c>
      <c r="AC660" s="17" t="s">
        <v>183</v>
      </c>
      <c r="AD660" s="17" t="s">
        <v>204</v>
      </c>
      <c r="AE660" s="17" t="s">
        <v>212</v>
      </c>
      <c r="AF660" s="1">
        <f t="shared" si="70"/>
        <v>0</v>
      </c>
      <c r="AG660" s="1">
        <f t="shared" si="71"/>
        <v>0</v>
      </c>
      <c r="AH660" s="1">
        <f t="shared" si="72"/>
        <v>1</v>
      </c>
    </row>
    <row r="661" spans="19:34">
      <c r="S661" s="17">
        <v>4</v>
      </c>
      <c r="T661" s="18"/>
      <c r="U661" s="17">
        <v>2</v>
      </c>
      <c r="V661" s="17" t="s">
        <v>31</v>
      </c>
      <c r="W661" s="18">
        <v>2</v>
      </c>
      <c r="X661" s="18" t="s">
        <v>342</v>
      </c>
      <c r="Y661" s="18">
        <f t="shared" si="74"/>
        <v>2</v>
      </c>
      <c r="Z661" s="17" t="s">
        <v>27</v>
      </c>
      <c r="AA661" s="17">
        <v>1</v>
      </c>
      <c r="AB661" s="17" t="s">
        <v>196</v>
      </c>
      <c r="AC661" s="17" t="s">
        <v>193</v>
      </c>
      <c r="AD661" s="17" t="s">
        <v>208</v>
      </c>
      <c r="AE661" s="17" t="s">
        <v>164</v>
      </c>
      <c r="AF661" s="1">
        <f t="shared" si="70"/>
        <v>0</v>
      </c>
      <c r="AG661" s="1">
        <f t="shared" si="71"/>
        <v>1</v>
      </c>
      <c r="AH661" s="1">
        <f t="shared" si="72"/>
        <v>0</v>
      </c>
    </row>
    <row r="662" spans="19:34">
      <c r="S662" s="17">
        <v>5</v>
      </c>
      <c r="T662" s="18"/>
      <c r="U662" s="17">
        <v>2</v>
      </c>
      <c r="V662" s="17" t="s">
        <v>31</v>
      </c>
      <c r="W662" s="18">
        <v>0</v>
      </c>
      <c r="X662" s="18" t="s">
        <v>342</v>
      </c>
      <c r="Y662" s="18">
        <f t="shared" si="74"/>
        <v>4</v>
      </c>
      <c r="Z662" s="17" t="s">
        <v>39</v>
      </c>
      <c r="AA662" s="17">
        <v>1</v>
      </c>
      <c r="AB662" s="17" t="s">
        <v>214</v>
      </c>
      <c r="AC662" s="17" t="s">
        <v>210</v>
      </c>
      <c r="AD662" s="17" t="s">
        <v>187</v>
      </c>
      <c r="AE662" s="17" t="s">
        <v>189</v>
      </c>
      <c r="AF662" s="1">
        <f t="shared" si="70"/>
        <v>0</v>
      </c>
      <c r="AG662" s="1">
        <f t="shared" si="71"/>
        <v>0</v>
      </c>
      <c r="AH662" s="1">
        <f t="shared" si="72"/>
        <v>1</v>
      </c>
    </row>
    <row r="663" spans="19:34">
      <c r="S663" s="17">
        <v>6</v>
      </c>
      <c r="T663" s="18"/>
      <c r="U663" s="17">
        <v>1</v>
      </c>
      <c r="V663" s="17" t="s">
        <v>31</v>
      </c>
      <c r="W663" s="18">
        <v>0</v>
      </c>
      <c r="X663" s="18" t="s">
        <v>342</v>
      </c>
      <c r="Y663" s="18">
        <f t="shared" si="74"/>
        <v>4</v>
      </c>
      <c r="Z663" s="17" t="s">
        <v>83</v>
      </c>
      <c r="AA663" s="17">
        <v>2</v>
      </c>
      <c r="AB663" s="17" t="s">
        <v>204</v>
      </c>
      <c r="AC663" s="17" t="s">
        <v>210</v>
      </c>
      <c r="AD663" s="17" t="s">
        <v>180</v>
      </c>
      <c r="AE663" s="17" t="s">
        <v>189</v>
      </c>
      <c r="AF663" s="1">
        <f t="shared" si="70"/>
        <v>0</v>
      </c>
      <c r="AG663" s="1">
        <f t="shared" si="71"/>
        <v>0</v>
      </c>
      <c r="AH663" s="1">
        <f t="shared" si="72"/>
        <v>1</v>
      </c>
    </row>
    <row r="664" spans="19:34">
      <c r="S664" s="17">
        <v>7</v>
      </c>
      <c r="T664" s="18"/>
      <c r="U664" s="17">
        <v>2</v>
      </c>
      <c r="V664" s="17" t="s">
        <v>31</v>
      </c>
      <c r="W664" s="18">
        <v>0</v>
      </c>
      <c r="X664" s="18" t="s">
        <v>342</v>
      </c>
      <c r="Y664" s="18">
        <f t="shared" si="74"/>
        <v>4</v>
      </c>
      <c r="Z664" s="17" t="s">
        <v>81</v>
      </c>
      <c r="AA664" s="17">
        <v>1</v>
      </c>
      <c r="AB664" s="17" t="s">
        <v>187</v>
      </c>
      <c r="AC664" s="17" t="s">
        <v>206</v>
      </c>
      <c r="AD664" s="17" t="s">
        <v>183</v>
      </c>
      <c r="AE664" s="17" t="s">
        <v>196</v>
      </c>
      <c r="AF664" s="1">
        <f t="shared" si="70"/>
        <v>0</v>
      </c>
      <c r="AG664" s="1">
        <f t="shared" si="71"/>
        <v>0</v>
      </c>
      <c r="AH664" s="1">
        <f t="shared" si="72"/>
        <v>1</v>
      </c>
    </row>
    <row r="665" spans="19:34">
      <c r="S665" s="17">
        <v>8</v>
      </c>
      <c r="T665" s="18"/>
      <c r="U665" s="17">
        <v>2</v>
      </c>
      <c r="V665" s="17" t="s">
        <v>31</v>
      </c>
      <c r="W665" s="18">
        <v>0</v>
      </c>
      <c r="X665" s="18" t="s">
        <v>342</v>
      </c>
      <c r="Y665" s="18">
        <f t="shared" si="74"/>
        <v>4</v>
      </c>
      <c r="Z665" s="17" t="s">
        <v>123</v>
      </c>
      <c r="AA665" s="17">
        <v>1</v>
      </c>
      <c r="AB665" s="17" t="s">
        <v>200</v>
      </c>
      <c r="AC665" s="17" t="s">
        <v>198</v>
      </c>
      <c r="AD665" s="17" t="s">
        <v>212</v>
      </c>
      <c r="AE665" s="17" t="s">
        <v>185</v>
      </c>
      <c r="AF665" s="1">
        <f t="shared" si="70"/>
        <v>0</v>
      </c>
      <c r="AG665" s="1">
        <f t="shared" si="71"/>
        <v>0</v>
      </c>
      <c r="AH665" s="1">
        <f t="shared" si="72"/>
        <v>1</v>
      </c>
    </row>
    <row r="666" spans="19:34">
      <c r="S666" s="17">
        <v>9</v>
      </c>
      <c r="T666" s="18"/>
      <c r="U666" s="17">
        <v>1</v>
      </c>
      <c r="V666" s="17" t="s">
        <v>31</v>
      </c>
      <c r="W666" s="18">
        <v>4</v>
      </c>
      <c r="X666" s="18" t="s">
        <v>342</v>
      </c>
      <c r="Y666" s="18">
        <f t="shared" si="74"/>
        <v>0</v>
      </c>
      <c r="Z666" s="17" t="s">
        <v>65</v>
      </c>
      <c r="AA666" s="17">
        <v>2</v>
      </c>
      <c r="AB666" s="17" t="s">
        <v>202</v>
      </c>
      <c r="AC666" s="17" t="s">
        <v>164</v>
      </c>
      <c r="AD666" s="17" t="s">
        <v>191</v>
      </c>
      <c r="AE666" s="17" t="s">
        <v>176</v>
      </c>
      <c r="AF666" s="1">
        <f t="shared" si="70"/>
        <v>1</v>
      </c>
      <c r="AG666" s="1">
        <f t="shared" si="71"/>
        <v>0</v>
      </c>
      <c r="AH666" s="1">
        <f t="shared" si="72"/>
        <v>0</v>
      </c>
    </row>
    <row r="667" spans="19:34">
      <c r="S667" s="17">
        <v>10</v>
      </c>
      <c r="T667" s="18"/>
      <c r="U667" s="17">
        <v>2</v>
      </c>
      <c r="V667" s="17" t="s">
        <v>31</v>
      </c>
      <c r="W667" s="18">
        <v>4</v>
      </c>
      <c r="X667" s="18" t="s">
        <v>342</v>
      </c>
      <c r="Y667" s="18">
        <f t="shared" si="74"/>
        <v>0</v>
      </c>
      <c r="Z667" s="17" t="s">
        <v>378</v>
      </c>
      <c r="AA667" s="17">
        <v>1</v>
      </c>
      <c r="AB667" s="17" t="s">
        <v>172</v>
      </c>
      <c r="AC667" s="17" t="s">
        <v>208</v>
      </c>
      <c r="AD667" s="17" t="s">
        <v>214</v>
      </c>
      <c r="AE667" s="17" t="s">
        <v>193</v>
      </c>
      <c r="AF667" s="1">
        <f t="shared" si="70"/>
        <v>1</v>
      </c>
      <c r="AG667" s="1">
        <f t="shared" si="71"/>
        <v>0</v>
      </c>
      <c r="AH667" s="1">
        <f t="shared" si="72"/>
        <v>0</v>
      </c>
    </row>
    <row r="668" spans="19:34">
      <c r="S668" s="17">
        <v>11</v>
      </c>
      <c r="T668" s="18"/>
      <c r="U668" s="17">
        <v>2</v>
      </c>
      <c r="V668" s="17" t="s">
        <v>31</v>
      </c>
      <c r="W668" s="18">
        <v>4</v>
      </c>
      <c r="X668" s="18" t="s">
        <v>342</v>
      </c>
      <c r="Y668" s="18">
        <f t="shared" si="74"/>
        <v>0</v>
      </c>
      <c r="Z668" s="17" t="s">
        <v>75</v>
      </c>
      <c r="AA668" s="17">
        <v>1</v>
      </c>
      <c r="AB668" s="17" t="s">
        <v>193</v>
      </c>
      <c r="AC668" s="17" t="s">
        <v>206</v>
      </c>
      <c r="AD668" s="17" t="s">
        <v>172</v>
      </c>
      <c r="AE668" s="17" t="s">
        <v>210</v>
      </c>
      <c r="AF668" s="1">
        <f t="shared" si="70"/>
        <v>1</v>
      </c>
      <c r="AG668" s="1">
        <f t="shared" si="71"/>
        <v>0</v>
      </c>
      <c r="AH668" s="1">
        <f t="shared" si="72"/>
        <v>0</v>
      </c>
    </row>
    <row r="669" spans="19:34">
      <c r="S669" s="17">
        <v>12</v>
      </c>
      <c r="T669" s="18"/>
      <c r="U669" s="17">
        <v>1</v>
      </c>
      <c r="V669" s="17" t="s">
        <v>31</v>
      </c>
      <c r="W669" s="18">
        <v>4</v>
      </c>
      <c r="X669" s="18" t="s">
        <v>342</v>
      </c>
      <c r="Y669" s="18">
        <f t="shared" si="74"/>
        <v>0</v>
      </c>
      <c r="Z669" s="17" t="s">
        <v>14</v>
      </c>
      <c r="AA669" s="17">
        <v>2</v>
      </c>
      <c r="AB669" s="17" t="s">
        <v>214</v>
      </c>
      <c r="AC669" s="17" t="s">
        <v>180</v>
      </c>
      <c r="AD669" s="17" t="s">
        <v>176</v>
      </c>
      <c r="AE669" s="17" t="s">
        <v>202</v>
      </c>
      <c r="AF669" s="1">
        <f t="shared" si="70"/>
        <v>1</v>
      </c>
      <c r="AG669" s="1">
        <f t="shared" si="71"/>
        <v>0</v>
      </c>
      <c r="AH669" s="1">
        <f t="shared" si="72"/>
        <v>0</v>
      </c>
    </row>
    <row r="670" spans="19:34">
      <c r="S670" s="17">
        <v>13</v>
      </c>
      <c r="T670" s="18"/>
      <c r="U670" s="17">
        <v>1</v>
      </c>
      <c r="V670" s="17" t="s">
        <v>31</v>
      </c>
      <c r="W670" s="18">
        <v>1</v>
      </c>
      <c r="X670" s="18" t="s">
        <v>342</v>
      </c>
      <c r="Y670" s="18">
        <f t="shared" si="74"/>
        <v>3</v>
      </c>
      <c r="Z670" s="17" t="s">
        <v>111</v>
      </c>
      <c r="AA670" s="17">
        <v>2</v>
      </c>
      <c r="AB670" s="17" t="s">
        <v>183</v>
      </c>
      <c r="AC670" s="17" t="s">
        <v>208</v>
      </c>
      <c r="AD670" s="17" t="s">
        <v>189</v>
      </c>
      <c r="AE670" s="17" t="s">
        <v>196</v>
      </c>
      <c r="AF670" s="1">
        <f t="shared" si="70"/>
        <v>0</v>
      </c>
      <c r="AG670" s="1">
        <f t="shared" si="71"/>
        <v>0</v>
      </c>
      <c r="AH670" s="1">
        <f t="shared" si="72"/>
        <v>1</v>
      </c>
    </row>
    <row r="671" spans="19:34">
      <c r="S671" s="17">
        <v>14</v>
      </c>
      <c r="T671" s="18"/>
      <c r="U671" s="17">
        <v>1</v>
      </c>
      <c r="V671" s="17" t="s">
        <v>31</v>
      </c>
      <c r="W671" s="18">
        <v>4</v>
      </c>
      <c r="X671" s="18" t="s">
        <v>342</v>
      </c>
      <c r="Y671" s="18">
        <f t="shared" si="74"/>
        <v>0</v>
      </c>
      <c r="Z671" s="17" t="s">
        <v>61</v>
      </c>
      <c r="AA671" s="17">
        <v>2</v>
      </c>
      <c r="AB671" s="17" t="s">
        <v>204</v>
      </c>
      <c r="AC671" s="17" t="s">
        <v>185</v>
      </c>
      <c r="AD671" s="17" t="s">
        <v>164</v>
      </c>
      <c r="AE671" s="17" t="s">
        <v>187</v>
      </c>
      <c r="AF671" s="1">
        <f t="shared" si="70"/>
        <v>1</v>
      </c>
      <c r="AG671" s="1">
        <f t="shared" si="71"/>
        <v>0</v>
      </c>
      <c r="AH671" s="1">
        <f t="shared" si="72"/>
        <v>0</v>
      </c>
    </row>
    <row r="672" spans="19:34">
      <c r="S672" s="17">
        <v>15</v>
      </c>
      <c r="T672" s="18"/>
      <c r="U672" s="17">
        <v>1</v>
      </c>
      <c r="V672" s="17" t="s">
        <v>31</v>
      </c>
      <c r="W672" s="18">
        <v>1</v>
      </c>
      <c r="X672" s="18" t="s">
        <v>342</v>
      </c>
      <c r="Y672" s="18">
        <f t="shared" si="74"/>
        <v>3</v>
      </c>
      <c r="Z672" s="17" t="s">
        <v>125</v>
      </c>
      <c r="AA672" s="17">
        <v>2</v>
      </c>
      <c r="AB672" s="17" t="s">
        <v>198</v>
      </c>
      <c r="AC672" s="17" t="s">
        <v>212</v>
      </c>
      <c r="AD672" s="17" t="s">
        <v>200</v>
      </c>
      <c r="AE672" s="17" t="s">
        <v>191</v>
      </c>
      <c r="AF672" s="1">
        <f t="shared" si="70"/>
        <v>0</v>
      </c>
      <c r="AG672" s="1">
        <f t="shared" si="71"/>
        <v>0</v>
      </c>
      <c r="AH672" s="1">
        <f t="shared" si="72"/>
        <v>1</v>
      </c>
    </row>
    <row r="673" spans="19:34">
      <c r="S673" s="58" t="s">
        <v>339</v>
      </c>
      <c r="T673" s="58" t="s">
        <v>340</v>
      </c>
      <c r="U673" s="58" t="s">
        <v>341</v>
      </c>
      <c r="V673" s="58" t="s">
        <v>1</v>
      </c>
      <c r="W673" s="66" t="s">
        <v>220</v>
      </c>
      <c r="X673" s="66"/>
      <c r="Y673" s="66"/>
      <c r="Z673" s="58" t="s">
        <v>1</v>
      </c>
      <c r="AA673" s="58" t="s">
        <v>341</v>
      </c>
      <c r="AB673" s="58" t="s">
        <v>225</v>
      </c>
      <c r="AC673" s="58" t="s">
        <v>228</v>
      </c>
      <c r="AD673" s="58" t="s">
        <v>230</v>
      </c>
      <c r="AE673" s="58" t="s">
        <v>232</v>
      </c>
      <c r="AF673" s="1">
        <f t="shared" si="70"/>
        <v>1</v>
      </c>
      <c r="AG673" s="1">
        <f t="shared" si="71"/>
        <v>0</v>
      </c>
      <c r="AH673" s="1">
        <f t="shared" si="72"/>
        <v>0</v>
      </c>
    </row>
    <row r="674" spans="19:34">
      <c r="S674" s="17">
        <v>1</v>
      </c>
      <c r="T674" s="18"/>
      <c r="U674" s="17">
        <v>2</v>
      </c>
      <c r="V674" s="17" t="s">
        <v>111</v>
      </c>
      <c r="W674" s="18">
        <v>0</v>
      </c>
      <c r="X674" s="18" t="s">
        <v>342</v>
      </c>
      <c r="Y674" s="18">
        <f t="shared" ref="Y674:Y688" si="75">IF(W674="","",4-W674)</f>
        <v>4</v>
      </c>
      <c r="Z674" s="17" t="s">
        <v>27</v>
      </c>
      <c r="AA674" s="17">
        <v>1</v>
      </c>
      <c r="AB674" s="17" t="s">
        <v>191</v>
      </c>
      <c r="AC674" s="17" t="s">
        <v>185</v>
      </c>
      <c r="AD674" s="17" t="s">
        <v>206</v>
      </c>
      <c r="AE674" s="17" t="s">
        <v>202</v>
      </c>
      <c r="AF674" s="1">
        <f t="shared" si="70"/>
        <v>0</v>
      </c>
      <c r="AG674" s="1">
        <f t="shared" si="71"/>
        <v>0</v>
      </c>
      <c r="AH674" s="1">
        <f t="shared" si="72"/>
        <v>1</v>
      </c>
    </row>
    <row r="675" spans="19:34">
      <c r="S675" s="17">
        <v>2</v>
      </c>
      <c r="T675" s="18"/>
      <c r="U675" s="17">
        <v>1</v>
      </c>
      <c r="V675" s="17" t="s">
        <v>111</v>
      </c>
      <c r="W675" s="18">
        <v>1</v>
      </c>
      <c r="X675" s="18" t="s">
        <v>342</v>
      </c>
      <c r="Y675" s="18">
        <f t="shared" si="75"/>
        <v>3</v>
      </c>
      <c r="Z675" s="17" t="s">
        <v>49</v>
      </c>
      <c r="AA675" s="17">
        <v>2</v>
      </c>
      <c r="AB675" s="17" t="s">
        <v>180</v>
      </c>
      <c r="AC675" s="17" t="s">
        <v>172</v>
      </c>
      <c r="AD675" s="17" t="s">
        <v>200</v>
      </c>
      <c r="AE675" s="17" t="s">
        <v>198</v>
      </c>
      <c r="AF675" s="1">
        <f t="shared" si="70"/>
        <v>0</v>
      </c>
      <c r="AG675" s="1">
        <f t="shared" si="71"/>
        <v>0</v>
      </c>
      <c r="AH675" s="1">
        <f t="shared" si="72"/>
        <v>1</v>
      </c>
    </row>
    <row r="676" spans="19:34">
      <c r="S676" s="17">
        <v>3</v>
      </c>
      <c r="T676" s="18"/>
      <c r="U676" s="17">
        <v>2</v>
      </c>
      <c r="V676" s="17" t="s">
        <v>111</v>
      </c>
      <c r="W676" s="18">
        <v>1</v>
      </c>
      <c r="X676" s="18" t="s">
        <v>342</v>
      </c>
      <c r="Y676" s="18">
        <f t="shared" si="75"/>
        <v>3</v>
      </c>
      <c r="Z676" s="17" t="s">
        <v>99</v>
      </c>
      <c r="AA676" s="17">
        <v>1</v>
      </c>
      <c r="AB676" s="17" t="s">
        <v>176</v>
      </c>
      <c r="AC676" s="17" t="s">
        <v>183</v>
      </c>
      <c r="AD676" s="17" t="s">
        <v>204</v>
      </c>
      <c r="AE676" s="17" t="s">
        <v>212</v>
      </c>
      <c r="AF676" s="1">
        <f t="shared" si="70"/>
        <v>0</v>
      </c>
      <c r="AG676" s="1">
        <f t="shared" si="71"/>
        <v>0</v>
      </c>
      <c r="AH676" s="1">
        <f t="shared" si="72"/>
        <v>1</v>
      </c>
    </row>
    <row r="677" spans="19:34">
      <c r="S677" s="17">
        <v>4</v>
      </c>
      <c r="T677" s="18"/>
      <c r="U677" s="17">
        <v>2</v>
      </c>
      <c r="V677" s="17" t="s">
        <v>111</v>
      </c>
      <c r="W677" s="18">
        <v>3</v>
      </c>
      <c r="X677" s="18" t="s">
        <v>342</v>
      </c>
      <c r="Y677" s="18">
        <f t="shared" si="75"/>
        <v>1</v>
      </c>
      <c r="Z677" s="17" t="s">
        <v>107</v>
      </c>
      <c r="AA677" s="17">
        <v>1</v>
      </c>
      <c r="AB677" s="17" t="s">
        <v>196</v>
      </c>
      <c r="AC677" s="17" t="s">
        <v>193</v>
      </c>
      <c r="AD677" s="17" t="s">
        <v>208</v>
      </c>
      <c r="AE677" s="17" t="s">
        <v>164</v>
      </c>
      <c r="AF677" s="1">
        <f t="shared" si="70"/>
        <v>1</v>
      </c>
      <c r="AG677" s="1">
        <f t="shared" si="71"/>
        <v>0</v>
      </c>
      <c r="AH677" s="1">
        <f t="shared" si="72"/>
        <v>0</v>
      </c>
    </row>
    <row r="678" spans="19:34">
      <c r="S678" s="17">
        <v>5</v>
      </c>
      <c r="T678" s="18"/>
      <c r="U678" s="17">
        <v>2</v>
      </c>
      <c r="V678" s="17" t="s">
        <v>111</v>
      </c>
      <c r="W678" s="18">
        <v>0</v>
      </c>
      <c r="X678" s="18" t="s">
        <v>342</v>
      </c>
      <c r="Y678" s="18">
        <f t="shared" si="75"/>
        <v>4</v>
      </c>
      <c r="Z678" s="17" t="s">
        <v>123</v>
      </c>
      <c r="AA678" s="17">
        <v>1</v>
      </c>
      <c r="AB678" s="17" t="s">
        <v>214</v>
      </c>
      <c r="AC678" s="17" t="s">
        <v>210</v>
      </c>
      <c r="AD678" s="17" t="s">
        <v>187</v>
      </c>
      <c r="AE678" s="17" t="s">
        <v>189</v>
      </c>
      <c r="AF678" s="1">
        <f t="shared" si="70"/>
        <v>0</v>
      </c>
      <c r="AG678" s="1">
        <f t="shared" si="71"/>
        <v>0</v>
      </c>
      <c r="AH678" s="1">
        <f t="shared" si="72"/>
        <v>1</v>
      </c>
    </row>
    <row r="679" spans="19:34">
      <c r="S679" s="17">
        <v>6</v>
      </c>
      <c r="T679" s="18"/>
      <c r="U679" s="17">
        <v>2</v>
      </c>
      <c r="V679" s="17" t="s">
        <v>111</v>
      </c>
      <c r="W679" s="18">
        <v>0</v>
      </c>
      <c r="X679" s="18" t="s">
        <v>342</v>
      </c>
      <c r="Y679" s="18">
        <f t="shared" si="75"/>
        <v>4</v>
      </c>
      <c r="Z679" s="17" t="s">
        <v>81</v>
      </c>
      <c r="AA679" s="17">
        <v>1</v>
      </c>
      <c r="AB679" s="17" t="s">
        <v>204</v>
      </c>
      <c r="AC679" s="17" t="s">
        <v>210</v>
      </c>
      <c r="AD679" s="17" t="s">
        <v>180</v>
      </c>
      <c r="AE679" s="17" t="s">
        <v>189</v>
      </c>
      <c r="AF679" s="1">
        <f t="shared" si="70"/>
        <v>0</v>
      </c>
      <c r="AG679" s="1">
        <f t="shared" si="71"/>
        <v>0</v>
      </c>
      <c r="AH679" s="1">
        <f t="shared" si="72"/>
        <v>1</v>
      </c>
    </row>
    <row r="680" spans="19:34">
      <c r="S680" s="17">
        <v>7</v>
      </c>
      <c r="T680" s="18"/>
      <c r="U680" s="17">
        <v>2</v>
      </c>
      <c r="V680" s="17" t="s">
        <v>111</v>
      </c>
      <c r="W680" s="18">
        <v>0</v>
      </c>
      <c r="X680" s="18" t="s">
        <v>342</v>
      </c>
      <c r="Y680" s="18">
        <f t="shared" si="75"/>
        <v>4</v>
      </c>
      <c r="Z680" s="17" t="s">
        <v>83</v>
      </c>
      <c r="AA680" s="17">
        <v>1</v>
      </c>
      <c r="AB680" s="17" t="s">
        <v>187</v>
      </c>
      <c r="AC680" s="17" t="s">
        <v>206</v>
      </c>
      <c r="AD680" s="17" t="s">
        <v>183</v>
      </c>
      <c r="AE680" s="17" t="s">
        <v>196</v>
      </c>
      <c r="AF680" s="1">
        <f t="shared" si="70"/>
        <v>0</v>
      </c>
      <c r="AG680" s="1">
        <f t="shared" si="71"/>
        <v>0</v>
      </c>
      <c r="AH680" s="1">
        <f t="shared" si="72"/>
        <v>1</v>
      </c>
    </row>
    <row r="681" spans="19:34">
      <c r="S681" s="17">
        <v>8</v>
      </c>
      <c r="T681" s="18"/>
      <c r="U681" s="17">
        <v>1</v>
      </c>
      <c r="V681" s="17" t="s">
        <v>111</v>
      </c>
      <c r="W681" s="18">
        <v>0</v>
      </c>
      <c r="X681" s="18" t="s">
        <v>342</v>
      </c>
      <c r="Y681" s="18">
        <f t="shared" si="75"/>
        <v>4</v>
      </c>
      <c r="Z681" s="17" t="s">
        <v>39</v>
      </c>
      <c r="AA681" s="17">
        <v>2</v>
      </c>
      <c r="AB681" s="17" t="s">
        <v>200</v>
      </c>
      <c r="AC681" s="17" t="s">
        <v>198</v>
      </c>
      <c r="AD681" s="17" t="s">
        <v>212</v>
      </c>
      <c r="AE681" s="17" t="s">
        <v>185</v>
      </c>
      <c r="AF681" s="1">
        <f t="shared" si="70"/>
        <v>0</v>
      </c>
      <c r="AG681" s="1">
        <f t="shared" si="71"/>
        <v>0</v>
      </c>
      <c r="AH681" s="1">
        <f t="shared" si="72"/>
        <v>1</v>
      </c>
    </row>
    <row r="682" spans="19:34">
      <c r="S682" s="17">
        <v>9</v>
      </c>
      <c r="T682" s="18"/>
      <c r="U682" s="17">
        <v>2</v>
      </c>
      <c r="V682" s="17" t="s">
        <v>111</v>
      </c>
      <c r="W682" s="18">
        <v>4</v>
      </c>
      <c r="X682" s="18" t="s">
        <v>342</v>
      </c>
      <c r="Y682" s="18">
        <f t="shared" si="75"/>
        <v>0</v>
      </c>
      <c r="Z682" s="17" t="s">
        <v>14</v>
      </c>
      <c r="AA682" s="17">
        <v>1</v>
      </c>
      <c r="AB682" s="17" t="s">
        <v>202</v>
      </c>
      <c r="AC682" s="17" t="s">
        <v>164</v>
      </c>
      <c r="AD682" s="17" t="s">
        <v>191</v>
      </c>
      <c r="AE682" s="17" t="s">
        <v>176</v>
      </c>
      <c r="AF682" s="1">
        <f t="shared" si="70"/>
        <v>1</v>
      </c>
      <c r="AG682" s="1">
        <f t="shared" si="71"/>
        <v>0</v>
      </c>
      <c r="AH682" s="1">
        <f t="shared" si="72"/>
        <v>0</v>
      </c>
    </row>
    <row r="683" spans="19:34">
      <c r="S683" s="17">
        <v>10</v>
      </c>
      <c r="T683" s="18"/>
      <c r="U683" s="17">
        <v>1</v>
      </c>
      <c r="V683" s="17" t="s">
        <v>111</v>
      </c>
      <c r="W683" s="18">
        <v>3</v>
      </c>
      <c r="X683" s="18" t="s">
        <v>342</v>
      </c>
      <c r="Y683" s="18">
        <f t="shared" si="75"/>
        <v>1</v>
      </c>
      <c r="Z683" s="17" t="s">
        <v>75</v>
      </c>
      <c r="AA683" s="17">
        <v>2</v>
      </c>
      <c r="AB683" s="17" t="s">
        <v>172</v>
      </c>
      <c r="AC683" s="17" t="s">
        <v>208</v>
      </c>
      <c r="AD683" s="17" t="s">
        <v>214</v>
      </c>
      <c r="AE683" s="17" t="s">
        <v>193</v>
      </c>
      <c r="AF683" s="1">
        <f t="shared" si="70"/>
        <v>1</v>
      </c>
      <c r="AG683" s="1">
        <f t="shared" si="71"/>
        <v>0</v>
      </c>
      <c r="AH683" s="1">
        <f t="shared" si="72"/>
        <v>0</v>
      </c>
    </row>
    <row r="684" spans="19:34">
      <c r="S684" s="17">
        <v>11</v>
      </c>
      <c r="T684" s="18"/>
      <c r="U684" s="17">
        <v>1</v>
      </c>
      <c r="V684" s="17" t="s">
        <v>111</v>
      </c>
      <c r="W684" s="18">
        <v>4</v>
      </c>
      <c r="X684" s="18" t="s">
        <v>342</v>
      </c>
      <c r="Y684" s="18">
        <f t="shared" si="75"/>
        <v>0</v>
      </c>
      <c r="Z684" s="17" t="s">
        <v>378</v>
      </c>
      <c r="AA684" s="17">
        <v>2</v>
      </c>
      <c r="AB684" s="17" t="s">
        <v>193</v>
      </c>
      <c r="AC684" s="17" t="s">
        <v>206</v>
      </c>
      <c r="AD684" s="17" t="s">
        <v>172</v>
      </c>
      <c r="AE684" s="17" t="s">
        <v>210</v>
      </c>
      <c r="AF684" s="1">
        <f t="shared" si="70"/>
        <v>1</v>
      </c>
      <c r="AG684" s="1">
        <f t="shared" si="71"/>
        <v>0</v>
      </c>
      <c r="AH684" s="1">
        <f t="shared" si="72"/>
        <v>0</v>
      </c>
    </row>
    <row r="685" spans="19:34">
      <c r="S685" s="17">
        <v>12</v>
      </c>
      <c r="T685" s="18"/>
      <c r="U685" s="17">
        <v>1</v>
      </c>
      <c r="V685" s="17" t="s">
        <v>111</v>
      </c>
      <c r="W685" s="18">
        <v>4</v>
      </c>
      <c r="X685" s="18" t="s">
        <v>342</v>
      </c>
      <c r="Y685" s="18">
        <f t="shared" si="75"/>
        <v>0</v>
      </c>
      <c r="Z685" s="17" t="s">
        <v>65</v>
      </c>
      <c r="AA685" s="17">
        <v>2</v>
      </c>
      <c r="AB685" s="17" t="s">
        <v>214</v>
      </c>
      <c r="AC685" s="17" t="s">
        <v>180</v>
      </c>
      <c r="AD685" s="17" t="s">
        <v>176</v>
      </c>
      <c r="AE685" s="17" t="s">
        <v>202</v>
      </c>
      <c r="AF685" s="1">
        <f t="shared" si="70"/>
        <v>1</v>
      </c>
      <c r="AG685" s="1">
        <f t="shared" si="71"/>
        <v>0</v>
      </c>
      <c r="AH685" s="1">
        <f t="shared" si="72"/>
        <v>0</v>
      </c>
    </row>
    <row r="686" spans="19:34">
      <c r="S686" s="17">
        <v>13</v>
      </c>
      <c r="T686" s="18"/>
      <c r="U686" s="17">
        <v>2</v>
      </c>
      <c r="V686" s="17" t="s">
        <v>111</v>
      </c>
      <c r="W686" s="18">
        <v>3</v>
      </c>
      <c r="X686" s="18" t="s">
        <v>342</v>
      </c>
      <c r="Y686" s="18">
        <f t="shared" si="75"/>
        <v>1</v>
      </c>
      <c r="Z686" s="17" t="s">
        <v>31</v>
      </c>
      <c r="AA686" s="17">
        <v>1</v>
      </c>
      <c r="AB686" s="17" t="s">
        <v>183</v>
      </c>
      <c r="AC686" s="17" t="s">
        <v>208</v>
      </c>
      <c r="AD686" s="17" t="s">
        <v>189</v>
      </c>
      <c r="AE686" s="17" t="s">
        <v>196</v>
      </c>
      <c r="AF686" s="1">
        <f t="shared" si="70"/>
        <v>1</v>
      </c>
      <c r="AG686" s="1">
        <f t="shared" si="71"/>
        <v>0</v>
      </c>
      <c r="AH686" s="1">
        <f t="shared" si="72"/>
        <v>0</v>
      </c>
    </row>
    <row r="687" spans="19:34">
      <c r="S687" s="17">
        <v>14</v>
      </c>
      <c r="T687" s="18"/>
      <c r="U687" s="17">
        <v>1</v>
      </c>
      <c r="V687" s="17" t="s">
        <v>111</v>
      </c>
      <c r="W687" s="18">
        <v>0</v>
      </c>
      <c r="X687" s="18" t="s">
        <v>342</v>
      </c>
      <c r="Y687" s="18">
        <f t="shared" si="75"/>
        <v>4</v>
      </c>
      <c r="Z687" s="17" t="s">
        <v>125</v>
      </c>
      <c r="AA687" s="17">
        <v>2</v>
      </c>
      <c r="AB687" s="17" t="s">
        <v>204</v>
      </c>
      <c r="AC687" s="17" t="s">
        <v>185</v>
      </c>
      <c r="AD687" s="17" t="s">
        <v>164</v>
      </c>
      <c r="AE687" s="17" t="s">
        <v>187</v>
      </c>
      <c r="AF687" s="1">
        <f t="shared" si="70"/>
        <v>0</v>
      </c>
      <c r="AG687" s="1">
        <f t="shared" si="71"/>
        <v>0</v>
      </c>
      <c r="AH687" s="1">
        <f t="shared" si="72"/>
        <v>1</v>
      </c>
    </row>
    <row r="688" spans="19:34">
      <c r="S688" s="17">
        <v>15</v>
      </c>
      <c r="T688" s="18"/>
      <c r="U688" s="17">
        <v>2</v>
      </c>
      <c r="V688" s="17" t="s">
        <v>111</v>
      </c>
      <c r="W688" s="18">
        <v>3</v>
      </c>
      <c r="X688" s="18" t="s">
        <v>342</v>
      </c>
      <c r="Y688" s="18">
        <f t="shared" si="75"/>
        <v>1</v>
      </c>
      <c r="Z688" s="17" t="s">
        <v>61</v>
      </c>
      <c r="AA688" s="17">
        <v>1</v>
      </c>
      <c r="AB688" s="17" t="s">
        <v>198</v>
      </c>
      <c r="AC688" s="17" t="s">
        <v>212</v>
      </c>
      <c r="AD688" s="17" t="s">
        <v>200</v>
      </c>
      <c r="AE688" s="17" t="s">
        <v>191</v>
      </c>
      <c r="AF688" s="1">
        <f t="shared" si="70"/>
        <v>1</v>
      </c>
      <c r="AG688" s="1">
        <f t="shared" si="71"/>
        <v>0</v>
      </c>
      <c r="AH688" s="1">
        <f t="shared" si="72"/>
        <v>0</v>
      </c>
    </row>
    <row r="689" spans="19:34">
      <c r="S689" s="58" t="s">
        <v>339</v>
      </c>
      <c r="T689" s="58" t="s">
        <v>340</v>
      </c>
      <c r="U689" s="58" t="s">
        <v>341</v>
      </c>
      <c r="V689" s="58" t="s">
        <v>1</v>
      </c>
      <c r="W689" s="66" t="s">
        <v>220</v>
      </c>
      <c r="X689" s="66"/>
      <c r="Y689" s="66"/>
      <c r="Z689" s="58" t="s">
        <v>1</v>
      </c>
      <c r="AA689" s="58" t="s">
        <v>341</v>
      </c>
      <c r="AB689" s="58" t="s">
        <v>225</v>
      </c>
      <c r="AC689" s="58" t="s">
        <v>228</v>
      </c>
      <c r="AD689" s="58" t="s">
        <v>230</v>
      </c>
      <c r="AE689" s="58" t="s">
        <v>232</v>
      </c>
      <c r="AF689" s="1">
        <f t="shared" si="70"/>
        <v>1</v>
      </c>
      <c r="AG689" s="1">
        <f t="shared" si="71"/>
        <v>0</v>
      </c>
      <c r="AH689" s="1">
        <f t="shared" si="72"/>
        <v>0</v>
      </c>
    </row>
    <row r="690" spans="19:34">
      <c r="S690" s="17">
        <v>1</v>
      </c>
      <c r="T690" s="18"/>
      <c r="U690" s="17">
        <v>1</v>
      </c>
      <c r="V690" s="17" t="s">
        <v>61</v>
      </c>
      <c r="W690" s="18">
        <v>0</v>
      </c>
      <c r="X690" s="18" t="s">
        <v>342</v>
      </c>
      <c r="Y690" s="18">
        <f t="shared" ref="Y690:Y704" si="76">IF(W690="","",4-W690)</f>
        <v>4</v>
      </c>
      <c r="Z690" s="17" t="s">
        <v>49</v>
      </c>
      <c r="AA690" s="17">
        <v>2</v>
      </c>
      <c r="AB690" s="17" t="s">
        <v>191</v>
      </c>
      <c r="AC690" s="17" t="s">
        <v>185</v>
      </c>
      <c r="AD690" s="17" t="s">
        <v>206</v>
      </c>
      <c r="AE690" s="17" t="s">
        <v>202</v>
      </c>
      <c r="AF690" s="1">
        <f t="shared" si="70"/>
        <v>0</v>
      </c>
      <c r="AG690" s="1">
        <f t="shared" si="71"/>
        <v>0</v>
      </c>
      <c r="AH690" s="1">
        <f t="shared" si="72"/>
        <v>1</v>
      </c>
    </row>
    <row r="691" spans="19:34">
      <c r="S691" s="17">
        <v>2</v>
      </c>
      <c r="T691" s="18"/>
      <c r="U691" s="17">
        <v>2</v>
      </c>
      <c r="V691" s="17" t="s">
        <v>61</v>
      </c>
      <c r="W691" s="18">
        <v>0</v>
      </c>
      <c r="X691" s="18" t="s">
        <v>342</v>
      </c>
      <c r="Y691" s="18">
        <f t="shared" si="76"/>
        <v>4</v>
      </c>
      <c r="Z691" s="17" t="s">
        <v>27</v>
      </c>
      <c r="AA691" s="17">
        <v>1</v>
      </c>
      <c r="AB691" s="17" t="s">
        <v>180</v>
      </c>
      <c r="AC691" s="17" t="s">
        <v>172</v>
      </c>
      <c r="AD691" s="17" t="s">
        <v>200</v>
      </c>
      <c r="AE691" s="17" t="s">
        <v>198</v>
      </c>
      <c r="AF691" s="1">
        <f t="shared" si="70"/>
        <v>0</v>
      </c>
      <c r="AG691" s="1">
        <f t="shared" si="71"/>
        <v>0</v>
      </c>
      <c r="AH691" s="1">
        <f t="shared" si="72"/>
        <v>1</v>
      </c>
    </row>
    <row r="692" spans="19:34">
      <c r="S692" s="17">
        <v>3</v>
      </c>
      <c r="T692" s="18"/>
      <c r="U692" s="17">
        <v>2</v>
      </c>
      <c r="V692" s="17" t="s">
        <v>61</v>
      </c>
      <c r="W692" s="18">
        <v>0</v>
      </c>
      <c r="X692" s="18" t="s">
        <v>342</v>
      </c>
      <c r="Y692" s="18">
        <f t="shared" si="76"/>
        <v>4</v>
      </c>
      <c r="Z692" s="17" t="s">
        <v>107</v>
      </c>
      <c r="AA692" s="17">
        <v>1</v>
      </c>
      <c r="AB692" s="17" t="s">
        <v>176</v>
      </c>
      <c r="AC692" s="17" t="s">
        <v>183</v>
      </c>
      <c r="AD692" s="17" t="s">
        <v>204</v>
      </c>
      <c r="AE692" s="17" t="s">
        <v>212</v>
      </c>
      <c r="AF692" s="1">
        <f t="shared" si="70"/>
        <v>0</v>
      </c>
      <c r="AG692" s="1">
        <f t="shared" si="71"/>
        <v>0</v>
      </c>
      <c r="AH692" s="1">
        <f t="shared" si="72"/>
        <v>1</v>
      </c>
    </row>
    <row r="693" spans="19:34">
      <c r="S693" s="17">
        <v>4</v>
      </c>
      <c r="T693" s="18"/>
      <c r="U693" s="17">
        <v>2</v>
      </c>
      <c r="V693" s="17" t="s">
        <v>61</v>
      </c>
      <c r="W693" s="18">
        <v>0</v>
      </c>
      <c r="X693" s="18" t="s">
        <v>342</v>
      </c>
      <c r="Y693" s="18">
        <f t="shared" si="76"/>
        <v>4</v>
      </c>
      <c r="Z693" s="17" t="s">
        <v>99</v>
      </c>
      <c r="AA693" s="17">
        <v>1</v>
      </c>
      <c r="AB693" s="17" t="s">
        <v>196</v>
      </c>
      <c r="AC693" s="17" t="s">
        <v>193</v>
      </c>
      <c r="AD693" s="17" t="s">
        <v>208</v>
      </c>
      <c r="AE693" s="17" t="s">
        <v>164</v>
      </c>
      <c r="AF693" s="1">
        <f t="shared" si="70"/>
        <v>0</v>
      </c>
      <c r="AG693" s="1">
        <f t="shared" si="71"/>
        <v>0</v>
      </c>
      <c r="AH693" s="1">
        <f t="shared" si="72"/>
        <v>1</v>
      </c>
    </row>
    <row r="694" spans="19:34">
      <c r="S694" s="17">
        <v>5</v>
      </c>
      <c r="T694" s="18"/>
      <c r="U694" s="17">
        <v>2</v>
      </c>
      <c r="V694" s="17" t="s">
        <v>61</v>
      </c>
      <c r="W694" s="18">
        <v>0</v>
      </c>
      <c r="X694" s="18" t="s">
        <v>342</v>
      </c>
      <c r="Y694" s="18">
        <f t="shared" si="76"/>
        <v>4</v>
      </c>
      <c r="Z694" s="17" t="s">
        <v>81</v>
      </c>
      <c r="AA694" s="17">
        <v>1</v>
      </c>
      <c r="AB694" s="17" t="s">
        <v>214</v>
      </c>
      <c r="AC694" s="17" t="s">
        <v>210</v>
      </c>
      <c r="AD694" s="17" t="s">
        <v>187</v>
      </c>
      <c r="AE694" s="17" t="s">
        <v>189</v>
      </c>
      <c r="AF694" s="1">
        <f t="shared" si="70"/>
        <v>0</v>
      </c>
      <c r="AG694" s="1">
        <f t="shared" si="71"/>
        <v>0</v>
      </c>
      <c r="AH694" s="1">
        <f t="shared" si="72"/>
        <v>1</v>
      </c>
    </row>
    <row r="695" spans="19:34">
      <c r="S695" s="17">
        <v>6</v>
      </c>
      <c r="T695" s="18"/>
      <c r="U695" s="17">
        <v>1</v>
      </c>
      <c r="V695" s="17" t="s">
        <v>61</v>
      </c>
      <c r="W695" s="18">
        <v>0</v>
      </c>
      <c r="X695" s="18" t="s">
        <v>342</v>
      </c>
      <c r="Y695" s="18">
        <f t="shared" si="76"/>
        <v>4</v>
      </c>
      <c r="Z695" s="17" t="s">
        <v>123</v>
      </c>
      <c r="AA695" s="17">
        <v>2</v>
      </c>
      <c r="AB695" s="17" t="s">
        <v>204</v>
      </c>
      <c r="AC695" s="17" t="s">
        <v>210</v>
      </c>
      <c r="AD695" s="17" t="s">
        <v>180</v>
      </c>
      <c r="AE695" s="17" t="s">
        <v>189</v>
      </c>
      <c r="AF695" s="1">
        <f t="shared" si="70"/>
        <v>0</v>
      </c>
      <c r="AG695" s="1">
        <f t="shared" si="71"/>
        <v>0</v>
      </c>
      <c r="AH695" s="1">
        <f t="shared" si="72"/>
        <v>1</v>
      </c>
    </row>
    <row r="696" spans="19:34">
      <c r="S696" s="17">
        <v>7</v>
      </c>
      <c r="T696" s="18"/>
      <c r="U696" s="17">
        <v>1</v>
      </c>
      <c r="V696" s="17" t="s">
        <v>61</v>
      </c>
      <c r="W696" s="18">
        <v>0</v>
      </c>
      <c r="X696" s="18" t="s">
        <v>342</v>
      </c>
      <c r="Y696" s="18">
        <f t="shared" si="76"/>
        <v>4</v>
      </c>
      <c r="Z696" s="17" t="s">
        <v>39</v>
      </c>
      <c r="AA696" s="17">
        <v>2</v>
      </c>
      <c r="AB696" s="17" t="s">
        <v>187</v>
      </c>
      <c r="AC696" s="17" t="s">
        <v>206</v>
      </c>
      <c r="AD696" s="17" t="s">
        <v>183</v>
      </c>
      <c r="AE696" s="17" t="s">
        <v>196</v>
      </c>
      <c r="AF696" s="1">
        <f t="shared" si="70"/>
        <v>0</v>
      </c>
      <c r="AG696" s="1">
        <f t="shared" si="71"/>
        <v>0</v>
      </c>
      <c r="AH696" s="1">
        <f t="shared" si="72"/>
        <v>1</v>
      </c>
    </row>
    <row r="697" spans="19:34">
      <c r="S697" s="17">
        <v>8</v>
      </c>
      <c r="T697" s="18"/>
      <c r="U697" s="17">
        <v>1</v>
      </c>
      <c r="V697" s="17" t="s">
        <v>61</v>
      </c>
      <c r="W697" s="18">
        <v>0</v>
      </c>
      <c r="X697" s="18" t="s">
        <v>342</v>
      </c>
      <c r="Y697" s="18">
        <f t="shared" si="76"/>
        <v>4</v>
      </c>
      <c r="Z697" s="17" t="s">
        <v>83</v>
      </c>
      <c r="AA697" s="17">
        <v>2</v>
      </c>
      <c r="AB697" s="17" t="s">
        <v>200</v>
      </c>
      <c r="AC697" s="17" t="s">
        <v>198</v>
      </c>
      <c r="AD697" s="17" t="s">
        <v>212</v>
      </c>
      <c r="AE697" s="17" t="s">
        <v>185</v>
      </c>
      <c r="AF697" s="1">
        <f t="shared" si="70"/>
        <v>0</v>
      </c>
      <c r="AG697" s="1">
        <f t="shared" si="71"/>
        <v>0</v>
      </c>
      <c r="AH697" s="1">
        <f t="shared" si="72"/>
        <v>1</v>
      </c>
    </row>
    <row r="698" spans="19:34">
      <c r="S698" s="17">
        <v>9</v>
      </c>
      <c r="T698" s="18"/>
      <c r="U698" s="17">
        <v>2</v>
      </c>
      <c r="V698" s="17" t="s">
        <v>61</v>
      </c>
      <c r="W698" s="18">
        <v>2</v>
      </c>
      <c r="X698" s="18" t="s">
        <v>342</v>
      </c>
      <c r="Y698" s="18">
        <f t="shared" si="76"/>
        <v>2</v>
      </c>
      <c r="Z698" s="17" t="s">
        <v>75</v>
      </c>
      <c r="AA698" s="17">
        <v>1</v>
      </c>
      <c r="AB698" s="17" t="s">
        <v>202</v>
      </c>
      <c r="AC698" s="17" t="s">
        <v>164</v>
      </c>
      <c r="AD698" s="17" t="s">
        <v>191</v>
      </c>
      <c r="AE698" s="17" t="s">
        <v>176</v>
      </c>
      <c r="AF698" s="1">
        <f t="shared" si="70"/>
        <v>0</v>
      </c>
      <c r="AG698" s="1">
        <f t="shared" si="71"/>
        <v>1</v>
      </c>
      <c r="AH698" s="1">
        <f t="shared" si="72"/>
        <v>0</v>
      </c>
    </row>
    <row r="699" spans="19:34">
      <c r="S699" s="17">
        <v>10</v>
      </c>
      <c r="T699" s="18"/>
      <c r="U699" s="17">
        <v>2</v>
      </c>
      <c r="V699" s="17" t="s">
        <v>61</v>
      </c>
      <c r="W699" s="18">
        <v>4</v>
      </c>
      <c r="X699" s="18" t="s">
        <v>342</v>
      </c>
      <c r="Y699" s="18">
        <f t="shared" si="76"/>
        <v>0</v>
      </c>
      <c r="Z699" s="17" t="s">
        <v>14</v>
      </c>
      <c r="AA699" s="17">
        <v>1</v>
      </c>
      <c r="AB699" s="17" t="s">
        <v>172</v>
      </c>
      <c r="AC699" s="17" t="s">
        <v>208</v>
      </c>
      <c r="AD699" s="17" t="s">
        <v>214</v>
      </c>
      <c r="AE699" s="17" t="s">
        <v>193</v>
      </c>
      <c r="AF699" s="1">
        <f t="shared" si="70"/>
        <v>1</v>
      </c>
      <c r="AG699" s="1">
        <f t="shared" si="71"/>
        <v>0</v>
      </c>
      <c r="AH699" s="1">
        <f t="shared" si="72"/>
        <v>0</v>
      </c>
    </row>
    <row r="700" spans="19:34">
      <c r="S700" s="17">
        <v>11</v>
      </c>
      <c r="T700" s="18"/>
      <c r="U700" s="17">
        <v>1</v>
      </c>
      <c r="V700" s="17" t="s">
        <v>61</v>
      </c>
      <c r="W700" s="18">
        <v>4</v>
      </c>
      <c r="X700" s="18" t="s">
        <v>342</v>
      </c>
      <c r="Y700" s="18">
        <f t="shared" si="76"/>
        <v>0</v>
      </c>
      <c r="Z700" s="17" t="s">
        <v>65</v>
      </c>
      <c r="AA700" s="17">
        <v>2</v>
      </c>
      <c r="AB700" s="17" t="s">
        <v>193</v>
      </c>
      <c r="AC700" s="17" t="s">
        <v>206</v>
      </c>
      <c r="AD700" s="17" t="s">
        <v>172</v>
      </c>
      <c r="AE700" s="17" t="s">
        <v>210</v>
      </c>
      <c r="AF700" s="1">
        <f t="shared" si="70"/>
        <v>1</v>
      </c>
      <c r="AG700" s="1">
        <f t="shared" si="71"/>
        <v>0</v>
      </c>
      <c r="AH700" s="1">
        <f t="shared" si="72"/>
        <v>0</v>
      </c>
    </row>
    <row r="701" spans="19:34">
      <c r="S701" s="17">
        <v>12</v>
      </c>
      <c r="T701" s="18"/>
      <c r="U701" s="17">
        <v>1</v>
      </c>
      <c r="V701" s="17" t="s">
        <v>61</v>
      </c>
      <c r="W701" s="18">
        <v>4</v>
      </c>
      <c r="X701" s="18" t="s">
        <v>342</v>
      </c>
      <c r="Y701" s="18">
        <f t="shared" si="76"/>
        <v>0</v>
      </c>
      <c r="Z701" s="17" t="s">
        <v>378</v>
      </c>
      <c r="AA701" s="17">
        <v>2</v>
      </c>
      <c r="AB701" s="17" t="s">
        <v>214</v>
      </c>
      <c r="AC701" s="17" t="s">
        <v>180</v>
      </c>
      <c r="AD701" s="17" t="s">
        <v>176</v>
      </c>
      <c r="AE701" s="17" t="s">
        <v>202</v>
      </c>
      <c r="AF701" s="1">
        <f t="shared" si="70"/>
        <v>1</v>
      </c>
      <c r="AG701" s="1">
        <f t="shared" si="71"/>
        <v>0</v>
      </c>
      <c r="AH701" s="1">
        <f t="shared" si="72"/>
        <v>0</v>
      </c>
    </row>
    <row r="702" spans="19:34">
      <c r="S702" s="17">
        <v>13</v>
      </c>
      <c r="T702" s="18"/>
      <c r="U702" s="17">
        <v>1</v>
      </c>
      <c r="V702" s="17" t="s">
        <v>61</v>
      </c>
      <c r="W702" s="18">
        <v>0</v>
      </c>
      <c r="X702" s="18" t="s">
        <v>342</v>
      </c>
      <c r="Y702" s="18">
        <f t="shared" si="76"/>
        <v>4</v>
      </c>
      <c r="Z702" s="17" t="s">
        <v>125</v>
      </c>
      <c r="AA702" s="17">
        <v>2</v>
      </c>
      <c r="AB702" s="17" t="s">
        <v>183</v>
      </c>
      <c r="AC702" s="17" t="s">
        <v>208</v>
      </c>
      <c r="AD702" s="17" t="s">
        <v>189</v>
      </c>
      <c r="AE702" s="17" t="s">
        <v>196</v>
      </c>
      <c r="AF702" s="1">
        <f t="shared" si="70"/>
        <v>0</v>
      </c>
      <c r="AG702" s="1">
        <f t="shared" si="71"/>
        <v>0</v>
      </c>
      <c r="AH702" s="1">
        <f t="shared" si="72"/>
        <v>1</v>
      </c>
    </row>
    <row r="703" spans="19:34">
      <c r="S703" s="17">
        <v>14</v>
      </c>
      <c r="T703" s="18"/>
      <c r="U703" s="17">
        <v>2</v>
      </c>
      <c r="V703" s="17" t="s">
        <v>61</v>
      </c>
      <c r="W703" s="18">
        <v>0</v>
      </c>
      <c r="X703" s="18" t="s">
        <v>342</v>
      </c>
      <c r="Y703" s="18">
        <f t="shared" si="76"/>
        <v>4</v>
      </c>
      <c r="Z703" s="17" t="s">
        <v>31</v>
      </c>
      <c r="AA703" s="17">
        <v>1</v>
      </c>
      <c r="AB703" s="17" t="s">
        <v>204</v>
      </c>
      <c r="AC703" s="17" t="s">
        <v>185</v>
      </c>
      <c r="AD703" s="17" t="s">
        <v>164</v>
      </c>
      <c r="AE703" s="17" t="s">
        <v>187</v>
      </c>
      <c r="AF703" s="1">
        <f t="shared" si="70"/>
        <v>0</v>
      </c>
      <c r="AG703" s="1">
        <f t="shared" si="71"/>
        <v>0</v>
      </c>
      <c r="AH703" s="1">
        <f t="shared" si="72"/>
        <v>1</v>
      </c>
    </row>
    <row r="704" spans="19:34">
      <c r="S704" s="17">
        <v>15</v>
      </c>
      <c r="T704" s="18"/>
      <c r="U704" s="17">
        <v>1</v>
      </c>
      <c r="V704" s="17" t="s">
        <v>61</v>
      </c>
      <c r="W704" s="18">
        <v>1</v>
      </c>
      <c r="X704" s="18" t="s">
        <v>342</v>
      </c>
      <c r="Y704" s="18">
        <f t="shared" si="76"/>
        <v>3</v>
      </c>
      <c r="Z704" s="17" t="s">
        <v>111</v>
      </c>
      <c r="AA704" s="17">
        <v>2</v>
      </c>
      <c r="AB704" s="17" t="s">
        <v>198</v>
      </c>
      <c r="AC704" s="17" t="s">
        <v>212</v>
      </c>
      <c r="AD704" s="17" t="s">
        <v>200</v>
      </c>
      <c r="AE704" s="17" t="s">
        <v>191</v>
      </c>
      <c r="AF704" s="1">
        <f t="shared" si="70"/>
        <v>0</v>
      </c>
      <c r="AG704" s="1">
        <f t="shared" si="71"/>
        <v>0</v>
      </c>
      <c r="AH704" s="1">
        <f t="shared" si="72"/>
        <v>1</v>
      </c>
    </row>
    <row r="705" spans="19:34">
      <c r="S705" s="58" t="s">
        <v>339</v>
      </c>
      <c r="T705" s="58" t="s">
        <v>340</v>
      </c>
      <c r="U705" s="58" t="s">
        <v>341</v>
      </c>
      <c r="V705" s="58" t="s">
        <v>1</v>
      </c>
      <c r="W705" s="66" t="s">
        <v>220</v>
      </c>
      <c r="X705" s="66"/>
      <c r="Y705" s="66"/>
      <c r="Z705" s="58" t="s">
        <v>1</v>
      </c>
      <c r="AA705" s="58" t="s">
        <v>341</v>
      </c>
      <c r="AB705" s="58" t="s">
        <v>225</v>
      </c>
      <c r="AC705" s="58" t="s">
        <v>228</v>
      </c>
      <c r="AD705" s="58" t="s">
        <v>230</v>
      </c>
      <c r="AE705" s="58" t="s">
        <v>232</v>
      </c>
      <c r="AF705" s="1">
        <f t="shared" ref="AF705:AF768" si="77">IF(W705="",0,IF(W705&gt;Y705,1,0))</f>
        <v>1</v>
      </c>
      <c r="AG705" s="1">
        <f t="shared" ref="AG705:AG768" si="78">IF(W705="",0,IF(W705=Y705,1,0))</f>
        <v>0</v>
      </c>
      <c r="AH705" s="1">
        <f t="shared" ref="AH705:AH768" si="79">IF(W705="",0,IF(W705&lt;Y705,1,0))</f>
        <v>0</v>
      </c>
    </row>
    <row r="706" spans="19:34">
      <c r="S706" s="17">
        <v>1</v>
      </c>
      <c r="T706" s="18"/>
      <c r="U706" s="17">
        <v>2</v>
      </c>
      <c r="V706" s="17" t="s">
        <v>75</v>
      </c>
      <c r="W706" s="18">
        <v>0</v>
      </c>
      <c r="X706" s="18" t="s">
        <v>342</v>
      </c>
      <c r="Y706" s="18">
        <f t="shared" ref="Y706:Y720" si="80">IF(W706="","",4-W706)</f>
        <v>4</v>
      </c>
      <c r="Z706" s="17" t="s">
        <v>83</v>
      </c>
      <c r="AA706" s="17">
        <v>1</v>
      </c>
      <c r="AB706" s="17" t="s">
        <v>191</v>
      </c>
      <c r="AC706" s="17" t="s">
        <v>185</v>
      </c>
      <c r="AD706" s="17" t="s">
        <v>206</v>
      </c>
      <c r="AE706" s="17" t="s">
        <v>202</v>
      </c>
      <c r="AF706" s="1">
        <f t="shared" si="77"/>
        <v>0</v>
      </c>
      <c r="AG706" s="1">
        <f t="shared" si="78"/>
        <v>0</v>
      </c>
      <c r="AH706" s="1">
        <f t="shared" si="79"/>
        <v>1</v>
      </c>
    </row>
    <row r="707" spans="19:34">
      <c r="S707" s="17">
        <v>2</v>
      </c>
      <c r="T707" s="18"/>
      <c r="U707" s="17">
        <v>2</v>
      </c>
      <c r="V707" s="17" t="s">
        <v>75</v>
      </c>
      <c r="W707" s="18">
        <v>0</v>
      </c>
      <c r="X707" s="18" t="s">
        <v>342</v>
      </c>
      <c r="Y707" s="18">
        <f t="shared" si="80"/>
        <v>4</v>
      </c>
      <c r="Z707" s="17" t="s">
        <v>39</v>
      </c>
      <c r="AA707" s="17">
        <v>1</v>
      </c>
      <c r="AB707" s="17" t="s">
        <v>180</v>
      </c>
      <c r="AC707" s="17" t="s">
        <v>172</v>
      </c>
      <c r="AD707" s="17" t="s">
        <v>200</v>
      </c>
      <c r="AE707" s="17" t="s">
        <v>198</v>
      </c>
      <c r="AF707" s="1">
        <f t="shared" si="77"/>
        <v>0</v>
      </c>
      <c r="AG707" s="1">
        <f t="shared" si="78"/>
        <v>0</v>
      </c>
      <c r="AH707" s="1">
        <f t="shared" si="79"/>
        <v>1</v>
      </c>
    </row>
    <row r="708" spans="19:34">
      <c r="S708" s="17">
        <v>3</v>
      </c>
      <c r="T708" s="18"/>
      <c r="U708" s="17">
        <v>1</v>
      </c>
      <c r="V708" s="17" t="s">
        <v>75</v>
      </c>
      <c r="W708" s="18">
        <v>0</v>
      </c>
      <c r="X708" s="18" t="s">
        <v>342</v>
      </c>
      <c r="Y708" s="18">
        <f t="shared" si="80"/>
        <v>4</v>
      </c>
      <c r="Z708" s="17" t="s">
        <v>123</v>
      </c>
      <c r="AA708" s="17">
        <v>2</v>
      </c>
      <c r="AB708" s="17" t="s">
        <v>176</v>
      </c>
      <c r="AC708" s="17" t="s">
        <v>183</v>
      </c>
      <c r="AD708" s="17" t="s">
        <v>204</v>
      </c>
      <c r="AE708" s="17" t="s">
        <v>212</v>
      </c>
      <c r="AF708" s="1">
        <f t="shared" si="77"/>
        <v>0</v>
      </c>
      <c r="AG708" s="1">
        <f t="shared" si="78"/>
        <v>0</v>
      </c>
      <c r="AH708" s="1">
        <f t="shared" si="79"/>
        <v>1</v>
      </c>
    </row>
    <row r="709" spans="19:34">
      <c r="S709" s="17">
        <v>4</v>
      </c>
      <c r="T709" s="18"/>
      <c r="U709" s="17">
        <v>2</v>
      </c>
      <c r="V709" s="17" t="s">
        <v>75</v>
      </c>
      <c r="W709" s="18">
        <v>0</v>
      </c>
      <c r="X709" s="18" t="s">
        <v>342</v>
      </c>
      <c r="Y709" s="18">
        <f t="shared" si="80"/>
        <v>4</v>
      </c>
      <c r="Z709" s="17" t="s">
        <v>81</v>
      </c>
      <c r="AA709" s="17">
        <v>1</v>
      </c>
      <c r="AB709" s="17" t="s">
        <v>196</v>
      </c>
      <c r="AC709" s="17" t="s">
        <v>193</v>
      </c>
      <c r="AD709" s="17" t="s">
        <v>208</v>
      </c>
      <c r="AE709" s="17" t="s">
        <v>164</v>
      </c>
      <c r="AF709" s="1">
        <f t="shared" si="77"/>
        <v>0</v>
      </c>
      <c r="AG709" s="1">
        <f t="shared" si="78"/>
        <v>0</v>
      </c>
      <c r="AH709" s="1">
        <f t="shared" si="79"/>
        <v>1</v>
      </c>
    </row>
    <row r="710" spans="19:34">
      <c r="S710" s="17">
        <v>5</v>
      </c>
      <c r="T710" s="18"/>
      <c r="U710" s="17">
        <v>1</v>
      </c>
      <c r="V710" s="17" t="s">
        <v>75</v>
      </c>
      <c r="W710" s="18">
        <v>0</v>
      </c>
      <c r="X710" s="18" t="s">
        <v>342</v>
      </c>
      <c r="Y710" s="18">
        <f t="shared" si="80"/>
        <v>4</v>
      </c>
      <c r="Z710" s="17" t="s">
        <v>99</v>
      </c>
      <c r="AA710" s="17">
        <v>2</v>
      </c>
      <c r="AB710" s="17" t="s">
        <v>214</v>
      </c>
      <c r="AC710" s="17" t="s">
        <v>210</v>
      </c>
      <c r="AD710" s="17" t="s">
        <v>187</v>
      </c>
      <c r="AE710" s="17" t="s">
        <v>189</v>
      </c>
      <c r="AF710" s="1">
        <f t="shared" si="77"/>
        <v>0</v>
      </c>
      <c r="AG710" s="1">
        <f t="shared" si="78"/>
        <v>0</v>
      </c>
      <c r="AH710" s="1">
        <f t="shared" si="79"/>
        <v>1</v>
      </c>
    </row>
    <row r="711" spans="19:34">
      <c r="S711" s="17">
        <v>6</v>
      </c>
      <c r="T711" s="18"/>
      <c r="U711" s="17">
        <v>1</v>
      </c>
      <c r="V711" s="17" t="s">
        <v>75</v>
      </c>
      <c r="W711" s="18">
        <v>0</v>
      </c>
      <c r="X711" s="18" t="s">
        <v>342</v>
      </c>
      <c r="Y711" s="18">
        <f t="shared" si="80"/>
        <v>4</v>
      </c>
      <c r="Z711" s="17" t="s">
        <v>107</v>
      </c>
      <c r="AA711" s="17">
        <v>2</v>
      </c>
      <c r="AB711" s="17" t="s">
        <v>204</v>
      </c>
      <c r="AC711" s="17" t="s">
        <v>210</v>
      </c>
      <c r="AD711" s="17" t="s">
        <v>180</v>
      </c>
      <c r="AE711" s="17" t="s">
        <v>189</v>
      </c>
      <c r="AF711" s="1">
        <f t="shared" si="77"/>
        <v>0</v>
      </c>
      <c r="AG711" s="1">
        <f t="shared" si="78"/>
        <v>0</v>
      </c>
      <c r="AH711" s="1">
        <f t="shared" si="79"/>
        <v>1</v>
      </c>
    </row>
    <row r="712" spans="19:34">
      <c r="S712" s="17">
        <v>7</v>
      </c>
      <c r="T712" s="18"/>
      <c r="U712" s="17">
        <v>1</v>
      </c>
      <c r="V712" s="17" t="s">
        <v>75</v>
      </c>
      <c r="W712" s="18">
        <v>0</v>
      </c>
      <c r="X712" s="18" t="s">
        <v>342</v>
      </c>
      <c r="Y712" s="18">
        <f t="shared" si="80"/>
        <v>4</v>
      </c>
      <c r="Z712" s="17" t="s">
        <v>27</v>
      </c>
      <c r="AA712" s="17">
        <v>2</v>
      </c>
      <c r="AB712" s="17" t="s">
        <v>187</v>
      </c>
      <c r="AC712" s="17" t="s">
        <v>206</v>
      </c>
      <c r="AD712" s="17" t="s">
        <v>183</v>
      </c>
      <c r="AE712" s="17" t="s">
        <v>196</v>
      </c>
      <c r="AF712" s="1">
        <f t="shared" si="77"/>
        <v>0</v>
      </c>
      <c r="AG712" s="1">
        <f t="shared" si="78"/>
        <v>0</v>
      </c>
      <c r="AH712" s="1">
        <f t="shared" si="79"/>
        <v>1</v>
      </c>
    </row>
    <row r="713" spans="19:34">
      <c r="S713" s="17">
        <v>8</v>
      </c>
      <c r="T713" s="18"/>
      <c r="U713" s="17">
        <v>1</v>
      </c>
      <c r="V713" s="17" t="s">
        <v>75</v>
      </c>
      <c r="W713" s="18">
        <v>0</v>
      </c>
      <c r="X713" s="18" t="s">
        <v>342</v>
      </c>
      <c r="Y713" s="18">
        <f t="shared" si="80"/>
        <v>4</v>
      </c>
      <c r="Z713" s="17" t="s">
        <v>49</v>
      </c>
      <c r="AA713" s="17">
        <v>2</v>
      </c>
      <c r="AB713" s="17" t="s">
        <v>200</v>
      </c>
      <c r="AC713" s="17" t="s">
        <v>198</v>
      </c>
      <c r="AD713" s="17" t="s">
        <v>212</v>
      </c>
      <c r="AE713" s="17" t="s">
        <v>185</v>
      </c>
      <c r="AF713" s="1">
        <f t="shared" si="77"/>
        <v>0</v>
      </c>
      <c r="AG713" s="1">
        <f t="shared" si="78"/>
        <v>0</v>
      </c>
      <c r="AH713" s="1">
        <f t="shared" si="79"/>
        <v>1</v>
      </c>
    </row>
    <row r="714" spans="19:34">
      <c r="S714" s="17">
        <v>9</v>
      </c>
      <c r="T714" s="18"/>
      <c r="U714" s="17">
        <v>1</v>
      </c>
      <c r="V714" s="17" t="s">
        <v>75</v>
      </c>
      <c r="W714" s="18">
        <v>2</v>
      </c>
      <c r="X714" s="18" t="s">
        <v>342</v>
      </c>
      <c r="Y714" s="18">
        <f t="shared" si="80"/>
        <v>2</v>
      </c>
      <c r="Z714" s="17" t="s">
        <v>61</v>
      </c>
      <c r="AA714" s="17">
        <v>2</v>
      </c>
      <c r="AB714" s="17" t="s">
        <v>202</v>
      </c>
      <c r="AC714" s="17" t="s">
        <v>164</v>
      </c>
      <c r="AD714" s="17" t="s">
        <v>191</v>
      </c>
      <c r="AE714" s="17" t="s">
        <v>176</v>
      </c>
      <c r="AF714" s="1">
        <f t="shared" si="77"/>
        <v>0</v>
      </c>
      <c r="AG714" s="1">
        <f t="shared" si="78"/>
        <v>1</v>
      </c>
      <c r="AH714" s="1">
        <f t="shared" si="79"/>
        <v>0</v>
      </c>
    </row>
    <row r="715" spans="19:34">
      <c r="S715" s="17">
        <v>10</v>
      </c>
      <c r="T715" s="18"/>
      <c r="U715" s="17">
        <v>2</v>
      </c>
      <c r="V715" s="17" t="s">
        <v>75</v>
      </c>
      <c r="W715" s="18">
        <v>1</v>
      </c>
      <c r="X715" s="18" t="s">
        <v>342</v>
      </c>
      <c r="Y715" s="18">
        <f t="shared" si="80"/>
        <v>3</v>
      </c>
      <c r="Z715" s="17" t="s">
        <v>111</v>
      </c>
      <c r="AA715" s="17">
        <v>1</v>
      </c>
      <c r="AB715" s="17" t="s">
        <v>172</v>
      </c>
      <c r="AC715" s="17" t="s">
        <v>208</v>
      </c>
      <c r="AD715" s="17" t="s">
        <v>214</v>
      </c>
      <c r="AE715" s="17" t="s">
        <v>193</v>
      </c>
      <c r="AF715" s="1">
        <f t="shared" si="77"/>
        <v>0</v>
      </c>
      <c r="AG715" s="1">
        <f t="shared" si="78"/>
        <v>0</v>
      </c>
      <c r="AH715" s="1">
        <f t="shared" si="79"/>
        <v>1</v>
      </c>
    </row>
    <row r="716" spans="19:34">
      <c r="S716" s="17">
        <v>11</v>
      </c>
      <c r="T716" s="18"/>
      <c r="U716" s="17">
        <v>1</v>
      </c>
      <c r="V716" s="17" t="s">
        <v>75</v>
      </c>
      <c r="W716" s="18">
        <v>0</v>
      </c>
      <c r="X716" s="18" t="s">
        <v>342</v>
      </c>
      <c r="Y716" s="18">
        <f t="shared" si="80"/>
        <v>4</v>
      </c>
      <c r="Z716" s="17" t="s">
        <v>31</v>
      </c>
      <c r="AA716" s="17">
        <v>2</v>
      </c>
      <c r="AB716" s="17" t="s">
        <v>193</v>
      </c>
      <c r="AC716" s="17" t="s">
        <v>206</v>
      </c>
      <c r="AD716" s="17" t="s">
        <v>172</v>
      </c>
      <c r="AE716" s="17" t="s">
        <v>210</v>
      </c>
      <c r="AF716" s="1">
        <f t="shared" si="77"/>
        <v>0</v>
      </c>
      <c r="AG716" s="1">
        <f t="shared" si="78"/>
        <v>0</v>
      </c>
      <c r="AH716" s="1">
        <f t="shared" si="79"/>
        <v>1</v>
      </c>
    </row>
    <row r="717" spans="19:34">
      <c r="S717" s="17">
        <v>12</v>
      </c>
      <c r="T717" s="18"/>
      <c r="U717" s="17">
        <v>1</v>
      </c>
      <c r="V717" s="17" t="s">
        <v>75</v>
      </c>
      <c r="W717" s="18">
        <v>0</v>
      </c>
      <c r="X717" s="18" t="s">
        <v>342</v>
      </c>
      <c r="Y717" s="18">
        <f t="shared" si="80"/>
        <v>4</v>
      </c>
      <c r="Z717" s="17" t="s">
        <v>125</v>
      </c>
      <c r="AA717" s="17">
        <v>2</v>
      </c>
      <c r="AB717" s="17" t="s">
        <v>214</v>
      </c>
      <c r="AC717" s="17" t="s">
        <v>180</v>
      </c>
      <c r="AD717" s="17" t="s">
        <v>176</v>
      </c>
      <c r="AE717" s="17" t="s">
        <v>202</v>
      </c>
      <c r="AF717" s="1">
        <f t="shared" si="77"/>
        <v>0</v>
      </c>
      <c r="AG717" s="1">
        <f t="shared" si="78"/>
        <v>0</v>
      </c>
      <c r="AH717" s="1">
        <f t="shared" si="79"/>
        <v>1</v>
      </c>
    </row>
    <row r="718" spans="19:34">
      <c r="S718" s="17">
        <v>13</v>
      </c>
      <c r="T718" s="18"/>
      <c r="U718" s="17">
        <v>2</v>
      </c>
      <c r="V718" s="17" t="s">
        <v>75</v>
      </c>
      <c r="W718" s="18">
        <v>4</v>
      </c>
      <c r="X718" s="18" t="s">
        <v>342</v>
      </c>
      <c r="Y718" s="18">
        <f t="shared" si="80"/>
        <v>0</v>
      </c>
      <c r="Z718" s="17" t="s">
        <v>378</v>
      </c>
      <c r="AA718" s="17">
        <v>1</v>
      </c>
      <c r="AB718" s="17" t="s">
        <v>183</v>
      </c>
      <c r="AC718" s="17" t="s">
        <v>208</v>
      </c>
      <c r="AD718" s="17" t="s">
        <v>189</v>
      </c>
      <c r="AE718" s="17" t="s">
        <v>196</v>
      </c>
      <c r="AF718" s="1">
        <f t="shared" si="77"/>
        <v>1</v>
      </c>
      <c r="AG718" s="1">
        <f t="shared" si="78"/>
        <v>0</v>
      </c>
      <c r="AH718" s="1">
        <f t="shared" si="79"/>
        <v>0</v>
      </c>
    </row>
    <row r="719" spans="19:34">
      <c r="S719" s="17">
        <v>14</v>
      </c>
      <c r="T719" s="18"/>
      <c r="U719" s="17">
        <v>1</v>
      </c>
      <c r="V719" s="17" t="s">
        <v>75</v>
      </c>
      <c r="W719" s="18">
        <v>1</v>
      </c>
      <c r="X719" s="18" t="s">
        <v>342</v>
      </c>
      <c r="Y719" s="18">
        <f t="shared" si="80"/>
        <v>3</v>
      </c>
      <c r="Z719" s="17" t="s">
        <v>65</v>
      </c>
      <c r="AA719" s="17">
        <v>2</v>
      </c>
      <c r="AB719" s="17" t="s">
        <v>204</v>
      </c>
      <c r="AC719" s="17" t="s">
        <v>185</v>
      </c>
      <c r="AD719" s="17" t="s">
        <v>164</v>
      </c>
      <c r="AE719" s="17" t="s">
        <v>187</v>
      </c>
      <c r="AF719" s="1">
        <f t="shared" si="77"/>
        <v>0</v>
      </c>
      <c r="AG719" s="1">
        <f t="shared" si="78"/>
        <v>0</v>
      </c>
      <c r="AH719" s="1">
        <f t="shared" si="79"/>
        <v>1</v>
      </c>
    </row>
    <row r="720" spans="19:34">
      <c r="S720" s="17">
        <v>15</v>
      </c>
      <c r="T720" s="18"/>
      <c r="U720" s="17">
        <v>1</v>
      </c>
      <c r="V720" s="17" t="s">
        <v>75</v>
      </c>
      <c r="W720" s="18">
        <v>3</v>
      </c>
      <c r="X720" s="18" t="s">
        <v>342</v>
      </c>
      <c r="Y720" s="18">
        <f t="shared" si="80"/>
        <v>1</v>
      </c>
      <c r="Z720" s="17" t="s">
        <v>14</v>
      </c>
      <c r="AA720" s="17">
        <v>2</v>
      </c>
      <c r="AB720" s="17" t="s">
        <v>198</v>
      </c>
      <c r="AC720" s="17" t="s">
        <v>212</v>
      </c>
      <c r="AD720" s="17" t="s">
        <v>200</v>
      </c>
      <c r="AE720" s="17" t="s">
        <v>191</v>
      </c>
      <c r="AF720" s="1">
        <f t="shared" si="77"/>
        <v>1</v>
      </c>
      <c r="AG720" s="1">
        <f t="shared" si="78"/>
        <v>0</v>
      </c>
      <c r="AH720" s="1">
        <f t="shared" si="79"/>
        <v>0</v>
      </c>
    </row>
    <row r="721" spans="19:34">
      <c r="S721" s="58" t="s">
        <v>339</v>
      </c>
      <c r="T721" s="58" t="s">
        <v>340</v>
      </c>
      <c r="U721" s="58" t="s">
        <v>341</v>
      </c>
      <c r="V721" s="58" t="s">
        <v>1</v>
      </c>
      <c r="W721" s="66" t="s">
        <v>220</v>
      </c>
      <c r="X721" s="66"/>
      <c r="Y721" s="66"/>
      <c r="Z721" s="58" t="s">
        <v>1</v>
      </c>
      <c r="AA721" s="58" t="s">
        <v>341</v>
      </c>
      <c r="AB721" s="58" t="s">
        <v>225</v>
      </c>
      <c r="AC721" s="58" t="s">
        <v>228</v>
      </c>
      <c r="AD721" s="58" t="s">
        <v>230</v>
      </c>
      <c r="AE721" s="58" t="s">
        <v>232</v>
      </c>
      <c r="AF721" s="1">
        <f t="shared" si="77"/>
        <v>1</v>
      </c>
      <c r="AG721" s="1">
        <f t="shared" si="78"/>
        <v>0</v>
      </c>
      <c r="AH721" s="1">
        <f t="shared" si="79"/>
        <v>0</v>
      </c>
    </row>
    <row r="722" spans="19:34">
      <c r="S722" s="17">
        <v>1</v>
      </c>
      <c r="T722" s="18"/>
      <c r="U722" s="17">
        <v>1</v>
      </c>
      <c r="V722" s="17" t="s">
        <v>14</v>
      </c>
      <c r="W722" s="18">
        <v>0</v>
      </c>
      <c r="X722" s="18" t="s">
        <v>342</v>
      </c>
      <c r="Y722" s="18">
        <f t="shared" ref="Y722:Y736" si="81">IF(W722="","",4-W722)</f>
        <v>4</v>
      </c>
      <c r="Z722" s="17" t="s">
        <v>39</v>
      </c>
      <c r="AA722" s="17">
        <v>2</v>
      </c>
      <c r="AB722" s="17" t="s">
        <v>191</v>
      </c>
      <c r="AC722" s="17" t="s">
        <v>185</v>
      </c>
      <c r="AD722" s="17" t="s">
        <v>206</v>
      </c>
      <c r="AE722" s="17" t="s">
        <v>202</v>
      </c>
      <c r="AF722" s="1">
        <f t="shared" si="77"/>
        <v>0</v>
      </c>
      <c r="AG722" s="1">
        <f t="shared" si="78"/>
        <v>0</v>
      </c>
      <c r="AH722" s="1">
        <f t="shared" si="79"/>
        <v>1</v>
      </c>
    </row>
    <row r="723" spans="19:34">
      <c r="S723" s="17">
        <v>2</v>
      </c>
      <c r="T723" s="18"/>
      <c r="U723" s="17">
        <v>1</v>
      </c>
      <c r="V723" s="17" t="s">
        <v>14</v>
      </c>
      <c r="W723" s="18">
        <v>0</v>
      </c>
      <c r="X723" s="18" t="s">
        <v>342</v>
      </c>
      <c r="Y723" s="18">
        <f t="shared" si="81"/>
        <v>4</v>
      </c>
      <c r="Z723" s="17" t="s">
        <v>83</v>
      </c>
      <c r="AA723" s="17">
        <v>2</v>
      </c>
      <c r="AB723" s="17" t="s">
        <v>180</v>
      </c>
      <c r="AC723" s="17" t="s">
        <v>172</v>
      </c>
      <c r="AD723" s="17" t="s">
        <v>200</v>
      </c>
      <c r="AE723" s="17" t="s">
        <v>198</v>
      </c>
      <c r="AF723" s="1">
        <f t="shared" si="77"/>
        <v>0</v>
      </c>
      <c r="AG723" s="1">
        <f t="shared" si="78"/>
        <v>0</v>
      </c>
      <c r="AH723" s="1">
        <f t="shared" si="79"/>
        <v>1</v>
      </c>
    </row>
    <row r="724" spans="19:34">
      <c r="S724" s="17">
        <v>3</v>
      </c>
      <c r="T724" s="18"/>
      <c r="U724" s="17">
        <v>1</v>
      </c>
      <c r="V724" s="17" t="s">
        <v>14</v>
      </c>
      <c r="W724" s="18">
        <v>0</v>
      </c>
      <c r="X724" s="18" t="s">
        <v>342</v>
      </c>
      <c r="Y724" s="18">
        <f t="shared" si="81"/>
        <v>4</v>
      </c>
      <c r="Z724" s="17" t="s">
        <v>81</v>
      </c>
      <c r="AA724" s="17">
        <v>2</v>
      </c>
      <c r="AB724" s="17" t="s">
        <v>176</v>
      </c>
      <c r="AC724" s="17" t="s">
        <v>183</v>
      </c>
      <c r="AD724" s="17" t="s">
        <v>204</v>
      </c>
      <c r="AE724" s="17" t="s">
        <v>212</v>
      </c>
      <c r="AF724" s="1">
        <f t="shared" si="77"/>
        <v>0</v>
      </c>
      <c r="AG724" s="1">
        <f t="shared" si="78"/>
        <v>0</v>
      </c>
      <c r="AH724" s="1">
        <f t="shared" si="79"/>
        <v>1</v>
      </c>
    </row>
    <row r="725" spans="19:34">
      <c r="S725" s="17">
        <v>4</v>
      </c>
      <c r="T725" s="18"/>
      <c r="U725" s="17">
        <v>1</v>
      </c>
      <c r="V725" s="17" t="s">
        <v>14</v>
      </c>
      <c r="W725" s="18">
        <v>0</v>
      </c>
      <c r="X725" s="18" t="s">
        <v>342</v>
      </c>
      <c r="Y725" s="18">
        <f t="shared" si="81"/>
        <v>4</v>
      </c>
      <c r="Z725" s="17" t="s">
        <v>123</v>
      </c>
      <c r="AA725" s="17">
        <v>2</v>
      </c>
      <c r="AB725" s="17" t="s">
        <v>196</v>
      </c>
      <c r="AC725" s="17" t="s">
        <v>193</v>
      </c>
      <c r="AD725" s="17" t="s">
        <v>208</v>
      </c>
      <c r="AE725" s="17" t="s">
        <v>164</v>
      </c>
      <c r="AF725" s="1">
        <f t="shared" si="77"/>
        <v>0</v>
      </c>
      <c r="AG725" s="1">
        <f t="shared" si="78"/>
        <v>0</v>
      </c>
      <c r="AH725" s="1">
        <f t="shared" si="79"/>
        <v>1</v>
      </c>
    </row>
    <row r="726" spans="19:34">
      <c r="S726" s="17">
        <v>5</v>
      </c>
      <c r="T726" s="18"/>
      <c r="U726" s="17">
        <v>1</v>
      </c>
      <c r="V726" s="17" t="s">
        <v>14</v>
      </c>
      <c r="W726" s="18">
        <v>0</v>
      </c>
      <c r="X726" s="18" t="s">
        <v>342</v>
      </c>
      <c r="Y726" s="18">
        <f t="shared" si="81"/>
        <v>4</v>
      </c>
      <c r="Z726" s="17" t="s">
        <v>107</v>
      </c>
      <c r="AA726" s="17">
        <v>2</v>
      </c>
      <c r="AB726" s="17" t="s">
        <v>214</v>
      </c>
      <c r="AC726" s="17" t="s">
        <v>210</v>
      </c>
      <c r="AD726" s="17" t="s">
        <v>187</v>
      </c>
      <c r="AE726" s="17" t="s">
        <v>189</v>
      </c>
      <c r="AF726" s="1">
        <f t="shared" si="77"/>
        <v>0</v>
      </c>
      <c r="AG726" s="1">
        <f t="shared" si="78"/>
        <v>0</v>
      </c>
      <c r="AH726" s="1">
        <f t="shared" si="79"/>
        <v>1</v>
      </c>
    </row>
    <row r="727" spans="19:34">
      <c r="S727" s="17">
        <v>6</v>
      </c>
      <c r="T727" s="18"/>
      <c r="U727" s="17">
        <v>2</v>
      </c>
      <c r="V727" s="17" t="s">
        <v>14</v>
      </c>
      <c r="W727" s="18">
        <v>0</v>
      </c>
      <c r="X727" s="18" t="s">
        <v>342</v>
      </c>
      <c r="Y727" s="18">
        <f t="shared" si="81"/>
        <v>4</v>
      </c>
      <c r="Z727" s="17" t="s">
        <v>99</v>
      </c>
      <c r="AA727" s="17">
        <v>1</v>
      </c>
      <c r="AB727" s="17" t="s">
        <v>204</v>
      </c>
      <c r="AC727" s="17" t="s">
        <v>210</v>
      </c>
      <c r="AD727" s="17" t="s">
        <v>180</v>
      </c>
      <c r="AE727" s="17" t="s">
        <v>189</v>
      </c>
      <c r="AF727" s="1">
        <f t="shared" si="77"/>
        <v>0</v>
      </c>
      <c r="AG727" s="1">
        <f t="shared" si="78"/>
        <v>0</v>
      </c>
      <c r="AH727" s="1">
        <f t="shared" si="79"/>
        <v>1</v>
      </c>
    </row>
    <row r="728" spans="19:34">
      <c r="S728" s="17">
        <v>7</v>
      </c>
      <c r="T728" s="18"/>
      <c r="U728" s="17">
        <v>1</v>
      </c>
      <c r="V728" s="17" t="s">
        <v>14</v>
      </c>
      <c r="W728" s="18">
        <v>0</v>
      </c>
      <c r="X728" s="18" t="s">
        <v>342</v>
      </c>
      <c r="Y728" s="18">
        <f t="shared" si="81"/>
        <v>4</v>
      </c>
      <c r="Z728" s="17" t="s">
        <v>49</v>
      </c>
      <c r="AA728" s="17">
        <v>2</v>
      </c>
      <c r="AB728" s="17" t="s">
        <v>187</v>
      </c>
      <c r="AC728" s="17" t="s">
        <v>206</v>
      </c>
      <c r="AD728" s="17" t="s">
        <v>183</v>
      </c>
      <c r="AE728" s="17" t="s">
        <v>196</v>
      </c>
      <c r="AF728" s="1">
        <f t="shared" si="77"/>
        <v>0</v>
      </c>
      <c r="AG728" s="1">
        <f t="shared" si="78"/>
        <v>0</v>
      </c>
      <c r="AH728" s="1">
        <f t="shared" si="79"/>
        <v>1</v>
      </c>
    </row>
    <row r="729" spans="19:34">
      <c r="S729" s="17">
        <v>8</v>
      </c>
      <c r="T729" s="18"/>
      <c r="U729" s="17">
        <v>2</v>
      </c>
      <c r="V729" s="17" t="s">
        <v>14</v>
      </c>
      <c r="W729" s="18">
        <v>0</v>
      </c>
      <c r="X729" s="18" t="s">
        <v>342</v>
      </c>
      <c r="Y729" s="18">
        <f t="shared" si="81"/>
        <v>4</v>
      </c>
      <c r="Z729" s="17" t="s">
        <v>27</v>
      </c>
      <c r="AA729" s="17">
        <v>1</v>
      </c>
      <c r="AB729" s="17" t="s">
        <v>200</v>
      </c>
      <c r="AC729" s="17" t="s">
        <v>198</v>
      </c>
      <c r="AD729" s="17" t="s">
        <v>212</v>
      </c>
      <c r="AE729" s="17" t="s">
        <v>185</v>
      </c>
      <c r="AF729" s="1">
        <f t="shared" si="77"/>
        <v>0</v>
      </c>
      <c r="AG729" s="1">
        <f t="shared" si="78"/>
        <v>0</v>
      </c>
      <c r="AH729" s="1">
        <f t="shared" si="79"/>
        <v>1</v>
      </c>
    </row>
    <row r="730" spans="19:34">
      <c r="S730" s="17">
        <v>9</v>
      </c>
      <c r="T730" s="18"/>
      <c r="U730" s="17">
        <v>1</v>
      </c>
      <c r="V730" s="17" t="s">
        <v>14</v>
      </c>
      <c r="W730" s="18">
        <v>0</v>
      </c>
      <c r="X730" s="18" t="s">
        <v>342</v>
      </c>
      <c r="Y730" s="18">
        <f t="shared" si="81"/>
        <v>4</v>
      </c>
      <c r="Z730" s="17" t="s">
        <v>111</v>
      </c>
      <c r="AA730" s="17">
        <v>2</v>
      </c>
      <c r="AB730" s="17" t="s">
        <v>202</v>
      </c>
      <c r="AC730" s="17" t="s">
        <v>164</v>
      </c>
      <c r="AD730" s="17" t="s">
        <v>191</v>
      </c>
      <c r="AE730" s="17" t="s">
        <v>176</v>
      </c>
      <c r="AF730" s="1">
        <f t="shared" si="77"/>
        <v>0</v>
      </c>
      <c r="AG730" s="1">
        <f t="shared" si="78"/>
        <v>0</v>
      </c>
      <c r="AH730" s="1">
        <f t="shared" si="79"/>
        <v>1</v>
      </c>
    </row>
    <row r="731" spans="19:34">
      <c r="S731" s="17">
        <v>10</v>
      </c>
      <c r="T731" s="18"/>
      <c r="U731" s="17">
        <v>1</v>
      </c>
      <c r="V731" s="17" t="s">
        <v>14</v>
      </c>
      <c r="W731" s="18">
        <v>0</v>
      </c>
      <c r="X731" s="18" t="s">
        <v>342</v>
      </c>
      <c r="Y731" s="18">
        <f t="shared" si="81"/>
        <v>4</v>
      </c>
      <c r="Z731" s="17" t="s">
        <v>61</v>
      </c>
      <c r="AA731" s="17">
        <v>2</v>
      </c>
      <c r="AB731" s="17" t="s">
        <v>172</v>
      </c>
      <c r="AC731" s="17" t="s">
        <v>208</v>
      </c>
      <c r="AD731" s="17" t="s">
        <v>214</v>
      </c>
      <c r="AE731" s="17" t="s">
        <v>193</v>
      </c>
      <c r="AF731" s="1">
        <f t="shared" si="77"/>
        <v>0</v>
      </c>
      <c r="AG731" s="1">
        <f t="shared" si="78"/>
        <v>0</v>
      </c>
      <c r="AH731" s="1">
        <f t="shared" si="79"/>
        <v>1</v>
      </c>
    </row>
    <row r="732" spans="19:34">
      <c r="S732" s="17">
        <v>11</v>
      </c>
      <c r="T732" s="18"/>
      <c r="U732" s="17">
        <v>1</v>
      </c>
      <c r="V732" s="17" t="s">
        <v>14</v>
      </c>
      <c r="W732" s="18">
        <v>0</v>
      </c>
      <c r="X732" s="18" t="s">
        <v>342</v>
      </c>
      <c r="Y732" s="18">
        <f t="shared" si="81"/>
        <v>4</v>
      </c>
      <c r="Z732" s="17" t="s">
        <v>125</v>
      </c>
      <c r="AA732" s="17">
        <v>2</v>
      </c>
      <c r="AB732" s="17" t="s">
        <v>193</v>
      </c>
      <c r="AC732" s="17" t="s">
        <v>206</v>
      </c>
      <c r="AD732" s="17" t="s">
        <v>172</v>
      </c>
      <c r="AE732" s="17" t="s">
        <v>210</v>
      </c>
      <c r="AF732" s="1">
        <f t="shared" si="77"/>
        <v>0</v>
      </c>
      <c r="AG732" s="1">
        <f t="shared" si="78"/>
        <v>0</v>
      </c>
      <c r="AH732" s="1">
        <f t="shared" si="79"/>
        <v>1</v>
      </c>
    </row>
    <row r="733" spans="19:34">
      <c r="S733" s="17">
        <v>12</v>
      </c>
      <c r="T733" s="18"/>
      <c r="U733" s="17">
        <v>2</v>
      </c>
      <c r="V733" s="17" t="s">
        <v>14</v>
      </c>
      <c r="W733" s="18">
        <v>0</v>
      </c>
      <c r="X733" s="18" t="s">
        <v>342</v>
      </c>
      <c r="Y733" s="18">
        <f t="shared" si="81"/>
        <v>4</v>
      </c>
      <c r="Z733" s="17" t="s">
        <v>31</v>
      </c>
      <c r="AA733" s="17">
        <v>1</v>
      </c>
      <c r="AB733" s="17" t="s">
        <v>214</v>
      </c>
      <c r="AC733" s="17" t="s">
        <v>180</v>
      </c>
      <c r="AD733" s="17" t="s">
        <v>176</v>
      </c>
      <c r="AE733" s="17" t="s">
        <v>202</v>
      </c>
      <c r="AF733" s="1">
        <f t="shared" si="77"/>
        <v>0</v>
      </c>
      <c r="AG733" s="1">
        <f t="shared" si="78"/>
        <v>0</v>
      </c>
      <c r="AH733" s="1">
        <f t="shared" si="79"/>
        <v>1</v>
      </c>
    </row>
    <row r="734" spans="19:34">
      <c r="S734" s="17">
        <v>13</v>
      </c>
      <c r="T734" s="18"/>
      <c r="U734" s="17">
        <v>2</v>
      </c>
      <c r="V734" s="17" t="s">
        <v>14</v>
      </c>
      <c r="W734" s="18">
        <v>0</v>
      </c>
      <c r="X734" s="18" t="s">
        <v>342</v>
      </c>
      <c r="Y734" s="18">
        <f t="shared" si="81"/>
        <v>4</v>
      </c>
      <c r="Z734" s="17" t="s">
        <v>65</v>
      </c>
      <c r="AA734" s="17">
        <v>1</v>
      </c>
      <c r="AB734" s="17" t="s">
        <v>183</v>
      </c>
      <c r="AC734" s="17" t="s">
        <v>208</v>
      </c>
      <c r="AD734" s="17" t="s">
        <v>189</v>
      </c>
      <c r="AE734" s="17" t="s">
        <v>196</v>
      </c>
      <c r="AF734" s="1">
        <f t="shared" si="77"/>
        <v>0</v>
      </c>
      <c r="AG734" s="1">
        <f t="shared" si="78"/>
        <v>0</v>
      </c>
      <c r="AH734" s="1">
        <f t="shared" si="79"/>
        <v>1</v>
      </c>
    </row>
    <row r="735" spans="19:34">
      <c r="S735" s="17">
        <v>14</v>
      </c>
      <c r="T735" s="18"/>
      <c r="U735" s="17">
        <v>2</v>
      </c>
      <c r="V735" s="17" t="s">
        <v>14</v>
      </c>
      <c r="W735" s="18">
        <v>4</v>
      </c>
      <c r="X735" s="18" t="s">
        <v>342</v>
      </c>
      <c r="Y735" s="18">
        <f t="shared" si="81"/>
        <v>0</v>
      </c>
      <c r="Z735" s="17" t="s">
        <v>378</v>
      </c>
      <c r="AA735" s="17">
        <v>1</v>
      </c>
      <c r="AB735" s="17" t="s">
        <v>204</v>
      </c>
      <c r="AC735" s="17" t="s">
        <v>185</v>
      </c>
      <c r="AD735" s="17" t="s">
        <v>164</v>
      </c>
      <c r="AE735" s="17" t="s">
        <v>187</v>
      </c>
      <c r="AF735" s="1">
        <f t="shared" si="77"/>
        <v>1</v>
      </c>
      <c r="AG735" s="1">
        <f t="shared" si="78"/>
        <v>0</v>
      </c>
      <c r="AH735" s="1">
        <f t="shared" si="79"/>
        <v>0</v>
      </c>
    </row>
    <row r="736" spans="19:34">
      <c r="S736" s="17">
        <v>15</v>
      </c>
      <c r="T736" s="18"/>
      <c r="U736" s="17">
        <v>2</v>
      </c>
      <c r="V736" s="17" t="s">
        <v>14</v>
      </c>
      <c r="W736" s="18">
        <v>1</v>
      </c>
      <c r="X736" s="18" t="s">
        <v>342</v>
      </c>
      <c r="Y736" s="18">
        <f t="shared" si="81"/>
        <v>3</v>
      </c>
      <c r="Z736" s="17" t="s">
        <v>75</v>
      </c>
      <c r="AA736" s="17">
        <v>1</v>
      </c>
      <c r="AB736" s="17" t="s">
        <v>198</v>
      </c>
      <c r="AC736" s="17" t="s">
        <v>212</v>
      </c>
      <c r="AD736" s="17" t="s">
        <v>200</v>
      </c>
      <c r="AE736" s="17" t="s">
        <v>191</v>
      </c>
      <c r="AF736" s="1">
        <f t="shared" si="77"/>
        <v>0</v>
      </c>
      <c r="AG736" s="1">
        <f t="shared" si="78"/>
        <v>0</v>
      </c>
      <c r="AH736" s="1">
        <f t="shared" si="79"/>
        <v>1</v>
      </c>
    </row>
    <row r="737" spans="19:34">
      <c r="S737" s="58" t="s">
        <v>339</v>
      </c>
      <c r="T737" s="58" t="s">
        <v>340</v>
      </c>
      <c r="U737" s="58" t="s">
        <v>341</v>
      </c>
      <c r="V737" s="58" t="s">
        <v>1</v>
      </c>
      <c r="W737" s="66" t="s">
        <v>220</v>
      </c>
      <c r="X737" s="66"/>
      <c r="Y737" s="66"/>
      <c r="Z737" s="58" t="s">
        <v>1</v>
      </c>
      <c r="AA737" s="58" t="s">
        <v>341</v>
      </c>
      <c r="AB737" s="58" t="s">
        <v>225</v>
      </c>
      <c r="AC737" s="58" t="s">
        <v>228</v>
      </c>
      <c r="AD737" s="58" t="s">
        <v>230</v>
      </c>
      <c r="AE737" s="58" t="s">
        <v>232</v>
      </c>
      <c r="AF737" s="1">
        <f t="shared" si="77"/>
        <v>1</v>
      </c>
      <c r="AG737" s="1">
        <f t="shared" si="78"/>
        <v>0</v>
      </c>
      <c r="AH737" s="1">
        <f t="shared" si="79"/>
        <v>0</v>
      </c>
    </row>
    <row r="738" spans="19:34">
      <c r="S738" s="17">
        <v>1</v>
      </c>
      <c r="T738" s="18"/>
      <c r="U738" s="17">
        <v>2</v>
      </c>
      <c r="V738" s="17" t="s">
        <v>65</v>
      </c>
      <c r="W738" s="18">
        <v>0</v>
      </c>
      <c r="X738" s="18" t="s">
        <v>342</v>
      </c>
      <c r="Y738" s="18">
        <f t="shared" ref="Y738:Y752" si="82">IF(W738="","",4-W738)</f>
        <v>4</v>
      </c>
      <c r="Z738" s="17" t="s">
        <v>123</v>
      </c>
      <c r="AA738" s="17">
        <v>1</v>
      </c>
      <c r="AB738" s="17" t="s">
        <v>191</v>
      </c>
      <c r="AC738" s="17" t="s">
        <v>185</v>
      </c>
      <c r="AD738" s="17" t="s">
        <v>206</v>
      </c>
      <c r="AE738" s="17" t="s">
        <v>202</v>
      </c>
      <c r="AF738" s="1">
        <f t="shared" si="77"/>
        <v>0</v>
      </c>
      <c r="AG738" s="1">
        <f t="shared" si="78"/>
        <v>0</v>
      </c>
      <c r="AH738" s="1">
        <f t="shared" si="79"/>
        <v>1</v>
      </c>
    </row>
    <row r="739" spans="19:34">
      <c r="S739" s="17">
        <v>2</v>
      </c>
      <c r="T739" s="18"/>
      <c r="U739" s="17">
        <v>2</v>
      </c>
      <c r="V739" s="17" t="s">
        <v>65</v>
      </c>
      <c r="W739" s="18">
        <v>0</v>
      </c>
      <c r="X739" s="18" t="s">
        <v>342</v>
      </c>
      <c r="Y739" s="18">
        <f t="shared" si="82"/>
        <v>4</v>
      </c>
      <c r="Z739" s="17" t="s">
        <v>81</v>
      </c>
      <c r="AA739" s="17">
        <v>1</v>
      </c>
      <c r="AB739" s="17" t="s">
        <v>180</v>
      </c>
      <c r="AC739" s="17" t="s">
        <v>172</v>
      </c>
      <c r="AD739" s="17" t="s">
        <v>200</v>
      </c>
      <c r="AE739" s="17" t="s">
        <v>198</v>
      </c>
      <c r="AF739" s="1">
        <f t="shared" si="77"/>
        <v>0</v>
      </c>
      <c r="AG739" s="1">
        <f t="shared" si="78"/>
        <v>0</v>
      </c>
      <c r="AH739" s="1">
        <f t="shared" si="79"/>
        <v>1</v>
      </c>
    </row>
    <row r="740" spans="19:34">
      <c r="S740" s="17">
        <v>3</v>
      </c>
      <c r="T740" s="18"/>
      <c r="U740" s="17">
        <v>1</v>
      </c>
      <c r="V740" s="17" t="s">
        <v>65</v>
      </c>
      <c r="W740" s="18">
        <v>0</v>
      </c>
      <c r="X740" s="18" t="s">
        <v>342</v>
      </c>
      <c r="Y740" s="18">
        <f t="shared" si="82"/>
        <v>4</v>
      </c>
      <c r="Z740" s="17" t="s">
        <v>83</v>
      </c>
      <c r="AA740" s="17">
        <v>2</v>
      </c>
      <c r="AB740" s="17" t="s">
        <v>176</v>
      </c>
      <c r="AC740" s="17" t="s">
        <v>183</v>
      </c>
      <c r="AD740" s="17" t="s">
        <v>204</v>
      </c>
      <c r="AE740" s="17" t="s">
        <v>212</v>
      </c>
      <c r="AF740" s="1">
        <f t="shared" si="77"/>
        <v>0</v>
      </c>
      <c r="AG740" s="1">
        <f t="shared" si="78"/>
        <v>0</v>
      </c>
      <c r="AH740" s="1">
        <f t="shared" si="79"/>
        <v>1</v>
      </c>
    </row>
    <row r="741" spans="19:34">
      <c r="S741" s="17">
        <v>4</v>
      </c>
      <c r="T741" s="18"/>
      <c r="U741" s="17">
        <v>2</v>
      </c>
      <c r="V741" s="17" t="s">
        <v>65</v>
      </c>
      <c r="W741" s="18">
        <v>0</v>
      </c>
      <c r="X741" s="18" t="s">
        <v>342</v>
      </c>
      <c r="Y741" s="18">
        <f t="shared" si="82"/>
        <v>4</v>
      </c>
      <c r="Z741" s="17" t="s">
        <v>39</v>
      </c>
      <c r="AA741" s="17">
        <v>1</v>
      </c>
      <c r="AB741" s="17" t="s">
        <v>196</v>
      </c>
      <c r="AC741" s="17" t="s">
        <v>193</v>
      </c>
      <c r="AD741" s="17" t="s">
        <v>208</v>
      </c>
      <c r="AE741" s="17" t="s">
        <v>164</v>
      </c>
      <c r="AF741" s="1">
        <f t="shared" si="77"/>
        <v>0</v>
      </c>
      <c r="AG741" s="1">
        <f t="shared" si="78"/>
        <v>0</v>
      </c>
      <c r="AH741" s="1">
        <f t="shared" si="79"/>
        <v>1</v>
      </c>
    </row>
    <row r="742" spans="19:34">
      <c r="S742" s="17">
        <v>5</v>
      </c>
      <c r="T742" s="18"/>
      <c r="U742" s="17">
        <v>1</v>
      </c>
      <c r="V742" s="17" t="s">
        <v>65</v>
      </c>
      <c r="W742" s="18">
        <v>0</v>
      </c>
      <c r="X742" s="18" t="s">
        <v>342</v>
      </c>
      <c r="Y742" s="18">
        <f t="shared" si="82"/>
        <v>4</v>
      </c>
      <c r="Z742" s="17" t="s">
        <v>27</v>
      </c>
      <c r="AA742" s="17">
        <v>2</v>
      </c>
      <c r="AB742" s="17" t="s">
        <v>214</v>
      </c>
      <c r="AC742" s="17" t="s">
        <v>210</v>
      </c>
      <c r="AD742" s="17" t="s">
        <v>187</v>
      </c>
      <c r="AE742" s="17" t="s">
        <v>189</v>
      </c>
      <c r="AF742" s="1">
        <f t="shared" si="77"/>
        <v>0</v>
      </c>
      <c r="AG742" s="1">
        <f t="shared" si="78"/>
        <v>0</v>
      </c>
      <c r="AH742" s="1">
        <f t="shared" si="79"/>
        <v>1</v>
      </c>
    </row>
    <row r="743" spans="19:34">
      <c r="S743" s="17">
        <v>6</v>
      </c>
      <c r="T743" s="18"/>
      <c r="U743" s="17">
        <v>2</v>
      </c>
      <c r="V743" s="17" t="s">
        <v>65</v>
      </c>
      <c r="W743" s="18">
        <v>0</v>
      </c>
      <c r="X743" s="18" t="s">
        <v>342</v>
      </c>
      <c r="Y743" s="18">
        <f t="shared" si="82"/>
        <v>4</v>
      </c>
      <c r="Z743" s="17" t="s">
        <v>49</v>
      </c>
      <c r="AA743" s="17">
        <v>1</v>
      </c>
      <c r="AB743" s="17" t="s">
        <v>204</v>
      </c>
      <c r="AC743" s="17" t="s">
        <v>210</v>
      </c>
      <c r="AD743" s="17" t="s">
        <v>180</v>
      </c>
      <c r="AE743" s="17" t="s">
        <v>189</v>
      </c>
      <c r="AF743" s="1">
        <f t="shared" si="77"/>
        <v>0</v>
      </c>
      <c r="AG743" s="1">
        <f t="shared" si="78"/>
        <v>0</v>
      </c>
      <c r="AH743" s="1">
        <f t="shared" si="79"/>
        <v>1</v>
      </c>
    </row>
    <row r="744" spans="19:34">
      <c r="S744" s="17">
        <v>7</v>
      </c>
      <c r="T744" s="18"/>
      <c r="U744" s="17">
        <v>1</v>
      </c>
      <c r="V744" s="17" t="s">
        <v>65</v>
      </c>
      <c r="W744" s="18">
        <v>1</v>
      </c>
      <c r="X744" s="18" t="s">
        <v>342</v>
      </c>
      <c r="Y744" s="18">
        <f t="shared" si="82"/>
        <v>3</v>
      </c>
      <c r="Z744" s="17" t="s">
        <v>99</v>
      </c>
      <c r="AA744" s="17">
        <v>2</v>
      </c>
      <c r="AB744" s="17" t="s">
        <v>187</v>
      </c>
      <c r="AC744" s="17" t="s">
        <v>206</v>
      </c>
      <c r="AD744" s="17" t="s">
        <v>183</v>
      </c>
      <c r="AE744" s="17" t="s">
        <v>196</v>
      </c>
      <c r="AF744" s="1">
        <f t="shared" si="77"/>
        <v>0</v>
      </c>
      <c r="AG744" s="1">
        <f t="shared" si="78"/>
        <v>0</v>
      </c>
      <c r="AH744" s="1">
        <f t="shared" si="79"/>
        <v>1</v>
      </c>
    </row>
    <row r="745" spans="19:34">
      <c r="S745" s="17">
        <v>8</v>
      </c>
      <c r="T745" s="18"/>
      <c r="U745" s="17">
        <v>1</v>
      </c>
      <c r="V745" s="17" t="s">
        <v>65</v>
      </c>
      <c r="W745" s="18">
        <v>0</v>
      </c>
      <c r="X745" s="18" t="s">
        <v>342</v>
      </c>
      <c r="Y745" s="18">
        <f t="shared" si="82"/>
        <v>4</v>
      </c>
      <c r="Z745" s="17" t="s">
        <v>107</v>
      </c>
      <c r="AA745" s="17">
        <v>2</v>
      </c>
      <c r="AB745" s="17" t="s">
        <v>200</v>
      </c>
      <c r="AC745" s="17" t="s">
        <v>198</v>
      </c>
      <c r="AD745" s="17" t="s">
        <v>212</v>
      </c>
      <c r="AE745" s="17" t="s">
        <v>185</v>
      </c>
      <c r="AF745" s="1">
        <f t="shared" si="77"/>
        <v>0</v>
      </c>
      <c r="AG745" s="1">
        <f t="shared" si="78"/>
        <v>0</v>
      </c>
      <c r="AH745" s="1">
        <f t="shared" si="79"/>
        <v>1</v>
      </c>
    </row>
    <row r="746" spans="19:34">
      <c r="S746" s="17">
        <v>9</v>
      </c>
      <c r="T746" s="18"/>
      <c r="U746" s="17">
        <v>2</v>
      </c>
      <c r="V746" s="17" t="s">
        <v>65</v>
      </c>
      <c r="W746" s="18">
        <v>0</v>
      </c>
      <c r="X746" s="18" t="s">
        <v>342</v>
      </c>
      <c r="Y746" s="18">
        <f t="shared" si="82"/>
        <v>4</v>
      </c>
      <c r="Z746" s="17" t="s">
        <v>31</v>
      </c>
      <c r="AA746" s="17">
        <v>1</v>
      </c>
      <c r="AB746" s="17" t="s">
        <v>202</v>
      </c>
      <c r="AC746" s="17" t="s">
        <v>164</v>
      </c>
      <c r="AD746" s="17" t="s">
        <v>191</v>
      </c>
      <c r="AE746" s="17" t="s">
        <v>176</v>
      </c>
      <c r="AF746" s="1">
        <f t="shared" si="77"/>
        <v>0</v>
      </c>
      <c r="AG746" s="1">
        <f t="shared" si="78"/>
        <v>0</v>
      </c>
      <c r="AH746" s="1">
        <f t="shared" si="79"/>
        <v>1</v>
      </c>
    </row>
    <row r="747" spans="19:34">
      <c r="S747" s="17">
        <v>10</v>
      </c>
      <c r="T747" s="18"/>
      <c r="U747" s="17">
        <v>1</v>
      </c>
      <c r="V747" s="17" t="s">
        <v>65</v>
      </c>
      <c r="W747" s="18">
        <v>0</v>
      </c>
      <c r="X747" s="18" t="s">
        <v>342</v>
      </c>
      <c r="Y747" s="18">
        <f t="shared" si="82"/>
        <v>4</v>
      </c>
      <c r="Z747" s="17" t="s">
        <v>125</v>
      </c>
      <c r="AA747" s="17">
        <v>2</v>
      </c>
      <c r="AB747" s="17" t="s">
        <v>172</v>
      </c>
      <c r="AC747" s="17" t="s">
        <v>208</v>
      </c>
      <c r="AD747" s="17" t="s">
        <v>214</v>
      </c>
      <c r="AE747" s="17" t="s">
        <v>193</v>
      </c>
      <c r="AF747" s="1">
        <f t="shared" si="77"/>
        <v>0</v>
      </c>
      <c r="AG747" s="1">
        <f t="shared" si="78"/>
        <v>0</v>
      </c>
      <c r="AH747" s="1">
        <f t="shared" si="79"/>
        <v>1</v>
      </c>
    </row>
    <row r="748" spans="19:34">
      <c r="S748" s="17">
        <v>11</v>
      </c>
      <c r="T748" s="18"/>
      <c r="U748" s="17">
        <v>2</v>
      </c>
      <c r="V748" s="17" t="s">
        <v>65</v>
      </c>
      <c r="W748" s="18">
        <v>0</v>
      </c>
      <c r="X748" s="18" t="s">
        <v>342</v>
      </c>
      <c r="Y748" s="18">
        <f t="shared" si="82"/>
        <v>4</v>
      </c>
      <c r="Z748" s="17" t="s">
        <v>61</v>
      </c>
      <c r="AA748" s="17">
        <v>1</v>
      </c>
      <c r="AB748" s="17" t="s">
        <v>193</v>
      </c>
      <c r="AC748" s="17" t="s">
        <v>206</v>
      </c>
      <c r="AD748" s="17" t="s">
        <v>172</v>
      </c>
      <c r="AE748" s="17" t="s">
        <v>210</v>
      </c>
      <c r="AF748" s="1">
        <f t="shared" si="77"/>
        <v>0</v>
      </c>
      <c r="AG748" s="1">
        <f t="shared" si="78"/>
        <v>0</v>
      </c>
      <c r="AH748" s="1">
        <f t="shared" si="79"/>
        <v>1</v>
      </c>
    </row>
    <row r="749" spans="19:34">
      <c r="S749" s="17">
        <v>12</v>
      </c>
      <c r="T749" s="18"/>
      <c r="U749" s="17">
        <v>2</v>
      </c>
      <c r="V749" s="17" t="s">
        <v>65</v>
      </c>
      <c r="W749" s="18">
        <v>0</v>
      </c>
      <c r="X749" s="18" t="s">
        <v>342</v>
      </c>
      <c r="Y749" s="18">
        <f t="shared" si="82"/>
        <v>4</v>
      </c>
      <c r="Z749" s="17" t="s">
        <v>111</v>
      </c>
      <c r="AA749" s="17">
        <v>1</v>
      </c>
      <c r="AB749" s="17" t="s">
        <v>214</v>
      </c>
      <c r="AC749" s="17" t="s">
        <v>180</v>
      </c>
      <c r="AD749" s="17" t="s">
        <v>176</v>
      </c>
      <c r="AE749" s="17" t="s">
        <v>202</v>
      </c>
      <c r="AF749" s="1">
        <f t="shared" si="77"/>
        <v>0</v>
      </c>
      <c r="AG749" s="1">
        <f t="shared" si="78"/>
        <v>0</v>
      </c>
      <c r="AH749" s="1">
        <f t="shared" si="79"/>
        <v>1</v>
      </c>
    </row>
    <row r="750" spans="19:34">
      <c r="S750" s="17">
        <v>13</v>
      </c>
      <c r="T750" s="18"/>
      <c r="U750" s="17">
        <v>1</v>
      </c>
      <c r="V750" s="17" t="s">
        <v>65</v>
      </c>
      <c r="W750" s="18">
        <v>4</v>
      </c>
      <c r="X750" s="18" t="s">
        <v>342</v>
      </c>
      <c r="Y750" s="18">
        <f t="shared" si="82"/>
        <v>0</v>
      </c>
      <c r="Z750" s="17" t="s">
        <v>14</v>
      </c>
      <c r="AA750" s="17">
        <v>2</v>
      </c>
      <c r="AB750" s="17" t="s">
        <v>183</v>
      </c>
      <c r="AC750" s="17" t="s">
        <v>208</v>
      </c>
      <c r="AD750" s="17" t="s">
        <v>189</v>
      </c>
      <c r="AE750" s="17" t="s">
        <v>196</v>
      </c>
      <c r="AF750" s="1">
        <f t="shared" si="77"/>
        <v>1</v>
      </c>
      <c r="AG750" s="1">
        <f t="shared" si="78"/>
        <v>0</v>
      </c>
      <c r="AH750" s="1">
        <f t="shared" si="79"/>
        <v>0</v>
      </c>
    </row>
    <row r="751" spans="19:34">
      <c r="S751" s="17">
        <v>14</v>
      </c>
      <c r="T751" s="18"/>
      <c r="U751" s="17">
        <v>2</v>
      </c>
      <c r="V751" s="17" t="s">
        <v>65</v>
      </c>
      <c r="W751" s="18">
        <v>3</v>
      </c>
      <c r="X751" s="18" t="s">
        <v>342</v>
      </c>
      <c r="Y751" s="18">
        <f t="shared" si="82"/>
        <v>1</v>
      </c>
      <c r="Z751" s="17" t="s">
        <v>75</v>
      </c>
      <c r="AA751" s="17">
        <v>1</v>
      </c>
      <c r="AB751" s="17" t="s">
        <v>204</v>
      </c>
      <c r="AC751" s="17" t="s">
        <v>185</v>
      </c>
      <c r="AD751" s="17" t="s">
        <v>164</v>
      </c>
      <c r="AE751" s="17" t="s">
        <v>187</v>
      </c>
      <c r="AF751" s="1">
        <f t="shared" si="77"/>
        <v>1</v>
      </c>
      <c r="AG751" s="1">
        <f t="shared" si="78"/>
        <v>0</v>
      </c>
      <c r="AH751" s="1">
        <f t="shared" si="79"/>
        <v>0</v>
      </c>
    </row>
    <row r="752" spans="19:34">
      <c r="S752" s="17">
        <v>15</v>
      </c>
      <c r="T752" s="18"/>
      <c r="U752" s="17">
        <v>2</v>
      </c>
      <c r="V752" s="17" t="s">
        <v>65</v>
      </c>
      <c r="W752" s="18">
        <v>4</v>
      </c>
      <c r="X752" s="18" t="s">
        <v>342</v>
      </c>
      <c r="Y752" s="18">
        <f t="shared" si="82"/>
        <v>0</v>
      </c>
      <c r="Z752" s="17" t="s">
        <v>378</v>
      </c>
      <c r="AA752" s="17">
        <v>1</v>
      </c>
      <c r="AB752" s="17" t="s">
        <v>198</v>
      </c>
      <c r="AC752" s="17" t="s">
        <v>212</v>
      </c>
      <c r="AD752" s="17" t="s">
        <v>200</v>
      </c>
      <c r="AE752" s="17" t="s">
        <v>191</v>
      </c>
      <c r="AF752" s="1">
        <f t="shared" si="77"/>
        <v>1</v>
      </c>
      <c r="AG752" s="1">
        <f t="shared" si="78"/>
        <v>0</v>
      </c>
      <c r="AH752" s="1">
        <f t="shared" si="79"/>
        <v>0</v>
      </c>
    </row>
    <row r="753" spans="19:34">
      <c r="S753" s="58" t="s">
        <v>339</v>
      </c>
      <c r="T753" s="58" t="s">
        <v>340</v>
      </c>
      <c r="U753" s="58" t="s">
        <v>341</v>
      </c>
      <c r="V753" s="58" t="s">
        <v>1</v>
      </c>
      <c r="W753" s="66" t="s">
        <v>220</v>
      </c>
      <c r="X753" s="66"/>
      <c r="Y753" s="66"/>
      <c r="Z753" s="58" t="s">
        <v>1</v>
      </c>
      <c r="AA753" s="58" t="s">
        <v>341</v>
      </c>
      <c r="AB753" s="58" t="s">
        <v>225</v>
      </c>
      <c r="AC753" s="58" t="s">
        <v>228</v>
      </c>
      <c r="AD753" s="58" t="s">
        <v>230</v>
      </c>
      <c r="AE753" s="58" t="s">
        <v>232</v>
      </c>
      <c r="AF753" s="1">
        <f t="shared" si="77"/>
        <v>1</v>
      </c>
      <c r="AG753" s="1">
        <f t="shared" si="78"/>
        <v>0</v>
      </c>
      <c r="AH753" s="1">
        <f t="shared" si="79"/>
        <v>0</v>
      </c>
    </row>
    <row r="754" spans="19:34">
      <c r="S754" s="17">
        <v>1</v>
      </c>
      <c r="T754" s="18"/>
      <c r="U754" s="17">
        <v>1</v>
      </c>
      <c r="V754" s="17" t="s">
        <v>378</v>
      </c>
      <c r="W754" s="18">
        <v>0</v>
      </c>
      <c r="X754" s="18" t="s">
        <v>342</v>
      </c>
      <c r="Y754" s="18">
        <f t="shared" ref="Y754:Y768" si="83">IF(W754="","",4-W754)</f>
        <v>4</v>
      </c>
      <c r="Z754" s="17" t="s">
        <v>81</v>
      </c>
      <c r="AA754" s="17">
        <v>2</v>
      </c>
      <c r="AB754" s="17" t="s">
        <v>191</v>
      </c>
      <c r="AC754" s="17" t="s">
        <v>185</v>
      </c>
      <c r="AD754" s="17" t="s">
        <v>206</v>
      </c>
      <c r="AE754" s="17" t="s">
        <v>202</v>
      </c>
      <c r="AF754" s="1">
        <f t="shared" si="77"/>
        <v>0</v>
      </c>
      <c r="AG754" s="1">
        <f t="shared" si="78"/>
        <v>0</v>
      </c>
      <c r="AH754" s="1">
        <f t="shared" si="79"/>
        <v>1</v>
      </c>
    </row>
    <row r="755" spans="19:34">
      <c r="S755" s="17">
        <v>2</v>
      </c>
      <c r="T755" s="18"/>
      <c r="U755" s="17">
        <v>1</v>
      </c>
      <c r="V755" s="17" t="s">
        <v>378</v>
      </c>
      <c r="W755" s="18">
        <v>0</v>
      </c>
      <c r="X755" s="18" t="s">
        <v>342</v>
      </c>
      <c r="Y755" s="18">
        <f t="shared" si="83"/>
        <v>4</v>
      </c>
      <c r="Z755" s="17" t="s">
        <v>123</v>
      </c>
      <c r="AA755" s="17">
        <v>2</v>
      </c>
      <c r="AB755" s="17" t="s">
        <v>180</v>
      </c>
      <c r="AC755" s="17" t="s">
        <v>172</v>
      </c>
      <c r="AD755" s="17" t="s">
        <v>200</v>
      </c>
      <c r="AE755" s="17" t="s">
        <v>198</v>
      </c>
      <c r="AF755" s="1">
        <f t="shared" si="77"/>
        <v>0</v>
      </c>
      <c r="AG755" s="1">
        <f t="shared" si="78"/>
        <v>0</v>
      </c>
      <c r="AH755" s="1">
        <f t="shared" si="79"/>
        <v>1</v>
      </c>
    </row>
    <row r="756" spans="19:34">
      <c r="S756" s="17">
        <v>3</v>
      </c>
      <c r="T756" s="18"/>
      <c r="U756" s="17">
        <v>2</v>
      </c>
      <c r="V756" s="17" t="s">
        <v>378</v>
      </c>
      <c r="W756" s="18">
        <v>0</v>
      </c>
      <c r="X756" s="18" t="s">
        <v>342</v>
      </c>
      <c r="Y756" s="18">
        <f t="shared" si="83"/>
        <v>4</v>
      </c>
      <c r="Z756" s="17" t="s">
        <v>39</v>
      </c>
      <c r="AA756" s="17">
        <v>1</v>
      </c>
      <c r="AB756" s="17" t="s">
        <v>176</v>
      </c>
      <c r="AC756" s="17" t="s">
        <v>183</v>
      </c>
      <c r="AD756" s="17" t="s">
        <v>204</v>
      </c>
      <c r="AE756" s="17" t="s">
        <v>212</v>
      </c>
      <c r="AF756" s="1">
        <f t="shared" si="77"/>
        <v>0</v>
      </c>
      <c r="AG756" s="1">
        <f t="shared" si="78"/>
        <v>0</v>
      </c>
      <c r="AH756" s="1">
        <f t="shared" si="79"/>
        <v>1</v>
      </c>
    </row>
    <row r="757" spans="19:34">
      <c r="S757" s="17">
        <v>4</v>
      </c>
      <c r="T757" s="18"/>
      <c r="U757" s="17">
        <v>2</v>
      </c>
      <c r="V757" s="17" t="s">
        <v>378</v>
      </c>
      <c r="W757" s="18">
        <v>0</v>
      </c>
      <c r="X757" s="18" t="s">
        <v>342</v>
      </c>
      <c r="Y757" s="18">
        <f t="shared" si="83"/>
        <v>4</v>
      </c>
      <c r="Z757" s="17" t="s">
        <v>83</v>
      </c>
      <c r="AA757" s="17">
        <v>1</v>
      </c>
      <c r="AB757" s="17" t="s">
        <v>196</v>
      </c>
      <c r="AC757" s="17" t="s">
        <v>193</v>
      </c>
      <c r="AD757" s="17" t="s">
        <v>208</v>
      </c>
      <c r="AE757" s="17" t="s">
        <v>164</v>
      </c>
      <c r="AF757" s="1">
        <f t="shared" si="77"/>
        <v>0</v>
      </c>
      <c r="AG757" s="1">
        <f t="shared" si="78"/>
        <v>0</v>
      </c>
      <c r="AH757" s="1">
        <f t="shared" si="79"/>
        <v>1</v>
      </c>
    </row>
    <row r="758" spans="19:34">
      <c r="S758" s="17">
        <v>5</v>
      </c>
      <c r="T758" s="18"/>
      <c r="U758" s="17">
        <v>1</v>
      </c>
      <c r="V758" s="17" t="s">
        <v>378</v>
      </c>
      <c r="W758" s="18">
        <v>0</v>
      </c>
      <c r="X758" s="18" t="s">
        <v>342</v>
      </c>
      <c r="Y758" s="18">
        <f t="shared" si="83"/>
        <v>4</v>
      </c>
      <c r="Z758" s="17" t="s">
        <v>49</v>
      </c>
      <c r="AA758" s="17">
        <v>2</v>
      </c>
      <c r="AB758" s="17" t="s">
        <v>214</v>
      </c>
      <c r="AC758" s="17" t="s">
        <v>210</v>
      </c>
      <c r="AD758" s="17" t="s">
        <v>187</v>
      </c>
      <c r="AE758" s="17" t="s">
        <v>189</v>
      </c>
      <c r="AF758" s="1">
        <f t="shared" si="77"/>
        <v>0</v>
      </c>
      <c r="AG758" s="1">
        <f t="shared" si="78"/>
        <v>0</v>
      </c>
      <c r="AH758" s="1">
        <f t="shared" si="79"/>
        <v>1</v>
      </c>
    </row>
    <row r="759" spans="19:34">
      <c r="S759" s="17">
        <v>6</v>
      </c>
      <c r="T759" s="18"/>
      <c r="U759" s="17">
        <v>1</v>
      </c>
      <c r="V759" s="17" t="s">
        <v>378</v>
      </c>
      <c r="W759" s="18">
        <v>0</v>
      </c>
      <c r="X759" s="18" t="s">
        <v>342</v>
      </c>
      <c r="Y759" s="18">
        <f t="shared" si="83"/>
        <v>4</v>
      </c>
      <c r="Z759" s="17" t="s">
        <v>27</v>
      </c>
      <c r="AA759" s="17">
        <v>2</v>
      </c>
      <c r="AB759" s="17" t="s">
        <v>204</v>
      </c>
      <c r="AC759" s="17" t="s">
        <v>210</v>
      </c>
      <c r="AD759" s="17" t="s">
        <v>180</v>
      </c>
      <c r="AE759" s="17" t="s">
        <v>189</v>
      </c>
      <c r="AF759" s="1">
        <f t="shared" si="77"/>
        <v>0</v>
      </c>
      <c r="AG759" s="1">
        <f t="shared" si="78"/>
        <v>0</v>
      </c>
      <c r="AH759" s="1">
        <f t="shared" si="79"/>
        <v>1</v>
      </c>
    </row>
    <row r="760" spans="19:34">
      <c r="S760" s="17">
        <v>7</v>
      </c>
      <c r="T760" s="18"/>
      <c r="U760" s="17">
        <v>2</v>
      </c>
      <c r="V760" s="17" t="s">
        <v>378</v>
      </c>
      <c r="W760" s="18">
        <v>0</v>
      </c>
      <c r="X760" s="18" t="s">
        <v>342</v>
      </c>
      <c r="Y760" s="18">
        <f t="shared" si="83"/>
        <v>4</v>
      </c>
      <c r="Z760" s="17" t="s">
        <v>107</v>
      </c>
      <c r="AA760" s="17">
        <v>1</v>
      </c>
      <c r="AB760" s="17" t="s">
        <v>187</v>
      </c>
      <c r="AC760" s="17" t="s">
        <v>206</v>
      </c>
      <c r="AD760" s="17" t="s">
        <v>183</v>
      </c>
      <c r="AE760" s="17" t="s">
        <v>196</v>
      </c>
      <c r="AF760" s="1">
        <f t="shared" si="77"/>
        <v>0</v>
      </c>
      <c r="AG760" s="1">
        <f t="shared" si="78"/>
        <v>0</v>
      </c>
      <c r="AH760" s="1">
        <f t="shared" si="79"/>
        <v>1</v>
      </c>
    </row>
    <row r="761" spans="19:34">
      <c r="S761" s="17">
        <v>8</v>
      </c>
      <c r="T761" s="18"/>
      <c r="U761" s="17">
        <v>2</v>
      </c>
      <c r="V761" s="17" t="s">
        <v>378</v>
      </c>
      <c r="W761" s="18">
        <v>0</v>
      </c>
      <c r="X761" s="18" t="s">
        <v>342</v>
      </c>
      <c r="Y761" s="18">
        <f t="shared" si="83"/>
        <v>4</v>
      </c>
      <c r="Z761" s="17" t="s">
        <v>99</v>
      </c>
      <c r="AA761" s="17">
        <v>1</v>
      </c>
      <c r="AB761" s="17" t="s">
        <v>200</v>
      </c>
      <c r="AC761" s="17" t="s">
        <v>198</v>
      </c>
      <c r="AD761" s="17" t="s">
        <v>212</v>
      </c>
      <c r="AE761" s="17" t="s">
        <v>185</v>
      </c>
      <c r="AF761" s="1">
        <f t="shared" si="77"/>
        <v>0</v>
      </c>
      <c r="AG761" s="1">
        <f t="shared" si="78"/>
        <v>0</v>
      </c>
      <c r="AH761" s="1">
        <f t="shared" si="79"/>
        <v>1</v>
      </c>
    </row>
    <row r="762" spans="19:34">
      <c r="S762" s="17">
        <v>9</v>
      </c>
      <c r="T762" s="18"/>
      <c r="U762" s="17">
        <v>2</v>
      </c>
      <c r="V762" s="17" t="s">
        <v>378</v>
      </c>
      <c r="W762" s="18">
        <v>0</v>
      </c>
      <c r="X762" s="18" t="s">
        <v>342</v>
      </c>
      <c r="Y762" s="18">
        <f t="shared" si="83"/>
        <v>4</v>
      </c>
      <c r="Z762" s="17" t="s">
        <v>125</v>
      </c>
      <c r="AA762" s="17">
        <v>1</v>
      </c>
      <c r="AB762" s="17" t="s">
        <v>202</v>
      </c>
      <c r="AC762" s="17" t="s">
        <v>164</v>
      </c>
      <c r="AD762" s="17" t="s">
        <v>191</v>
      </c>
      <c r="AE762" s="17" t="s">
        <v>176</v>
      </c>
      <c r="AF762" s="1">
        <f t="shared" si="77"/>
        <v>0</v>
      </c>
      <c r="AG762" s="1">
        <f t="shared" si="78"/>
        <v>0</v>
      </c>
      <c r="AH762" s="1">
        <f t="shared" si="79"/>
        <v>1</v>
      </c>
    </row>
    <row r="763" spans="19:34">
      <c r="S763" s="17">
        <v>10</v>
      </c>
      <c r="T763" s="18"/>
      <c r="U763" s="17">
        <v>1</v>
      </c>
      <c r="V763" s="17" t="s">
        <v>378</v>
      </c>
      <c r="W763" s="18">
        <v>0</v>
      </c>
      <c r="X763" s="18" t="s">
        <v>342</v>
      </c>
      <c r="Y763" s="18">
        <f t="shared" si="83"/>
        <v>4</v>
      </c>
      <c r="Z763" s="17" t="s">
        <v>31</v>
      </c>
      <c r="AA763" s="17">
        <v>2</v>
      </c>
      <c r="AB763" s="17" t="s">
        <v>172</v>
      </c>
      <c r="AC763" s="17" t="s">
        <v>208</v>
      </c>
      <c r="AD763" s="17" t="s">
        <v>214</v>
      </c>
      <c r="AE763" s="17" t="s">
        <v>193</v>
      </c>
      <c r="AF763" s="1">
        <f t="shared" si="77"/>
        <v>0</v>
      </c>
      <c r="AG763" s="1">
        <f t="shared" si="78"/>
        <v>0</v>
      </c>
      <c r="AH763" s="1">
        <f t="shared" si="79"/>
        <v>1</v>
      </c>
    </row>
    <row r="764" spans="19:34">
      <c r="S764" s="17">
        <v>11</v>
      </c>
      <c r="T764" s="18"/>
      <c r="U764" s="17">
        <v>2</v>
      </c>
      <c r="V764" s="17" t="s">
        <v>378</v>
      </c>
      <c r="W764" s="18">
        <v>0</v>
      </c>
      <c r="X764" s="18" t="s">
        <v>342</v>
      </c>
      <c r="Y764" s="18">
        <f t="shared" si="83"/>
        <v>4</v>
      </c>
      <c r="Z764" s="17" t="s">
        <v>111</v>
      </c>
      <c r="AA764" s="17">
        <v>1</v>
      </c>
      <c r="AB764" s="17" t="s">
        <v>193</v>
      </c>
      <c r="AC764" s="17" t="s">
        <v>206</v>
      </c>
      <c r="AD764" s="17" t="s">
        <v>172</v>
      </c>
      <c r="AE764" s="17" t="s">
        <v>210</v>
      </c>
      <c r="AF764" s="1">
        <f t="shared" si="77"/>
        <v>0</v>
      </c>
      <c r="AG764" s="1">
        <f t="shared" si="78"/>
        <v>0</v>
      </c>
      <c r="AH764" s="1">
        <f t="shared" si="79"/>
        <v>1</v>
      </c>
    </row>
    <row r="765" spans="19:34">
      <c r="S765" s="17">
        <v>12</v>
      </c>
      <c r="T765" s="18"/>
      <c r="U765" s="17">
        <v>2</v>
      </c>
      <c r="V765" s="17" t="s">
        <v>378</v>
      </c>
      <c r="W765" s="18">
        <v>0</v>
      </c>
      <c r="X765" s="18" t="s">
        <v>342</v>
      </c>
      <c r="Y765" s="18">
        <f t="shared" si="83"/>
        <v>4</v>
      </c>
      <c r="Z765" s="17" t="s">
        <v>61</v>
      </c>
      <c r="AA765" s="17">
        <v>1</v>
      </c>
      <c r="AB765" s="17" t="s">
        <v>214</v>
      </c>
      <c r="AC765" s="17" t="s">
        <v>180</v>
      </c>
      <c r="AD765" s="17" t="s">
        <v>176</v>
      </c>
      <c r="AE765" s="17" t="s">
        <v>202</v>
      </c>
      <c r="AF765" s="1">
        <f t="shared" si="77"/>
        <v>0</v>
      </c>
      <c r="AG765" s="1">
        <f t="shared" si="78"/>
        <v>0</v>
      </c>
      <c r="AH765" s="1">
        <f t="shared" si="79"/>
        <v>1</v>
      </c>
    </row>
    <row r="766" spans="19:34">
      <c r="S766" s="17">
        <v>13</v>
      </c>
      <c r="T766" s="18"/>
      <c r="U766" s="17">
        <v>1</v>
      </c>
      <c r="V766" s="17" t="s">
        <v>378</v>
      </c>
      <c r="W766" s="18">
        <v>0</v>
      </c>
      <c r="X766" s="18" t="s">
        <v>342</v>
      </c>
      <c r="Y766" s="18">
        <f t="shared" si="83"/>
        <v>4</v>
      </c>
      <c r="Z766" s="17" t="s">
        <v>75</v>
      </c>
      <c r="AA766" s="17">
        <v>2</v>
      </c>
      <c r="AB766" s="17" t="s">
        <v>183</v>
      </c>
      <c r="AC766" s="17" t="s">
        <v>208</v>
      </c>
      <c r="AD766" s="17" t="s">
        <v>189</v>
      </c>
      <c r="AE766" s="17" t="s">
        <v>196</v>
      </c>
      <c r="AF766" s="1">
        <f t="shared" si="77"/>
        <v>0</v>
      </c>
      <c r="AG766" s="1">
        <f t="shared" si="78"/>
        <v>0</v>
      </c>
      <c r="AH766" s="1">
        <f t="shared" si="79"/>
        <v>1</v>
      </c>
    </row>
    <row r="767" spans="19:34">
      <c r="S767" s="17">
        <v>14</v>
      </c>
      <c r="T767" s="18"/>
      <c r="U767" s="17">
        <v>1</v>
      </c>
      <c r="V767" s="17" t="s">
        <v>378</v>
      </c>
      <c r="W767" s="18">
        <v>0</v>
      </c>
      <c r="X767" s="18" t="s">
        <v>342</v>
      </c>
      <c r="Y767" s="18">
        <f t="shared" si="83"/>
        <v>4</v>
      </c>
      <c r="Z767" s="17" t="s">
        <v>14</v>
      </c>
      <c r="AA767" s="17">
        <v>2</v>
      </c>
      <c r="AB767" s="17" t="s">
        <v>204</v>
      </c>
      <c r="AC767" s="17" t="s">
        <v>185</v>
      </c>
      <c r="AD767" s="17" t="s">
        <v>164</v>
      </c>
      <c r="AE767" s="17" t="s">
        <v>187</v>
      </c>
      <c r="AF767" s="1">
        <f t="shared" si="77"/>
        <v>0</v>
      </c>
      <c r="AG767" s="1">
        <f t="shared" si="78"/>
        <v>0</v>
      </c>
      <c r="AH767" s="1">
        <f t="shared" si="79"/>
        <v>1</v>
      </c>
    </row>
    <row r="768" spans="19:34">
      <c r="S768" s="17">
        <v>15</v>
      </c>
      <c r="T768" s="18"/>
      <c r="U768" s="17">
        <v>1</v>
      </c>
      <c r="V768" s="17" t="s">
        <v>378</v>
      </c>
      <c r="W768" s="18">
        <v>0</v>
      </c>
      <c r="X768" s="18" t="s">
        <v>342</v>
      </c>
      <c r="Y768" s="18">
        <f t="shared" si="83"/>
        <v>4</v>
      </c>
      <c r="Z768" s="17" t="s">
        <v>65</v>
      </c>
      <c r="AA768" s="17">
        <v>2</v>
      </c>
      <c r="AB768" s="17" t="s">
        <v>198</v>
      </c>
      <c r="AC768" s="17" t="s">
        <v>212</v>
      </c>
      <c r="AD768" s="17" t="s">
        <v>200</v>
      </c>
      <c r="AE768" s="17" t="s">
        <v>191</v>
      </c>
      <c r="AF768" s="1">
        <f t="shared" si="77"/>
        <v>0</v>
      </c>
      <c r="AG768" s="1">
        <f t="shared" si="78"/>
        <v>0</v>
      </c>
      <c r="AH768" s="1">
        <f t="shared" si="79"/>
        <v>1</v>
      </c>
    </row>
  </sheetData>
  <mergeCells count="48">
    <mergeCell ref="W737:Y737"/>
    <mergeCell ref="W753:Y753"/>
    <mergeCell ref="W657:Y657"/>
    <mergeCell ref="W673:Y673"/>
    <mergeCell ref="W689:Y689"/>
    <mergeCell ref="W705:Y705"/>
    <mergeCell ref="W721:Y721"/>
    <mergeCell ref="W577:Y577"/>
    <mergeCell ref="W593:Y593"/>
    <mergeCell ref="W609:Y609"/>
    <mergeCell ref="W625:Y625"/>
    <mergeCell ref="W641:Y641"/>
    <mergeCell ref="W497:Y497"/>
    <mergeCell ref="W513:Y513"/>
    <mergeCell ref="W529:Y529"/>
    <mergeCell ref="W545:Y545"/>
    <mergeCell ref="W561:Y561"/>
    <mergeCell ref="W417:Y417"/>
    <mergeCell ref="W433:Y433"/>
    <mergeCell ref="W449:Y449"/>
    <mergeCell ref="W465:Y465"/>
    <mergeCell ref="W481:Y481"/>
    <mergeCell ref="W337:Y337"/>
    <mergeCell ref="W353:Y353"/>
    <mergeCell ref="W369:Y369"/>
    <mergeCell ref="W385:Y385"/>
    <mergeCell ref="W401:Y401"/>
    <mergeCell ref="W257:Y257"/>
    <mergeCell ref="W273:Y273"/>
    <mergeCell ref="W289:Y289"/>
    <mergeCell ref="W305:Y305"/>
    <mergeCell ref="W321:Y321"/>
    <mergeCell ref="W1:Y1"/>
    <mergeCell ref="W17:Y17"/>
    <mergeCell ref="W33:Y33"/>
    <mergeCell ref="W49:Y49"/>
    <mergeCell ref="W65:Y65"/>
    <mergeCell ref="W81:Y81"/>
    <mergeCell ref="W97:Y97"/>
    <mergeCell ref="W113:Y113"/>
    <mergeCell ref="W129:Y129"/>
    <mergeCell ref="W145:Y145"/>
    <mergeCell ref="W241:Y241"/>
    <mergeCell ref="W161:Y161"/>
    <mergeCell ref="W177:Y177"/>
    <mergeCell ref="W193:Y193"/>
    <mergeCell ref="W209:Y209"/>
    <mergeCell ref="W225:Y225"/>
  </mergeCells>
  <conditionalFormatting sqref="B2:Q43">
    <cfRule type="notContainsBlanks" dxfId="96" priority="5">
      <formula>LEN(TRIM(B2))&gt;0</formula>
    </cfRule>
  </conditionalFormatting>
  <conditionalFormatting sqref="T2:T16 W2:Y16">
    <cfRule type="cellIs" dxfId="95" priority="7" operator="equal">
      <formula>"-"</formula>
    </cfRule>
  </conditionalFormatting>
  <conditionalFormatting sqref="T18:T32 W18:Y32 T34:T48 W34:Y48 T50:T64 W50:Y64 T66:T80 W66:Y80 T82:T96 W82:Y96 T98:T112 W98:Y112 T114:T128 W114:Y128 T130:T144 W130:Y144 T146:T160 W146:Y160 T162:T176 W162:Y176 T178:T192 W178:Y192 T194:T208 W194:Y208 T210:T224 W210:Y224 T226:T240 W226:Y240 T242:T256 X242:Y256">
    <cfRule type="cellIs" dxfId="94" priority="6" operator="equal">
      <formula>"-"</formula>
    </cfRule>
  </conditionalFormatting>
  <conditionalFormatting sqref="AK2:AM46">
    <cfRule type="notContainsBlanks" dxfId="93" priority="4">
      <formula>LEN(TRIM(AK2))&gt;0</formula>
    </cfRule>
  </conditionalFormatting>
  <conditionalFormatting sqref="AP2:AP46">
    <cfRule type="notContainsBlanks" dxfId="92" priority="3">
      <formula>LEN(TRIM(AP2))&gt;0</formula>
    </cfRule>
  </conditionalFormatting>
  <conditionalFormatting sqref="B44:Q46">
    <cfRule type="notContainsBlanks" dxfId="91" priority="2">
      <formula>LEN(TRIM(B44))&gt;0</formula>
    </cfRule>
  </conditionalFormatting>
  <conditionalFormatting sqref="AQ2:AR2">
    <cfRule type="notContainsBlanks" dxfId="90" priority="1">
      <formula>LEN(TRIM(AQ2))&gt;0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DAD9D-AAA7-4CE7-BDAB-E96E257344C9}">
  <sheetPr codeName="Sheet15">
    <tabColor rgb="FF0070C0"/>
  </sheetPr>
  <dimension ref="A1:DC54"/>
  <sheetViews>
    <sheetView zoomScaleNormal="100" workbookViewId="0">
      <selection activeCell="BC19" sqref="BC19"/>
    </sheetView>
  </sheetViews>
  <sheetFormatPr defaultColWidth="16.7109375" defaultRowHeight="12.75"/>
  <cols>
    <col min="1" max="1" width="5.7109375" style="1" bestFit="1" customWidth="1"/>
    <col min="2" max="2" width="13.140625" style="1" bestFit="1" customWidth="1"/>
    <col min="3" max="3" width="5.7109375" style="4" customWidth="1"/>
    <col min="4" max="4" width="6.7109375" style="4" bestFit="1" customWidth="1"/>
    <col min="5" max="5" width="5.7109375" style="4" customWidth="1"/>
    <col min="6" max="6" width="25.7109375" style="4" customWidth="1"/>
    <col min="7" max="8" width="5.7109375" style="4" customWidth="1"/>
    <col min="9" max="10" width="1.7109375" style="4" customWidth="1"/>
    <col min="11" max="11" width="6.7109375" style="4" bestFit="1" customWidth="1"/>
    <col min="12" max="12" width="5.7109375" style="4" customWidth="1"/>
    <col min="13" max="13" width="25.7109375" style="4" customWidth="1"/>
    <col min="14" max="15" width="5.7109375" style="4" customWidth="1"/>
    <col min="16" max="17" width="1.7109375" style="4" customWidth="1"/>
    <col min="18" max="18" width="6.7109375" style="4" bestFit="1" customWidth="1"/>
    <col min="19" max="19" width="5.7109375" style="4" customWidth="1"/>
    <col min="20" max="20" width="25.7109375" style="4" customWidth="1"/>
    <col min="21" max="22" width="5.7109375" style="4" customWidth="1"/>
    <col min="23" max="24" width="1.7109375" style="4" customWidth="1"/>
    <col min="25" max="25" width="6.7109375" style="4" bestFit="1" customWidth="1"/>
    <col min="26" max="26" width="5.7109375" style="4" customWidth="1"/>
    <col min="27" max="27" width="25.7109375" style="4" customWidth="1"/>
    <col min="28" max="29" width="5.7109375" style="4" customWidth="1"/>
    <col min="30" max="31" width="1.7109375" style="4" customWidth="1"/>
    <col min="32" max="32" width="6.7109375" style="4" bestFit="1" customWidth="1"/>
    <col min="33" max="33" width="5.7109375" style="4" customWidth="1"/>
    <col min="34" max="34" width="25.7109375" style="4" customWidth="1"/>
    <col min="35" max="36" width="5.7109375" style="4" customWidth="1"/>
    <col min="37" max="38" width="1.7109375" style="4" customWidth="1"/>
    <col min="39" max="39" width="6.7109375" style="4" bestFit="1" customWidth="1"/>
    <col min="40" max="40" width="5.7109375" style="4" customWidth="1"/>
    <col min="41" max="41" width="25.7109375" style="4" customWidth="1"/>
    <col min="42" max="43" width="5.7109375" style="4" customWidth="1"/>
    <col min="44" max="45" width="1.7109375" style="4" customWidth="1"/>
    <col min="46" max="46" width="6.7109375" style="4" bestFit="1" customWidth="1"/>
    <col min="47" max="47" width="5.7109375" style="4" customWidth="1"/>
    <col min="48" max="48" width="25.7109375" style="4" customWidth="1"/>
    <col min="49" max="50" width="5.7109375" style="4" customWidth="1"/>
    <col min="51" max="52" width="1.7109375" style="4" customWidth="1"/>
    <col min="53" max="53" width="6.7109375" style="4" bestFit="1" customWidth="1"/>
    <col min="54" max="54" width="5.7109375" style="4" customWidth="1"/>
    <col min="55" max="55" width="25.7109375" style="4" customWidth="1"/>
    <col min="56" max="58" width="5.7109375" style="4" customWidth="1"/>
    <col min="59" max="59" width="7.5703125" style="4" bestFit="1" customWidth="1"/>
    <col min="60" max="60" width="25.7109375" style="4" customWidth="1"/>
    <col min="61" max="61" width="8.140625" style="4" bestFit="1" customWidth="1"/>
    <col min="62" max="62" width="4" style="4" customWidth="1"/>
    <col min="63" max="63" width="6.7109375" style="4" bestFit="1" customWidth="1"/>
    <col min="64" max="64" width="12.5703125" style="4" bestFit="1" customWidth="1"/>
    <col min="65" max="65" width="8" style="4" bestFit="1" customWidth="1"/>
    <col min="66" max="66" width="6.42578125" style="4" bestFit="1" customWidth="1"/>
    <col min="67" max="67" width="5.7109375" style="4" customWidth="1"/>
    <col min="68" max="68" width="3.5703125" style="4" bestFit="1" customWidth="1"/>
    <col min="69" max="69" width="8.140625" style="4" bestFit="1" customWidth="1"/>
    <col min="70" max="70" width="4.42578125" style="4" customWidth="1"/>
    <col min="71" max="71" width="6.7109375" style="4" bestFit="1" customWidth="1"/>
    <col min="72" max="72" width="12.5703125" style="4" bestFit="1" customWidth="1"/>
    <col min="73" max="73" width="8" style="4" bestFit="1" customWidth="1"/>
    <col min="74" max="74" width="6.42578125" style="4" bestFit="1" customWidth="1"/>
    <col min="75" max="75" width="5.7109375" style="4" customWidth="1"/>
    <col min="76" max="76" width="3.5703125" style="4" bestFit="1" customWidth="1"/>
    <col min="77" max="77" width="8.140625" style="4" bestFit="1" customWidth="1"/>
    <col min="78" max="78" width="5.140625" style="4" customWidth="1"/>
    <col min="79" max="79" width="6.7109375" style="4" bestFit="1" customWidth="1"/>
    <col min="80" max="80" width="12.5703125" style="4" bestFit="1" customWidth="1"/>
    <col min="81" max="81" width="8" style="4" bestFit="1" customWidth="1"/>
    <col min="82" max="82" width="6.42578125" style="4" bestFit="1" customWidth="1"/>
    <col min="83" max="83" width="5.7109375" style="4" customWidth="1"/>
    <col min="84" max="84" width="3.5703125" style="4" bestFit="1" customWidth="1"/>
    <col min="85" max="85" width="8.140625" style="4" bestFit="1" customWidth="1"/>
    <col min="86" max="86" width="4" style="4" customWidth="1"/>
    <col min="87" max="87" width="6.7109375" style="4" bestFit="1" customWidth="1"/>
    <col min="88" max="88" width="12.5703125" style="4" bestFit="1" customWidth="1"/>
    <col min="89" max="89" width="8" style="4" bestFit="1" customWidth="1"/>
    <col min="90" max="90" width="6.42578125" style="4" bestFit="1" customWidth="1"/>
    <col min="91" max="91" width="5.7109375" style="4" customWidth="1"/>
    <col min="92" max="92" width="3.5703125" style="4" bestFit="1" customWidth="1"/>
    <col min="93" max="93" width="8.140625" style="4" bestFit="1" customWidth="1"/>
    <col min="94" max="94" width="4" style="4" customWidth="1"/>
    <col min="95" max="95" width="6.7109375" style="4" bestFit="1" customWidth="1"/>
    <col min="96" max="96" width="12.5703125" style="4" bestFit="1" customWidth="1"/>
    <col min="97" max="97" width="8" style="4" bestFit="1" customWidth="1"/>
    <col min="98" max="98" width="6.42578125" style="4" bestFit="1" customWidth="1"/>
    <col min="99" max="99" width="5.7109375" style="4" customWidth="1"/>
    <col min="100" max="100" width="6.140625" style="4" bestFit="1" customWidth="1"/>
    <col min="101" max="101" width="8.28515625" style="4" bestFit="1" customWidth="1"/>
    <col min="102" max="102" width="6.85546875" style="4" bestFit="1" customWidth="1"/>
    <col min="103" max="16384" width="16.7109375" style="4"/>
  </cols>
  <sheetData>
    <row r="1" spans="1:61" ht="15" customHeight="1">
      <c r="A1" s="67" t="s">
        <v>346</v>
      </c>
      <c r="B1" s="68"/>
      <c r="C1" s="19"/>
      <c r="D1" s="67" t="s">
        <v>347</v>
      </c>
      <c r="E1" s="68"/>
      <c r="F1" s="68"/>
      <c r="G1" s="68"/>
      <c r="H1" s="76"/>
      <c r="I1" s="19"/>
      <c r="J1" s="19"/>
      <c r="K1" s="67" t="s">
        <v>348</v>
      </c>
      <c r="L1" s="68"/>
      <c r="M1" s="68"/>
      <c r="N1" s="68"/>
      <c r="O1" s="76"/>
      <c r="P1" s="19"/>
      <c r="Q1" s="19"/>
      <c r="R1" s="67" t="s">
        <v>349</v>
      </c>
      <c r="S1" s="68"/>
      <c r="T1" s="68"/>
      <c r="U1" s="68"/>
      <c r="V1" s="76"/>
      <c r="Y1" s="67" t="s">
        <v>350</v>
      </c>
      <c r="Z1" s="68"/>
      <c r="AA1" s="68"/>
      <c r="AB1" s="68"/>
      <c r="AC1" s="76"/>
      <c r="AF1" s="67" t="s">
        <v>351</v>
      </c>
      <c r="AG1" s="68"/>
      <c r="AH1" s="68"/>
      <c r="AI1" s="68"/>
      <c r="AJ1" s="76"/>
      <c r="AM1" s="67" t="s">
        <v>352</v>
      </c>
      <c r="AN1" s="68"/>
      <c r="AO1" s="68"/>
      <c r="AP1" s="68"/>
      <c r="AQ1" s="76"/>
      <c r="AT1" s="67" t="s">
        <v>157</v>
      </c>
      <c r="AU1" s="68"/>
      <c r="AV1" s="68"/>
      <c r="AW1" s="68"/>
      <c r="AX1" s="76"/>
      <c r="BA1" s="67" t="s">
        <v>158</v>
      </c>
      <c r="BB1" s="68"/>
      <c r="BC1" s="68"/>
      <c r="BD1" s="68"/>
      <c r="BE1" s="76"/>
      <c r="BG1" s="77" t="s">
        <v>306</v>
      </c>
      <c r="BH1" s="78"/>
      <c r="BI1" s="78"/>
    </row>
    <row r="2" spans="1:61" ht="15" customHeight="1">
      <c r="A2" s="27" t="s">
        <v>0</v>
      </c>
      <c r="B2" s="27" t="s">
        <v>1</v>
      </c>
      <c r="D2" s="28" t="s">
        <v>194</v>
      </c>
      <c r="E2" s="81" t="s">
        <v>379</v>
      </c>
      <c r="F2" s="82"/>
      <c r="G2" s="82"/>
      <c r="H2" s="83"/>
      <c r="K2" s="28" t="s">
        <v>194</v>
      </c>
      <c r="L2" s="81" t="s">
        <v>380</v>
      </c>
      <c r="M2" s="82"/>
      <c r="N2" s="82"/>
      <c r="O2" s="83"/>
      <c r="R2" s="28" t="s">
        <v>194</v>
      </c>
      <c r="S2" s="81" t="s">
        <v>381</v>
      </c>
      <c r="T2" s="82"/>
      <c r="U2" s="82"/>
      <c r="V2" s="83"/>
      <c r="Y2" s="28" t="s">
        <v>194</v>
      </c>
      <c r="Z2" s="81" t="s">
        <v>382</v>
      </c>
      <c r="AA2" s="82"/>
      <c r="AB2" s="82"/>
      <c r="AC2" s="83"/>
      <c r="AF2" s="28" t="s">
        <v>194</v>
      </c>
      <c r="AG2" s="81" t="s">
        <v>383</v>
      </c>
      <c r="AH2" s="82"/>
      <c r="AI2" s="82"/>
      <c r="AJ2" s="83"/>
      <c r="AM2" s="28" t="s">
        <v>194</v>
      </c>
      <c r="AN2" s="81" t="s">
        <v>384</v>
      </c>
      <c r="AO2" s="82"/>
      <c r="AP2" s="82"/>
      <c r="AQ2" s="83"/>
      <c r="AT2" s="28" t="s">
        <v>194</v>
      </c>
      <c r="AU2" s="81" t="s">
        <v>385</v>
      </c>
      <c r="AV2" s="82"/>
      <c r="AW2" s="82"/>
      <c r="AX2" s="83"/>
      <c r="BA2" s="28" t="s">
        <v>194</v>
      </c>
      <c r="BB2" s="81" t="s">
        <v>386</v>
      </c>
      <c r="BC2" s="82"/>
      <c r="BD2" s="82"/>
      <c r="BE2" s="83"/>
      <c r="BG2" s="27" t="s">
        <v>0</v>
      </c>
      <c r="BH2" s="27" t="s">
        <v>1</v>
      </c>
      <c r="BI2" s="27" t="s">
        <v>310</v>
      </c>
    </row>
    <row r="3" spans="1:61" ht="15" customHeight="1">
      <c r="A3" s="27" cm="1">
        <f t="array" ref="A3:A26">_xlfn.SEQUENCE('Main Hub'!P3)</f>
        <v>1</v>
      </c>
      <c r="B3" s="13" t="s">
        <v>115</v>
      </c>
      <c r="D3" s="26">
        <v>3</v>
      </c>
      <c r="E3" s="84"/>
      <c r="F3" s="85"/>
      <c r="G3" s="85"/>
      <c r="H3" s="86"/>
      <c r="K3" s="26">
        <v>4</v>
      </c>
      <c r="L3" s="84"/>
      <c r="M3" s="85"/>
      <c r="N3" s="85"/>
      <c r="O3" s="86"/>
      <c r="R3" s="26">
        <v>5</v>
      </c>
      <c r="S3" s="84"/>
      <c r="T3" s="85"/>
      <c r="U3" s="85"/>
      <c r="V3" s="86"/>
      <c r="Y3" s="26">
        <v>5</v>
      </c>
      <c r="Z3" s="84"/>
      <c r="AA3" s="85"/>
      <c r="AB3" s="85"/>
      <c r="AC3" s="86"/>
      <c r="AF3" s="26">
        <v>7</v>
      </c>
      <c r="AG3" s="84"/>
      <c r="AH3" s="85"/>
      <c r="AI3" s="85"/>
      <c r="AJ3" s="86"/>
      <c r="AM3" s="26">
        <v>9</v>
      </c>
      <c r="AN3" s="84"/>
      <c r="AO3" s="85"/>
      <c r="AP3" s="85"/>
      <c r="AQ3" s="86"/>
      <c r="AT3" s="26">
        <v>9</v>
      </c>
      <c r="AU3" s="84"/>
      <c r="AV3" s="85"/>
      <c r="AW3" s="85"/>
      <c r="AX3" s="86"/>
      <c r="BA3" s="26">
        <v>9</v>
      </c>
      <c r="BB3" s="84"/>
      <c r="BC3" s="85"/>
      <c r="BD3" s="85"/>
      <c r="BE3" s="86"/>
      <c r="BG3" s="27">
        <v>1</v>
      </c>
      <c r="BH3" s="13" t="str">
        <f>IF(COUNTA(AX19:AX20)&lt;2,"",IF(AX19&gt;AX20,AV19,IF(COUNTA(BE19:BE20)&lt;2,"",IF(BE19&gt;BE20,BC19,BC20))))</f>
        <v>Lafungo</v>
      </c>
      <c r="BI3" s="13" cm="1">
        <f t="array" ref="BI3:BI26">Parameters!N3:N26</f>
        <v>2000</v>
      </c>
    </row>
    <row r="4" spans="1:61" ht="15" customHeight="1">
      <c r="A4" s="27">
        <v>2</v>
      </c>
      <c r="B4" s="13" t="s">
        <v>63</v>
      </c>
      <c r="BG4" s="27">
        <v>2</v>
      </c>
      <c r="BH4" s="13" t="str">
        <f>IF(COUNTA(AX19:AX20)&lt;2,"",IF(AX19&gt;AX20,AV20,IF(COUNTA(BE19:BE20)&lt;2,"",IF(BE19&gt;BE20,BC20,BC19))))</f>
        <v>Sami</v>
      </c>
      <c r="BI4" s="13">
        <v>1600</v>
      </c>
    </row>
    <row r="5" spans="1:61" ht="15" customHeight="1">
      <c r="A5" s="27">
        <v>3</v>
      </c>
      <c r="B5" s="13" t="s">
        <v>123</v>
      </c>
      <c r="D5" s="79" t="s">
        <v>360</v>
      </c>
      <c r="E5" s="27">
        <v>17</v>
      </c>
      <c r="F5" s="13" t="str">
        <f>_xlfn.XLOOKUP(E5,A:A,B:B)</f>
        <v>Zarkov</v>
      </c>
      <c r="G5" s="13" t="e" cm="1" vm="13">
        <f t="array" aca="1" ref="G5" ca="1">_xlfn.XLOOKUP(F5,Registration[Nickname],_FV(Registration[Country],"Image"))</f>
        <v>#VALUE!</v>
      </c>
      <c r="H5" s="3">
        <v>3</v>
      </c>
      <c r="I5" s="23"/>
      <c r="J5" s="24"/>
      <c r="K5" s="79" t="s">
        <v>387</v>
      </c>
      <c r="L5" s="27">
        <v>16</v>
      </c>
      <c r="M5" s="13" t="str">
        <f>_xlfn.XLOOKUP(L5,A:A,B:B)</f>
        <v>Flo</v>
      </c>
      <c r="N5" s="13" t="e" cm="1" vm="15">
        <f t="array" aca="1" ref="N5" ca="1">_xlfn.XLOOKUP(M5,Registration[Nickname],_FV(Registration[Country],"Image"))</f>
        <v>#VALUE!</v>
      </c>
      <c r="O5" s="3">
        <v>4</v>
      </c>
      <c r="P5" s="23"/>
      <c r="Q5" s="24"/>
      <c r="R5" s="79">
        <v>1</v>
      </c>
      <c r="S5" s="27">
        <v>1</v>
      </c>
      <c r="T5" s="13" t="str">
        <f>_xlfn.XLOOKUP(S5,A:A,B:B)</f>
        <v>Sami</v>
      </c>
      <c r="U5" s="13" t="e" cm="1" vm="13">
        <f t="array" aca="1" ref="U5" ca="1">_xlfn.XLOOKUP(T5,Registration[Nickname],_FV(Registration[Country],"Image"))</f>
        <v>#VALUE!</v>
      </c>
      <c r="V5" s="3">
        <v>5</v>
      </c>
      <c r="BG5" s="27">
        <v>3</v>
      </c>
      <c r="BH5" s="13" t="str">
        <f>IF(COUNTA(BE47:BE48)&lt;2,"",IF(BE47&gt;BE48,BC48,BC47))</f>
        <v>Takashi</v>
      </c>
      <c r="BI5" s="13">
        <v>1300</v>
      </c>
    </row>
    <row r="6" spans="1:61" ht="15" customHeight="1">
      <c r="A6" s="27">
        <v>4</v>
      </c>
      <c r="B6" s="13" t="s">
        <v>73</v>
      </c>
      <c r="D6" s="80"/>
      <c r="E6" s="27">
        <v>24</v>
      </c>
      <c r="F6" s="13" t="str">
        <f>_xlfn.XLOOKUP(E6,A:A,B:B)</f>
        <v>tif</v>
      </c>
      <c r="G6" s="13" t="e" cm="1" vm="15">
        <f t="array" aca="1" ref="G6" ca="1">_xlfn.XLOOKUP(F6,Registration[Nickname],_FV(Registration[Country],"Image"))</f>
        <v>#VALUE!</v>
      </c>
      <c r="H6" s="3">
        <v>1</v>
      </c>
      <c r="K6" s="80"/>
      <c r="L6" s="27">
        <f>_xlfn.XLOOKUP(M6,F5:F6,E5:E6,"",0)</f>
        <v>17</v>
      </c>
      <c r="M6" s="13" t="str" cm="1">
        <f t="array" ref="M6">IF(COUNTA(H5:H6)&lt;2,"Winner of B1,1",INDEX(_xlfn.SORTBY(F5:F6,H5:H6,-1),1))</f>
        <v>Zarkov</v>
      </c>
      <c r="N6" s="13" t="e" cm="1" vm="13">
        <f t="array" aca="1" ref="N6" ca="1">_xlfn.XLOOKUP(M6,Registration[Nickname],_FV(Registration[Country],"Image"))</f>
        <v>#VALUE!</v>
      </c>
      <c r="O6" s="3">
        <v>1</v>
      </c>
      <c r="R6" s="80"/>
      <c r="S6" s="27" t="e" cm="1">
        <f t="array" ref="S6">_xlfn.XLOOKUP(T6,_xlfn.ANCHORARRAY($B$3),_xlfn.ANCHORARRAY($A$3),"",0)</f>
        <v>#REF!</v>
      </c>
      <c r="T6" s="13" t="str" cm="1">
        <f t="array" ref="T6">IF(COUNTA(O5:O6)&lt;2,"Winner of B2,1",INDEX(_xlfn.SORTBY(M5:M6,O5:O6,-1),1))</f>
        <v>Flo</v>
      </c>
      <c r="U6" s="13" t="e" cm="1" vm="15">
        <f t="array" aca="1" ref="U6" ca="1">_xlfn.XLOOKUP(T6,Registration[Nickname],_FV(Registration[Country],"Image"))</f>
        <v>#VALUE!</v>
      </c>
      <c r="V6" s="3">
        <v>0</v>
      </c>
      <c r="W6" s="21"/>
      <c r="BG6" s="27">
        <v>4</v>
      </c>
      <c r="BH6" s="13" t="str">
        <f>IF(COUNTA(AX47:AX48)&lt;2,"",IF(AX47&gt;AX48,AV48,AV47))</f>
        <v>KVD</v>
      </c>
      <c r="BI6" s="13">
        <v>1000</v>
      </c>
    </row>
    <row r="7" spans="1:61" ht="15" customHeight="1">
      <c r="A7" s="27">
        <v>5</v>
      </c>
      <c r="B7" s="13" t="s">
        <v>81</v>
      </c>
      <c r="W7" s="22"/>
      <c r="X7" s="23"/>
      <c r="Y7" s="79">
        <v>13</v>
      </c>
      <c r="Z7" s="27" t="e" cm="1">
        <f t="array" ref="Z7">_xlfn.XLOOKUP(AA7,_xlfn.ANCHORARRAY($B$3),_xlfn.ANCHORARRAY($A$3),"",0)</f>
        <v>#REF!</v>
      </c>
      <c r="AA7" s="13" t="str" cm="1">
        <f t="array" ref="AA7">IF(COUNTA(V5:V6)&lt;2,"Winner of 1",INDEX(_xlfn.SORTBY(T5:T6,V5:V6,-1),1))</f>
        <v>Sami</v>
      </c>
      <c r="AB7" s="13" t="e" cm="1" vm="13">
        <f t="array" aca="1" ref="AB7" ca="1">_xlfn.XLOOKUP(AA7,Registration[Nickname],_FV(Registration[Country],"Image"))</f>
        <v>#VALUE!</v>
      </c>
      <c r="AC7" s="3">
        <v>5</v>
      </c>
      <c r="BG7" s="72" t="s">
        <v>361</v>
      </c>
      <c r="BH7" s="13" t="str">
        <f>IF(COUNTA(AQ51:AQ52)&lt;2,"",IF(AQ51&gt;AQ52,AO52,AO51))</f>
        <v>Antistar</v>
      </c>
      <c r="BI7" s="13">
        <v>750</v>
      </c>
    </row>
    <row r="8" spans="1:61" ht="15" customHeight="1">
      <c r="A8" s="27">
        <v>6</v>
      </c>
      <c r="B8" s="13" t="s">
        <v>121</v>
      </c>
      <c r="W8" s="22"/>
      <c r="Y8" s="80"/>
      <c r="Z8" s="27" t="e" cm="1">
        <f t="array" ref="Z8">_xlfn.XLOOKUP(AA8,_xlfn.ANCHORARRAY($B$3),_xlfn.ANCHORARRAY($A$3),"",0)</f>
        <v>#REF!</v>
      </c>
      <c r="AA8" s="13" t="str" cm="1">
        <f t="array" ref="AA8">IF(COUNTA(V9:V10)&lt;2,"Winner of 2",INDEX(_xlfn.SORTBY(T9:T10,V9:V10,-1),1))</f>
        <v>JDR</v>
      </c>
      <c r="AB8" s="13" t="e" cm="1" vm="15">
        <f t="array" aca="1" ref="AB8" ca="1">_xlfn.XLOOKUP(AA8,Registration[Nickname],_FV(Registration[Country],"Image"))</f>
        <v>#VALUE!</v>
      </c>
      <c r="AC8" s="3">
        <v>1</v>
      </c>
      <c r="AD8" s="21"/>
      <c r="BG8" s="73"/>
      <c r="BH8" s="13" t="str">
        <f>IF(COUNTA(AQ43:AQ44)&lt;2,"",IF(AQ43&gt;AQ44,AO44,AO43))</f>
        <v>Geo</v>
      </c>
      <c r="BI8" s="13">
        <v>750</v>
      </c>
    </row>
    <row r="9" spans="1:61" ht="15" customHeight="1">
      <c r="A9" s="27">
        <v>7</v>
      </c>
      <c r="B9" s="13" t="s">
        <v>83</v>
      </c>
      <c r="R9" s="79">
        <v>2</v>
      </c>
      <c r="S9" s="27">
        <v>8</v>
      </c>
      <c r="T9" s="13" t="str">
        <f t="shared" ref="T9:T10" si="0">_xlfn.XLOOKUP(S9,A:A,B:B)</f>
        <v>JDR</v>
      </c>
      <c r="U9" s="13" t="e" cm="1" vm="15">
        <f t="array" aca="1" ref="U9" ca="1">_xlfn.XLOOKUP(T9,Registration[Nickname],_FV(Registration[Country],"Image"))</f>
        <v>#VALUE!</v>
      </c>
      <c r="V9" s="3">
        <v>5</v>
      </c>
      <c r="W9" s="24"/>
      <c r="AD9" s="22"/>
      <c r="BG9" s="74" t="s">
        <v>362</v>
      </c>
      <c r="BH9" s="13" t="str">
        <f>IF(COUNTA(AJ43:AJ44)&lt;2,"",IF(AJ43&gt;AJ44,AH44,AH43))</f>
        <v>Leyla</v>
      </c>
      <c r="BI9" s="13">
        <v>550</v>
      </c>
    </row>
    <row r="10" spans="1:61" ht="15" customHeight="1">
      <c r="A10" s="27">
        <v>8</v>
      </c>
      <c r="B10" s="13" t="s">
        <v>71</v>
      </c>
      <c r="R10" s="80"/>
      <c r="S10" s="27">
        <v>9</v>
      </c>
      <c r="T10" s="13" t="str">
        <f t="shared" si="0"/>
        <v>Geo</v>
      </c>
      <c r="U10" s="13" t="e" cm="1" vm="15">
        <f t="array" aca="1" ref="U10" ca="1">_xlfn.XLOOKUP(T10,Registration[Nickname],_FV(Registration[Country],"Image"))</f>
        <v>#VALUE!</v>
      </c>
      <c r="V10" s="3">
        <v>4</v>
      </c>
      <c r="AD10" s="22"/>
      <c r="BG10" s="73"/>
      <c r="BH10" s="13" t="str">
        <f>IF(COUNTA(AJ51:AJ52)&lt;2,"",IF(AJ51&gt;AJ52,AH52,AH51))</f>
        <v>JDR</v>
      </c>
      <c r="BI10" s="13">
        <v>550</v>
      </c>
    </row>
    <row r="11" spans="1:61" ht="15" customHeight="1">
      <c r="A11" s="27">
        <v>9</v>
      </c>
      <c r="B11" s="13" t="s">
        <v>55</v>
      </c>
      <c r="AD11" s="22"/>
      <c r="AE11" s="23"/>
      <c r="AF11" s="79">
        <v>23</v>
      </c>
      <c r="AG11" s="27" t="e" cm="1">
        <f t="array" ref="AG11">_xlfn.XLOOKUP(AH11,_xlfn.ANCHORARRAY($B$3),_xlfn.ANCHORARRAY($A$3),"",0)</f>
        <v>#REF!</v>
      </c>
      <c r="AH11" s="13" t="str" cm="1">
        <f t="array" ref="AH11">IF(COUNTA(AC7:AC8)&lt;2,"Winner of 13",INDEX(_xlfn.SORTBY(AA7:AA8,AC7:AC8,-1),1))</f>
        <v>Sami</v>
      </c>
      <c r="AI11" s="13" t="e" cm="1" vm="13">
        <f t="array" aca="1" ref="AI11" ca="1">_xlfn.XLOOKUP(AH11,Registration[Nickname],_FV(Registration[Country],"Image"))</f>
        <v>#VALUE!</v>
      </c>
      <c r="AJ11" s="3">
        <v>7</v>
      </c>
      <c r="BG11" s="74" t="s">
        <v>363</v>
      </c>
      <c r="BH11" s="13" t="str">
        <f>IF(COUNTA(AC41:AC42)&lt;2,"",IF(AC41&gt;AC42,AA42,AA41))</f>
        <v>Jarmou</v>
      </c>
      <c r="BI11" s="13">
        <v>400</v>
      </c>
    </row>
    <row r="12" spans="1:61" ht="15" customHeight="1">
      <c r="A12" s="27">
        <v>10</v>
      </c>
      <c r="B12" s="13" t="s">
        <v>67</v>
      </c>
      <c r="AD12" s="22"/>
      <c r="AF12" s="80"/>
      <c r="AG12" s="27" t="e" cm="1">
        <f t="array" ref="AG12">_xlfn.XLOOKUP(AH12,_xlfn.ANCHORARRAY($B$3),_xlfn.ANCHORARRAY($A$3),"",0)</f>
        <v>#REF!</v>
      </c>
      <c r="AH12" s="13" t="str" cm="1">
        <f t="array" ref="AH12">IF(COUNTA(AC15:AC16)&lt;2,"Winner of 14",INDEX(_xlfn.SORTBY(AA15:AA16,AC15:AC16,-1),1))</f>
        <v>KVD</v>
      </c>
      <c r="AI12" s="13" t="e" cm="1" vm="12">
        <f t="array" aca="1" ref="AI12" ca="1">_xlfn.XLOOKUP(AH12,Registration[Nickname],_FV(Registration[Country],"Image"))</f>
        <v>#VALUE!</v>
      </c>
      <c r="AJ12" s="3">
        <v>2</v>
      </c>
      <c r="AK12" s="21"/>
      <c r="BG12" s="75"/>
      <c r="BH12" s="13" t="str">
        <f>IF(COUNTA(AC45:AC46)&lt;2,"",IF(AC45&gt;AC46,AA46,AA45))</f>
        <v>Drew</v>
      </c>
      <c r="BI12" s="13">
        <v>400</v>
      </c>
    </row>
    <row r="13" spans="1:61" ht="15" customHeight="1">
      <c r="A13" s="27">
        <v>11</v>
      </c>
      <c r="B13" s="13" t="s">
        <v>35</v>
      </c>
      <c r="D13" s="79" t="s">
        <v>364</v>
      </c>
      <c r="E13" s="27">
        <v>20</v>
      </c>
      <c r="F13" s="13" t="str">
        <f t="shared" ref="F13:F14" si="1">_xlfn.XLOOKUP(E13,A:A,B:B)</f>
        <v>Rub</v>
      </c>
      <c r="G13" s="13" t="e" cm="1" vm="12">
        <f t="array" aca="1" ref="G13" ca="1">_xlfn.XLOOKUP(F13,Registration[Nickname],_FV(Registration[Country],"Image"))</f>
        <v>#VALUE!</v>
      </c>
      <c r="H13" s="3">
        <v>3</v>
      </c>
      <c r="I13" s="23"/>
      <c r="J13" s="24"/>
      <c r="K13" s="79" t="s">
        <v>388</v>
      </c>
      <c r="L13" s="27">
        <v>13</v>
      </c>
      <c r="M13" s="13" t="str">
        <f>_xlfn.XLOOKUP(L13,A:A,B:B)</f>
        <v>Kasmo</v>
      </c>
      <c r="N13" s="13" t="e" cm="1" vm="16">
        <f t="array" aca="1" ref="N13" ca="1">_xlfn.XLOOKUP(M13,Registration[Nickname],_FV(Registration[Country],"Image"))</f>
        <v>#VALUE!</v>
      </c>
      <c r="O13" s="3">
        <v>3</v>
      </c>
      <c r="P13" s="23"/>
      <c r="Q13" s="24"/>
      <c r="R13" s="79">
        <v>3</v>
      </c>
      <c r="S13" s="27">
        <v>4</v>
      </c>
      <c r="T13" s="13" t="str">
        <f>_xlfn.XLOOKUP(S13,A:A,B:B)</f>
        <v>Lafungo</v>
      </c>
      <c r="U13" s="13" t="e" cm="1" vm="14">
        <f t="array" aca="1" ref="U13" ca="1">_xlfn.XLOOKUP(T13,Registration[Nickname],_FV(Registration[Country],"Image"))</f>
        <v>#VALUE!</v>
      </c>
      <c r="V13" s="3">
        <v>5</v>
      </c>
      <c r="AD13" s="22"/>
      <c r="AK13" s="22"/>
      <c r="BG13" s="75"/>
      <c r="BH13" s="13" t="str">
        <f>IF(COUNTA(AC49:AC50)&lt;2,"",IF(AC49&gt;AC50,AA50,AA49))</f>
        <v>Onwa</v>
      </c>
      <c r="BI13" s="13">
        <v>400</v>
      </c>
    </row>
    <row r="14" spans="1:61" ht="15" customHeight="1">
      <c r="A14" s="27">
        <v>12</v>
      </c>
      <c r="B14" s="13" t="s">
        <v>39</v>
      </c>
      <c r="D14" s="80"/>
      <c r="E14" s="27">
        <v>21</v>
      </c>
      <c r="F14" s="13" t="str">
        <f t="shared" si="1"/>
        <v>Ashley</v>
      </c>
      <c r="G14" s="13" t="e" cm="1" vm="13">
        <f t="array" aca="1" ref="G14" ca="1">_xlfn.XLOOKUP(F14,Registration[Nickname],_FV(Registration[Country],"Image"))</f>
        <v>#VALUE!</v>
      </c>
      <c r="H14" s="3">
        <v>1</v>
      </c>
      <c r="K14" s="80"/>
      <c r="L14" s="27">
        <f>_xlfn.XLOOKUP(M14,F13:F14,E13:E14,"",0)</f>
        <v>20</v>
      </c>
      <c r="M14" s="13" t="str" cm="1">
        <f t="array" ref="M14">IF(COUNTA(H13:H14)&lt;2,"Winner of B1,2",INDEX(_xlfn.SORTBY(F13:F14,H13:H14,-1),1))</f>
        <v>Rub</v>
      </c>
      <c r="N14" s="13" t="e" cm="1" vm="12">
        <f t="array" aca="1" ref="N14" ca="1">_xlfn.XLOOKUP(M14,Registration[Nickname],_FV(Registration[Country],"Image"))</f>
        <v>#VALUE!</v>
      </c>
      <c r="O14" s="3">
        <v>4</v>
      </c>
      <c r="R14" s="80"/>
      <c r="S14" s="27" t="e" cm="1">
        <f t="array" ref="S14">_xlfn.XLOOKUP(T14,_xlfn.ANCHORARRAY($B$3),_xlfn.ANCHORARRAY($A$3),"",0)</f>
        <v>#REF!</v>
      </c>
      <c r="T14" s="13" t="str" cm="1">
        <f t="array" ref="T14">IF(COUNTA(O13:O14)&lt;2,"Winner of B2,2",INDEX(_xlfn.SORTBY(M13:M14,O13:O14,-1),1))</f>
        <v>Rub</v>
      </c>
      <c r="U14" s="13" t="e" cm="1" vm="12">
        <f t="array" aca="1" ref="U14" ca="1">_xlfn.XLOOKUP(T14,Registration[Nickname],_FV(Registration[Country],"Image"))</f>
        <v>#VALUE!</v>
      </c>
      <c r="V14" s="3">
        <v>0</v>
      </c>
      <c r="W14" s="21"/>
      <c r="AD14" s="22"/>
      <c r="AK14" s="22"/>
      <c r="BG14" s="73"/>
      <c r="BH14" s="13" t="str">
        <f>IF(COUNTA(AC53:AC54)&lt;2,"",IF(AC53&gt;AC54,AA54,AA53))</f>
        <v>Patrick</v>
      </c>
      <c r="BI14" s="13">
        <v>400</v>
      </c>
    </row>
    <row r="15" spans="1:61" ht="15" customHeight="1">
      <c r="A15" s="27">
        <v>13</v>
      </c>
      <c r="B15" s="13" t="s">
        <v>29</v>
      </c>
      <c r="W15" s="22"/>
      <c r="X15" s="23"/>
      <c r="Y15" s="79">
        <v>14</v>
      </c>
      <c r="Z15" s="27" t="e" cm="1">
        <f t="array" ref="Z15">_xlfn.XLOOKUP(AA15,_xlfn.ANCHORARRAY($B$3),_xlfn.ANCHORARRAY($A$3),"",0)</f>
        <v>#REF!</v>
      </c>
      <c r="AA15" s="13" t="str" cm="1">
        <f t="array" ref="AA15">IF(COUNTA(V13:V14)&lt;2,"Winner of 3",INDEX(_xlfn.SORTBY(T13:T14,V13:V14,-1),1))</f>
        <v>Lafungo</v>
      </c>
      <c r="AB15" s="13" t="e" cm="1" vm="14">
        <f t="array" aca="1" ref="AB15" ca="1">_xlfn.XLOOKUP(AA15,Registration[Nickname],_FV(Registration[Country],"Image"))</f>
        <v>#VALUE!</v>
      </c>
      <c r="AC15" s="3">
        <v>3</v>
      </c>
      <c r="AD15" s="24"/>
      <c r="AK15" s="22"/>
      <c r="BG15" s="74" t="s">
        <v>365</v>
      </c>
      <c r="BH15" s="13" t="str">
        <f>IF(COUNTA(V53:V54)&lt;2,"",IF(V53&gt;V54,T54,T53))</f>
        <v>Moll</v>
      </c>
      <c r="BI15" s="13">
        <v>300</v>
      </c>
    </row>
    <row r="16" spans="1:61" ht="15" customHeight="1">
      <c r="A16" s="27">
        <v>14</v>
      </c>
      <c r="B16" s="13" t="s">
        <v>49</v>
      </c>
      <c r="W16" s="22"/>
      <c r="Y16" s="80"/>
      <c r="Z16" s="27" t="e" cm="1">
        <f t="array" ref="Z16">_xlfn.XLOOKUP(AA16,_xlfn.ANCHORARRAY($B$3),_xlfn.ANCHORARRAY($A$3),"",0)</f>
        <v>#REF!</v>
      </c>
      <c r="AA16" s="13" t="str" cm="1">
        <f t="array" ref="AA16">IF(COUNTA(V17:V18)&lt;2,"Winner of 4",INDEX(_xlfn.SORTBY(T17:T18,V17:V18,-1),1))</f>
        <v>KVD</v>
      </c>
      <c r="AB16" s="13" t="e" cm="1" vm="12">
        <f t="array" aca="1" ref="AB16" ca="1">_xlfn.XLOOKUP(AA16,Registration[Nickname],_FV(Registration[Country],"Image"))</f>
        <v>#VALUE!</v>
      </c>
      <c r="AC16" s="3">
        <v>5</v>
      </c>
      <c r="AK16" s="22"/>
      <c r="BG16" s="75"/>
      <c r="BH16" s="13" t="str">
        <f>IF(COUNTA(V49:V50)&lt;2,"",IF(V49&gt;V50,T50,T49))</f>
        <v>Sumz</v>
      </c>
      <c r="BI16" s="13">
        <v>300</v>
      </c>
    </row>
    <row r="17" spans="1:107" ht="15" customHeight="1">
      <c r="A17" s="27">
        <v>15</v>
      </c>
      <c r="B17" s="13" t="s">
        <v>103</v>
      </c>
      <c r="R17" s="79">
        <v>4</v>
      </c>
      <c r="S17" s="27">
        <v>5</v>
      </c>
      <c r="T17" s="13" t="str">
        <f t="shared" ref="T17:T18" si="2">_xlfn.XLOOKUP(S17,A:A,B:B)</f>
        <v>KVD</v>
      </c>
      <c r="U17" s="13" t="e" cm="1" vm="12">
        <f t="array" aca="1" ref="U17" ca="1">_xlfn.XLOOKUP(T17,Registration[Nickname],_FV(Registration[Country],"Image"))</f>
        <v>#VALUE!</v>
      </c>
      <c r="V17" s="3">
        <v>5</v>
      </c>
      <c r="W17" s="24"/>
      <c r="AK17" s="22"/>
      <c r="BG17" s="75"/>
      <c r="BH17" s="13" t="str">
        <f>IF(COUNTA(V45:V46)&lt;2,"",IF(V45&gt;V46,T46,T45))</f>
        <v>Rub</v>
      </c>
      <c r="BI17" s="13">
        <v>300</v>
      </c>
    </row>
    <row r="18" spans="1:107" ht="15" customHeight="1">
      <c r="A18" s="27">
        <v>16</v>
      </c>
      <c r="B18" s="13" t="s">
        <v>47</v>
      </c>
      <c r="R18" s="80"/>
      <c r="S18" s="27">
        <v>12</v>
      </c>
      <c r="T18" s="13" t="str">
        <f t="shared" si="2"/>
        <v>Drew</v>
      </c>
      <c r="U18" s="13" t="e" cm="1" vm="14">
        <f t="array" aca="1" ref="U18" ca="1">_xlfn.XLOOKUP(T18,Registration[Nickname],_FV(Registration[Country],"Image"))</f>
        <v>#VALUE!</v>
      </c>
      <c r="V18" s="3">
        <v>1</v>
      </c>
      <c r="AK18" s="22"/>
      <c r="BG18" s="73"/>
      <c r="BH18" s="13" t="str">
        <f>IF(COUNTA(V41:V42)&lt;2,"",IF(V41&gt;V42,T42,T41))</f>
        <v>Flo</v>
      </c>
      <c r="BI18" s="13">
        <v>300</v>
      </c>
    </row>
    <row r="19" spans="1:107" ht="15" customHeight="1">
      <c r="A19" s="27">
        <v>17</v>
      </c>
      <c r="B19" s="13" t="s">
        <v>27</v>
      </c>
      <c r="AK19" s="22"/>
      <c r="AL19" s="25"/>
      <c r="AM19" s="79">
        <v>28</v>
      </c>
      <c r="AN19" s="27" t="e" cm="1">
        <f t="array" ref="AN19">_xlfn.XLOOKUP(AO19,_xlfn.ANCHORARRAY($B$3),_xlfn.ANCHORARRAY($A$3),"",0)</f>
        <v>#REF!</v>
      </c>
      <c r="AO19" s="13" t="str" cm="1">
        <f t="array" ref="AO19">IF(COUNTA(AJ11:AJ12)&lt;2,"Winner of 23",INDEX(_xlfn.SORTBY(AH11:AH12,AJ11:AJ12,-1),1))</f>
        <v>Sami</v>
      </c>
      <c r="AP19" s="13" t="e" cm="1" vm="13">
        <f t="array" aca="1" ref="AP19" ca="1">_xlfn.XLOOKUP(AO19,Registration[Nickname],_FV(Registration[Country],"Image"))</f>
        <v>#VALUE!</v>
      </c>
      <c r="AQ19" s="3">
        <v>9</v>
      </c>
      <c r="AR19" s="23"/>
      <c r="AS19" s="24"/>
      <c r="AT19" s="79">
        <v>30</v>
      </c>
      <c r="AU19" s="27" t="e" cm="1">
        <f t="array" ref="AU19">_xlfn.XLOOKUP(AV19,_xlfn.ANCHORARRAY($B$3),_xlfn.ANCHORARRAY($A$3),"",0)</f>
        <v>#REF!</v>
      </c>
      <c r="AV19" s="13" t="str" cm="1">
        <f t="array" ref="AV19">IF(COUNTA(AQ19:AQ20)&lt;2,"Winner of 28",INDEX(_xlfn.SORTBY(AO19:AO20,AQ19:AQ20,-1),1))</f>
        <v>Sami</v>
      </c>
      <c r="AW19" s="13" t="e" cm="1" vm="13">
        <f t="array" aca="1" ref="AW19" ca="1">_xlfn.XLOOKUP(AV19,Registration[Nickname],_FV(Registration[Country],"Image"))</f>
        <v>#VALUE!</v>
      </c>
      <c r="AX19" s="3">
        <v>8</v>
      </c>
      <c r="AY19" s="23"/>
      <c r="AZ19" s="24"/>
      <c r="BA19" s="79">
        <v>31</v>
      </c>
      <c r="BB19" s="27" t="e" cm="1">
        <f t="array" ref="BB19">_xlfn.XLOOKUP(BC19,_xlfn.ANCHORARRAY($B$3),_xlfn.ANCHORARRAY($A$3),"",0)</f>
        <v>#REF!</v>
      </c>
      <c r="BC19" s="13" t="str" cm="1">
        <f t="array" ref="BC19">IF(COUNTA(AX19:AX20)&lt;2,"Winner of 30",INDEX(_xlfn.SORTBY(AV19:AV20,AX19:AX20,-1),1))</f>
        <v>Lafungo</v>
      </c>
      <c r="BD19" s="13" t="e" cm="1" vm="14">
        <f t="array" aca="1" ref="BD19" ca="1">_xlfn.XLOOKUP(BC19,Registration[Nickname],_FV(Registration[Country],"Image"))</f>
        <v>#VALUE!</v>
      </c>
      <c r="BE19" s="3">
        <v>9</v>
      </c>
      <c r="BG19" s="74" t="s">
        <v>366</v>
      </c>
      <c r="BH19" s="13" t="str">
        <f>IF(COUNTA(O5:O6)&lt;2,"",IF(O5&gt;O6,M6,M5))</f>
        <v>Zarkov</v>
      </c>
      <c r="BI19" s="13">
        <v>150</v>
      </c>
    </row>
    <row r="20" spans="1:107" ht="15" customHeight="1">
      <c r="A20" s="27">
        <v>18</v>
      </c>
      <c r="B20" s="13" t="s">
        <v>117</v>
      </c>
      <c r="AK20" s="22"/>
      <c r="AM20" s="80"/>
      <c r="AN20" s="27" t="e" cm="1">
        <f t="array" ref="AN20">_xlfn.XLOOKUP(AO20,_xlfn.ANCHORARRAY($B$3),_xlfn.ANCHORARRAY($A$3),"",0)</f>
        <v>#REF!</v>
      </c>
      <c r="AO20" s="13" t="str" cm="1">
        <f t="array" ref="AO20">IF(COUNTA(AJ27:AJ28)&lt;2,"Winner of 24",INDEX(_xlfn.SORTBY(AH27:AH28,AJ27:AJ28,-1),1))</f>
        <v>Takashi</v>
      </c>
      <c r="AP20" s="13" t="e" cm="1" vm="16">
        <f t="array" aca="1" ref="AP20" ca="1">_xlfn.XLOOKUP(AO20,Registration[Nickname],_FV(Registration[Country],"Image"))</f>
        <v>#VALUE!</v>
      </c>
      <c r="AQ20" s="3">
        <v>8</v>
      </c>
      <c r="AT20" s="80"/>
      <c r="AU20" s="27" t="e" cm="1">
        <f t="array" ref="AU20">_xlfn.XLOOKUP(AV20,_xlfn.ANCHORARRAY($B$3),_xlfn.ANCHORARRAY($A$3),"",0)</f>
        <v>#REF!</v>
      </c>
      <c r="AV20" s="13" t="str" cm="1">
        <f t="array" ref="AV20">IF(COUNTA(BE47:BE48)&lt;2,"Winner of 29",INDEX(_xlfn.SORTBY(BC47:BC48,BE47:BE48,-1),1))</f>
        <v>Lafungo</v>
      </c>
      <c r="AW20" s="13" t="e" cm="1" vm="14">
        <f t="array" aca="1" ref="AW20" ca="1">_xlfn.XLOOKUP(AV20,Registration[Nickname],_FV(Registration[Country],"Image"))</f>
        <v>#VALUE!</v>
      </c>
      <c r="AX20" s="3">
        <v>9</v>
      </c>
      <c r="BA20" s="80"/>
      <c r="BB20" s="27" t="e" cm="1">
        <f t="array" ref="BB20">_xlfn.XLOOKUP(BC20,_xlfn.ANCHORARRAY($B$3),_xlfn.ANCHORARRAY($A$3),"",0)</f>
        <v>#REF!</v>
      </c>
      <c r="BC20" s="13" t="str" cm="1">
        <f t="array" ref="BC20">IF(COUNTA(AX19:AX20)&lt;2,"Winner of 30",INDEX(_xlfn.SORTBY(AV19:AV20,AX19:AX20,1),1))</f>
        <v>Sami</v>
      </c>
      <c r="BD20" s="13" t="e" cm="1" vm="13">
        <f t="array" aca="1" ref="BD20" ca="1">_xlfn.XLOOKUP(BC20,Registration[Nickname],_FV(Registration[Country],"Image"))</f>
        <v>#VALUE!</v>
      </c>
      <c r="BE20" s="3">
        <v>6</v>
      </c>
      <c r="BG20" s="75"/>
      <c r="BH20" s="13" t="str">
        <f>IF(COUNTA(O21:O22)&lt;2,"",IF(O21&gt;O22,M22,M21))</f>
        <v>Narnet</v>
      </c>
      <c r="BI20" s="13">
        <v>150</v>
      </c>
    </row>
    <row r="21" spans="1:107" ht="15" customHeight="1">
      <c r="A21" s="27">
        <v>19</v>
      </c>
      <c r="B21" s="13" t="s">
        <v>125</v>
      </c>
      <c r="D21" s="79" t="s">
        <v>367</v>
      </c>
      <c r="E21" s="27">
        <v>18</v>
      </c>
      <c r="F21" s="13" t="str">
        <f t="shared" ref="F21:F22" si="3">_xlfn.XLOOKUP(E21,A:A,B:B)</f>
        <v>Narnet</v>
      </c>
      <c r="G21" s="13" t="e" cm="1" vm="19">
        <f t="array" aca="1" ref="G21" ca="1">_xlfn.XLOOKUP(F21,Registration[Nickname],_FV(Registration[Country],"Image"))</f>
        <v>#VALUE!</v>
      </c>
      <c r="H21" s="3">
        <v>3</v>
      </c>
      <c r="I21" s="23"/>
      <c r="J21" s="24"/>
      <c r="K21" s="79" t="s">
        <v>389</v>
      </c>
      <c r="L21" s="27">
        <v>15</v>
      </c>
      <c r="M21" s="13" t="str">
        <f>_xlfn.XLOOKUP(L21,A:A,B:B)</f>
        <v>Sumz</v>
      </c>
      <c r="N21" s="13" t="e" cm="1" vm="18">
        <f t="array" aca="1" ref="N21" ca="1">_xlfn.XLOOKUP(M21,Registration[Nickname],_FV(Registration[Country],"Image"))</f>
        <v>#VALUE!</v>
      </c>
      <c r="O21" s="3">
        <v>4</v>
      </c>
      <c r="P21" s="23"/>
      <c r="Q21" s="24"/>
      <c r="R21" s="79">
        <v>5</v>
      </c>
      <c r="S21" s="27">
        <v>2</v>
      </c>
      <c r="T21" s="13" t="str">
        <f>_xlfn.XLOOKUP(S21,A:A,B:B)</f>
        <v>Antistar</v>
      </c>
      <c r="U21" s="13" t="e" cm="1" vm="15">
        <f t="array" aca="1" ref="U21" ca="1">_xlfn.XLOOKUP(T21,Registration[Nickname],_FV(Registration[Country],"Image"))</f>
        <v>#VALUE!</v>
      </c>
      <c r="V21" s="3">
        <v>5</v>
      </c>
      <c r="AK21" s="22"/>
      <c r="BG21" s="75"/>
      <c r="BH21" s="13" t="str">
        <f>IF(COUNTA(O29:O30)&lt;2,"",IF(O29&gt;O30,M30,M29))</f>
        <v>Champix</v>
      </c>
      <c r="BI21" s="13">
        <v>150</v>
      </c>
    </row>
    <row r="22" spans="1:107" ht="15" customHeight="1">
      <c r="A22" s="27">
        <v>20</v>
      </c>
      <c r="B22" s="13" t="s">
        <v>59</v>
      </c>
      <c r="D22" s="80"/>
      <c r="E22" s="27">
        <v>23</v>
      </c>
      <c r="F22" s="13" t="str">
        <f t="shared" si="3"/>
        <v>Sjors</v>
      </c>
      <c r="G22" s="13" t="e" cm="1" vm="12">
        <f t="array" aca="1" ref="G22" ca="1">_xlfn.XLOOKUP(F22,Registration[Nickname],_FV(Registration[Country],"Image"))</f>
        <v>#VALUE!</v>
      </c>
      <c r="H22" s="3">
        <v>1</v>
      </c>
      <c r="K22" s="80"/>
      <c r="L22" s="27">
        <f>_xlfn.XLOOKUP(M22,F21:F22,E21:E22,"",0)</f>
        <v>18</v>
      </c>
      <c r="M22" s="13" t="str" cm="1">
        <f t="array" ref="M22">IF(COUNTA(H21:H22)&lt;2,"Winner of B1,3",INDEX(_xlfn.SORTBY(F21:F22,H21:H22,-1),1))</f>
        <v>Narnet</v>
      </c>
      <c r="N22" s="13" t="e" cm="1" vm="19">
        <f t="array" aca="1" ref="N22" ca="1">_xlfn.XLOOKUP(M22,Registration[Nickname],_FV(Registration[Country],"Image"))</f>
        <v>#VALUE!</v>
      </c>
      <c r="O22" s="3">
        <v>2</v>
      </c>
      <c r="R22" s="80"/>
      <c r="S22" s="27" t="e" cm="1">
        <f t="array" ref="S22">_xlfn.XLOOKUP(T22,_xlfn.ANCHORARRAY($B$3),_xlfn.ANCHORARRAY($A$3),"",0)</f>
        <v>#REF!</v>
      </c>
      <c r="T22" s="13" t="str" cm="1">
        <f t="array" ref="T22">IF(COUNTA(O21:O22)&lt;2,"Winner of B2,3",INDEX(_xlfn.SORTBY(M21:M22,O21:O22,-1),1))</f>
        <v>Sumz</v>
      </c>
      <c r="U22" s="13" t="e" cm="1" vm="18">
        <f t="array" aca="1" ref="U22" ca="1">_xlfn.XLOOKUP(T22,Registration[Nickname],_FV(Registration[Country],"Image"))</f>
        <v>#VALUE!</v>
      </c>
      <c r="V22" s="3">
        <v>2</v>
      </c>
      <c r="W22" s="21"/>
      <c r="AK22" s="22"/>
      <c r="BG22" s="73"/>
      <c r="BH22" s="13" t="str">
        <f>IF(COUNTA(O13:O14)&lt;2,"",IF(O13&gt;O14,M14,M13))</f>
        <v>Kasmo</v>
      </c>
      <c r="BI22" s="13">
        <v>150</v>
      </c>
    </row>
    <row r="23" spans="1:107" ht="15" customHeight="1">
      <c r="A23" s="27">
        <v>21</v>
      </c>
      <c r="B23" s="13" t="s">
        <v>18</v>
      </c>
      <c r="W23" s="22"/>
      <c r="X23" s="23"/>
      <c r="Y23" s="79">
        <v>15</v>
      </c>
      <c r="Z23" s="27" t="e" cm="1">
        <f t="array" ref="Z23">_xlfn.XLOOKUP(AA23,_xlfn.ANCHORARRAY($B$3),_xlfn.ANCHORARRAY($A$3),"",0)</f>
        <v>#REF!</v>
      </c>
      <c r="AA23" s="13" t="str" cm="1">
        <f t="array" ref="AA23">IF(COUNTA(V21:V22)&lt;2,"Winner of 5",INDEX(_xlfn.SORTBY(T21:T22,V21:V22,-1),1))</f>
        <v>Antistar</v>
      </c>
      <c r="AB23" s="13" t="e" cm="1" vm="15">
        <f t="array" aca="1" ref="AB23" ca="1">_xlfn.XLOOKUP(AA23,Registration[Nickname],_FV(Registration[Country],"Image"))</f>
        <v>#VALUE!</v>
      </c>
      <c r="AC23" s="3">
        <v>5</v>
      </c>
      <c r="AK23" s="22"/>
      <c r="BG23" s="74" t="s">
        <v>368</v>
      </c>
      <c r="BH23" s="13" t="str">
        <f>IF(COUNTA(H13:H14)&lt;2,"",IF(H13&gt;H14,F14,F13))</f>
        <v>Ashley</v>
      </c>
      <c r="BI23" s="13">
        <v>100</v>
      </c>
    </row>
    <row r="24" spans="1:107" ht="15" customHeight="1">
      <c r="A24" s="27">
        <v>22</v>
      </c>
      <c r="B24" s="13" t="s">
        <v>107</v>
      </c>
      <c r="W24" s="22"/>
      <c r="Y24" s="80"/>
      <c r="Z24" s="27" t="e" cm="1">
        <f t="array" ref="Z24">_xlfn.XLOOKUP(AA24,_xlfn.ANCHORARRAY($B$3),_xlfn.ANCHORARRAY($A$3),"",0)</f>
        <v>#REF!</v>
      </c>
      <c r="AA24" s="13" t="str" cm="1">
        <f t="array" ref="AA24">IF(COUNTA(V25:V26)&lt;2,"Winner of 6",INDEX(_xlfn.SORTBY(T25:T26,V25:V26,-1),1))</f>
        <v>Leyla</v>
      </c>
      <c r="AB24" s="13" t="e" cm="1" vm="13">
        <f t="array" aca="1" ref="AB24" ca="1">_xlfn.XLOOKUP(AA24,Registration[Nickname],_FV(Registration[Country],"Image"))</f>
        <v>#VALUE!</v>
      </c>
      <c r="AC24" s="3">
        <v>1</v>
      </c>
      <c r="AD24" s="21"/>
      <c r="AK24" s="22"/>
      <c r="BG24" s="75"/>
      <c r="BH24" s="13" t="str">
        <f>IF(COUNTA(H29:H30)&lt;2,"",IF(H29&gt;H30,F30,F29))</f>
        <v>Thibault</v>
      </c>
      <c r="BI24" s="13">
        <v>100</v>
      </c>
    </row>
    <row r="25" spans="1:107" ht="15" customHeight="1">
      <c r="A25" s="27">
        <v>23</v>
      </c>
      <c r="B25" s="13" t="s">
        <v>119</v>
      </c>
      <c r="R25" s="79">
        <v>6</v>
      </c>
      <c r="S25" s="27">
        <v>7</v>
      </c>
      <c r="T25" s="13" t="str">
        <f t="shared" ref="T25:T26" si="4">_xlfn.XLOOKUP(S25,A:A,B:B)</f>
        <v>Leyla</v>
      </c>
      <c r="U25" s="13" t="e" cm="1" vm="13">
        <f t="array" aca="1" ref="U25" ca="1">_xlfn.XLOOKUP(T25,Registration[Nickname],_FV(Registration[Country],"Image"))</f>
        <v>#VALUE!</v>
      </c>
      <c r="V25" s="3">
        <v>5</v>
      </c>
      <c r="W25" s="24"/>
      <c r="AD25" s="22"/>
      <c r="AK25" s="22"/>
      <c r="BG25" s="75"/>
      <c r="BH25" s="13" t="str">
        <f>IF(COUNTA(H21:H22)&lt;2,"",IF(H21&gt;H22,F22,F21))</f>
        <v>Sjors</v>
      </c>
      <c r="BI25" s="13">
        <v>100</v>
      </c>
    </row>
    <row r="26" spans="1:107" ht="15" customHeight="1">
      <c r="A26" s="27">
        <v>24</v>
      </c>
      <c r="B26" s="13" t="s">
        <v>37</v>
      </c>
      <c r="R26" s="80"/>
      <c r="S26" s="27">
        <v>10</v>
      </c>
      <c r="T26" s="13" t="str">
        <f t="shared" si="4"/>
        <v>Onwa</v>
      </c>
      <c r="U26" s="13" t="e" cm="1" vm="16">
        <f t="array" aca="1" ref="U26" ca="1">_xlfn.XLOOKUP(T26,Registration[Nickname],_FV(Registration[Country],"Image"))</f>
        <v>#VALUE!</v>
      </c>
      <c r="V26" s="3">
        <v>1</v>
      </c>
      <c r="AD26" s="22"/>
      <c r="AK26" s="22"/>
      <c r="BG26" s="73"/>
      <c r="BH26" s="13" t="str">
        <f>IF(COUNTA(H5:H6)&lt;2,"",IF(H5&gt;H6,F6,F5))</f>
        <v>tif</v>
      </c>
      <c r="BI26" s="13">
        <v>100</v>
      </c>
    </row>
    <row r="27" spans="1:107" ht="15" customHeight="1">
      <c r="AD27" s="22"/>
      <c r="AE27" s="23"/>
      <c r="AF27" s="79">
        <v>24</v>
      </c>
      <c r="AG27" s="27" t="e" cm="1">
        <f t="array" ref="AG27">_xlfn.XLOOKUP(AH27,_xlfn.ANCHORARRAY($B$3),_xlfn.ANCHORARRAY($A$3),"",0)</f>
        <v>#REF!</v>
      </c>
      <c r="AH27" s="13" t="str" cm="1">
        <f t="array" ref="AH27">IF(COUNTA(AC23:AC24)&lt;2,"Winner of 15",INDEX(_xlfn.SORTBY(AA23:AA24,AC23:AC24,-1),1))</f>
        <v>Antistar</v>
      </c>
      <c r="AI27" s="13" t="e" cm="1" vm="15">
        <f t="array" aca="1" ref="AI27" ca="1">_xlfn.XLOOKUP(AH27,Registration[Nickname],_FV(Registration[Country],"Image"))</f>
        <v>#VALUE!</v>
      </c>
      <c r="AJ27" s="3">
        <v>3</v>
      </c>
      <c r="AK27" s="24"/>
    </row>
    <row r="28" spans="1:107" s="14" customFormat="1" ht="15" customHeight="1">
      <c r="A28" s="1"/>
      <c r="B28" s="1"/>
      <c r="C28" s="1"/>
      <c r="D28" s="1"/>
      <c r="E28" s="1"/>
      <c r="F28" s="1"/>
      <c r="G28" s="1"/>
      <c r="H28" s="1"/>
      <c r="I28" s="1"/>
      <c r="J28" s="1"/>
      <c r="K28" s="1"/>
      <c r="L28" s="1"/>
      <c r="M28" s="1"/>
      <c r="N28" s="1"/>
      <c r="O28" s="1"/>
      <c r="P28" s="1"/>
      <c r="Q28" s="1"/>
      <c r="R28" s="4"/>
      <c r="S28" s="4"/>
      <c r="T28" s="4"/>
      <c r="U28" s="4"/>
      <c r="V28" s="4"/>
      <c r="W28" s="4"/>
      <c r="X28" s="4"/>
      <c r="Y28" s="4"/>
      <c r="Z28" s="4"/>
      <c r="AA28" s="4"/>
      <c r="AB28" s="4"/>
      <c r="AC28" s="4"/>
      <c r="AD28" s="22"/>
      <c r="AE28" s="4"/>
      <c r="AF28" s="80"/>
      <c r="AG28" s="27" t="e" cm="1">
        <f t="array" ref="AG28">_xlfn.XLOOKUP(AH28,_xlfn.ANCHORARRAY($B$3),_xlfn.ANCHORARRAY($A$3),"",0)</f>
        <v>#REF!</v>
      </c>
      <c r="AH28" s="13" t="str" cm="1">
        <f t="array" ref="AH28">IF(COUNTA(AC31:AC32)&lt;2,"Winner of 16",INDEX(_xlfn.SORTBY(AA31:AA32,AC31:AC32,-1),1))</f>
        <v>Takashi</v>
      </c>
      <c r="AI28" s="13" t="e" cm="1" vm="16">
        <f t="array" aca="1" ref="AI28" ca="1">_xlfn.XLOOKUP(AH28,Registration[Nickname],_FV(Registration[Country],"Image"))</f>
        <v>#VALUE!</v>
      </c>
      <c r="AJ28" s="3">
        <v>7</v>
      </c>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row>
    <row r="29" spans="1:107" ht="15" customHeight="1">
      <c r="D29" s="79" t="s">
        <v>369</v>
      </c>
      <c r="E29" s="27">
        <v>19</v>
      </c>
      <c r="F29" s="13" t="str">
        <f t="shared" ref="F29:F30" si="5">_xlfn.XLOOKUP(E29,A:A,B:B)</f>
        <v>Thibault</v>
      </c>
      <c r="G29" s="13" t="e" cm="1" vm="15">
        <f t="array" aca="1" ref="G29" ca="1">_xlfn.XLOOKUP(F29,Registration[Nickname],_FV(Registration[Country],"Image"))</f>
        <v>#VALUE!</v>
      </c>
      <c r="H29" s="3">
        <v>1</v>
      </c>
      <c r="I29" s="23"/>
      <c r="J29" s="24"/>
      <c r="K29" s="79" t="s">
        <v>390</v>
      </c>
      <c r="L29" s="27">
        <v>14</v>
      </c>
      <c r="M29" s="13" t="str">
        <f>_xlfn.XLOOKUP(L29,A:A,B:B)</f>
        <v>Champix</v>
      </c>
      <c r="N29" s="13" t="e" cm="1" vm="15">
        <f t="array" aca="1" ref="N29" ca="1">_xlfn.XLOOKUP(M29,Registration[Nickname],_FV(Registration[Country],"Image"))</f>
        <v>#VALUE!</v>
      </c>
      <c r="O29" s="3">
        <v>3</v>
      </c>
      <c r="P29" s="23"/>
      <c r="Q29" s="24"/>
      <c r="R29" s="79">
        <v>7</v>
      </c>
      <c r="S29" s="27">
        <v>3</v>
      </c>
      <c r="T29" s="13" t="str">
        <f>_xlfn.XLOOKUP(S29,A:A,B:B)</f>
        <v>Takashi</v>
      </c>
      <c r="U29" s="13" t="e" cm="1" vm="16">
        <f t="array" aca="1" ref="U29" ca="1">_xlfn.XLOOKUP(T29,Registration[Nickname],_FV(Registration[Country],"Image"))</f>
        <v>#VALUE!</v>
      </c>
      <c r="V29" s="3">
        <v>5</v>
      </c>
      <c r="AD29" s="22"/>
    </row>
    <row r="30" spans="1:107" ht="15" customHeight="1">
      <c r="D30" s="80"/>
      <c r="E30" s="27">
        <v>22</v>
      </c>
      <c r="F30" s="13" t="str">
        <f t="shared" si="5"/>
        <v>Patrick</v>
      </c>
      <c r="G30" s="13" t="e" cm="1" vm="12">
        <f t="array" aca="1" ref="G30" ca="1">_xlfn.XLOOKUP(F30,Registration[Nickname],_FV(Registration[Country],"Image"))</f>
        <v>#VALUE!</v>
      </c>
      <c r="H30" s="3">
        <v>3</v>
      </c>
      <c r="K30" s="80"/>
      <c r="L30" s="27">
        <f>_xlfn.XLOOKUP(M30,F29:F30,E29:E30,"",0)</f>
        <v>22</v>
      </c>
      <c r="M30" s="13" t="str" cm="1">
        <f t="array" ref="M30">IF(COUNTA(H29:H30)&lt;2,"Winner of B1,4",INDEX(_xlfn.SORTBY(F29:F30,H29:H30,-1),1))</f>
        <v>Patrick</v>
      </c>
      <c r="N30" s="13" t="e" cm="1" vm="12">
        <f t="array" aca="1" ref="N30" ca="1">_xlfn.XLOOKUP(M30,Registration[Nickname],_FV(Registration[Country],"Image"))</f>
        <v>#VALUE!</v>
      </c>
      <c r="O30" s="3">
        <v>4</v>
      </c>
      <c r="R30" s="80"/>
      <c r="S30" s="27" t="e" cm="1">
        <f t="array" ref="S30">_xlfn.XLOOKUP(T30,_xlfn.ANCHORARRAY($B$3),_xlfn.ANCHORARRAY($A$3),"",0)</f>
        <v>#REF!</v>
      </c>
      <c r="T30" s="13" t="str" cm="1">
        <f t="array" ref="T30">IF(COUNTA(O29:O30)&lt;2,"Winner of B2,4",INDEX(_xlfn.SORTBY(M29:M30,O29:O30,-1),1))</f>
        <v>Patrick</v>
      </c>
      <c r="U30" s="13" t="e" cm="1" vm="12">
        <f t="array" aca="1" ref="U30" ca="1">_xlfn.XLOOKUP(T30,Registration[Nickname],_FV(Registration[Country],"Image"))</f>
        <v>#VALUE!</v>
      </c>
      <c r="V30" s="3">
        <v>1</v>
      </c>
      <c r="W30" s="21"/>
      <c r="AD30" s="22"/>
    </row>
    <row r="31" spans="1:107" ht="15" customHeight="1">
      <c r="W31" s="22"/>
      <c r="X31" s="23"/>
      <c r="Y31" s="79">
        <v>16</v>
      </c>
      <c r="Z31" s="27" t="e" cm="1">
        <f t="array" ref="Z31">_xlfn.XLOOKUP(AA31,_xlfn.ANCHORARRAY($B$3),_xlfn.ANCHORARRAY($A$3),"",0)</f>
        <v>#REF!</v>
      </c>
      <c r="AA31" s="13" t="str" cm="1">
        <f t="array" ref="AA31">IF(COUNTA(V29:V30)&lt;2,"Winner of 7",INDEX(_xlfn.SORTBY(T29:T30,V29:V30,-1),1))</f>
        <v>Takashi</v>
      </c>
      <c r="AB31" s="13" t="e" cm="1" vm="16">
        <f t="array" aca="1" ref="AB31" ca="1">_xlfn.XLOOKUP(AA31,Registration[Nickname],_FV(Registration[Country],"Image"))</f>
        <v>#VALUE!</v>
      </c>
      <c r="AC31" s="3">
        <v>5</v>
      </c>
      <c r="AD31" s="24"/>
    </row>
    <row r="32" spans="1:107" ht="15" customHeight="1">
      <c r="B32" s="20" t="s">
        <v>370</v>
      </c>
      <c r="W32" s="22"/>
      <c r="Y32" s="80"/>
      <c r="Z32" s="27" t="e" cm="1">
        <f t="array" ref="Z32">_xlfn.XLOOKUP(AA32,_xlfn.ANCHORARRAY($B$3),_xlfn.ANCHORARRAY($A$3),"",0)</f>
        <v>#REF!</v>
      </c>
      <c r="AA32" s="13" t="str" cm="1">
        <f t="array" ref="AA32">IF(COUNTA(V33:V34)&lt;2,"Winner of 8",INDEX(_xlfn.SORTBY(T33:T34,V33:V34,-1),1))</f>
        <v>Jarmou</v>
      </c>
      <c r="AB32" s="13" t="e" cm="1" vm="17">
        <f t="array" aca="1" ref="AB32" ca="1">_xlfn.XLOOKUP(AA32,Registration[Nickname],_FV(Registration[Country],"Image"))</f>
        <v>#VALUE!</v>
      </c>
      <c r="AC32" s="3">
        <v>2</v>
      </c>
    </row>
    <row r="33" spans="2:57" ht="15" customHeight="1">
      <c r="B33" s="20" t="e" cm="1">
        <f t="array" aca="1" ref="B33" ca="1">OFFSET(Parameters!$BQ$1,RANDBETWEEN(0,3),0,B32*2-1,1)</f>
        <v>#VALUE!</v>
      </c>
      <c r="R33" s="79">
        <v>8</v>
      </c>
      <c r="S33" s="27">
        <v>6</v>
      </c>
      <c r="T33" s="13" t="str">
        <f t="shared" ref="T33:T34" si="6">_xlfn.XLOOKUP(S33,A:A,B:B)</f>
        <v>Jarmou</v>
      </c>
      <c r="U33" s="13" t="e" cm="1" vm="17">
        <f t="array" aca="1" ref="U33" ca="1">_xlfn.XLOOKUP(T33,Registration[Nickname],_FV(Registration[Country],"Image"))</f>
        <v>#VALUE!</v>
      </c>
      <c r="V33" s="3">
        <v>5</v>
      </c>
      <c r="W33" s="24"/>
    </row>
    <row r="34" spans="2:57" ht="15" customHeight="1">
      <c r="R34" s="80"/>
      <c r="S34" s="27">
        <v>11</v>
      </c>
      <c r="T34" s="13" t="str">
        <f t="shared" si="6"/>
        <v>Moll</v>
      </c>
      <c r="U34" s="13" t="e" cm="1" vm="13">
        <f t="array" aca="1" ref="U34" ca="1">_xlfn.XLOOKUP(T34,Registration[Nickname],_FV(Registration[Country],"Image"))</f>
        <v>#VALUE!</v>
      </c>
      <c r="V34" s="3">
        <v>0</v>
      </c>
    </row>
    <row r="35" spans="2:57" ht="15" customHeight="1"/>
    <row r="36" spans="2:57" ht="15" customHeight="1"/>
    <row r="37" spans="2:57" ht="15" customHeight="1">
      <c r="R37" s="67" t="s">
        <v>371</v>
      </c>
      <c r="S37" s="68"/>
      <c r="T37" s="68"/>
      <c r="U37" s="68"/>
      <c r="V37" s="76"/>
      <c r="Y37" s="67" t="s">
        <v>372</v>
      </c>
      <c r="Z37" s="68"/>
      <c r="AA37" s="68"/>
      <c r="AB37" s="68"/>
      <c r="AC37" s="76"/>
      <c r="AF37" s="67" t="s">
        <v>373</v>
      </c>
      <c r="AG37" s="68"/>
      <c r="AH37" s="68"/>
      <c r="AI37" s="68"/>
      <c r="AJ37" s="76"/>
      <c r="AM37" s="67" t="s">
        <v>374</v>
      </c>
      <c r="AN37" s="68"/>
      <c r="AO37" s="68"/>
      <c r="AP37" s="68"/>
      <c r="AQ37" s="76"/>
      <c r="AT37" s="67" t="s">
        <v>375</v>
      </c>
      <c r="AU37" s="68"/>
      <c r="AV37" s="68"/>
      <c r="AW37" s="68"/>
      <c r="AX37" s="76"/>
      <c r="BA37" s="67" t="s">
        <v>376</v>
      </c>
      <c r="BB37" s="68"/>
      <c r="BC37" s="68"/>
      <c r="BD37" s="68"/>
      <c r="BE37" s="76"/>
    </row>
    <row r="38" spans="2:57" ht="15" customHeight="1">
      <c r="R38" s="28" t="s">
        <v>194</v>
      </c>
      <c r="S38" s="81" t="s">
        <v>382</v>
      </c>
      <c r="T38" s="82"/>
      <c r="U38" s="82"/>
      <c r="V38" s="83"/>
      <c r="Y38" s="28" t="s">
        <v>194</v>
      </c>
      <c r="Z38" s="81" t="s">
        <v>391</v>
      </c>
      <c r="AA38" s="82"/>
      <c r="AB38" s="82"/>
      <c r="AC38" s="83"/>
      <c r="AF38" s="28" t="s">
        <v>194</v>
      </c>
      <c r="AG38" s="81" t="s">
        <v>383</v>
      </c>
      <c r="AH38" s="82"/>
      <c r="AI38" s="82"/>
      <c r="AJ38" s="83"/>
      <c r="AM38" s="28" t="s">
        <v>194</v>
      </c>
      <c r="AN38" s="81" t="s">
        <v>392</v>
      </c>
      <c r="AO38" s="82"/>
      <c r="AP38" s="82"/>
      <c r="AQ38" s="83"/>
      <c r="AT38" s="28" t="s">
        <v>194</v>
      </c>
      <c r="AU38" s="81" t="s">
        <v>393</v>
      </c>
      <c r="AV38" s="82"/>
      <c r="AW38" s="82"/>
      <c r="AX38" s="83"/>
      <c r="BA38" s="28" t="s">
        <v>194</v>
      </c>
      <c r="BB38" s="81" t="s">
        <v>394</v>
      </c>
      <c r="BC38" s="82"/>
      <c r="BD38" s="82"/>
      <c r="BE38" s="83"/>
    </row>
    <row r="39" spans="2:57" ht="15" customHeight="1">
      <c r="R39" s="26">
        <v>5</v>
      </c>
      <c r="S39" s="84"/>
      <c r="T39" s="85"/>
      <c r="U39" s="85"/>
      <c r="V39" s="86"/>
      <c r="Y39" s="26">
        <v>5</v>
      </c>
      <c r="Z39" s="84"/>
      <c r="AA39" s="85"/>
      <c r="AB39" s="85"/>
      <c r="AC39" s="86"/>
      <c r="AF39" s="26">
        <v>7</v>
      </c>
      <c r="AG39" s="84"/>
      <c r="AH39" s="85"/>
      <c r="AI39" s="85"/>
      <c r="AJ39" s="86"/>
      <c r="AM39" s="26">
        <v>7</v>
      </c>
      <c r="AN39" s="84"/>
      <c r="AO39" s="85"/>
      <c r="AP39" s="85"/>
      <c r="AQ39" s="86"/>
      <c r="AT39" s="26">
        <v>9</v>
      </c>
      <c r="AU39" s="84"/>
      <c r="AV39" s="85"/>
      <c r="AW39" s="85"/>
      <c r="AX39" s="86"/>
      <c r="BA39" s="26">
        <v>9</v>
      </c>
      <c r="BB39" s="84"/>
      <c r="BC39" s="85"/>
      <c r="BD39" s="85"/>
      <c r="BE39" s="86"/>
    </row>
    <row r="40" spans="2:57" ht="15" customHeight="1"/>
    <row r="41" spans="2:57" ht="15" customHeight="1">
      <c r="R41" s="79">
        <v>9</v>
      </c>
      <c r="S41" s="27" t="e" cm="1">
        <f t="array" ref="S41">_xlfn.XLOOKUP(T41,_xlfn.ANCHORARRAY($B$3),_xlfn.ANCHORARRAY($A$3),"",0)</f>
        <v>#REF!</v>
      </c>
      <c r="T41" s="13" t="str" cm="1">
        <f t="array" ref="T41">IF(COUNTA(V5:V6)&lt;2,"Loser of 1",INDEX(_xlfn.SORTBY(T5:T6,V5:V6,1),1))</f>
        <v>Flo</v>
      </c>
      <c r="U41" s="13" t="e" cm="1" vm="15">
        <f t="array" aca="1" ref="U41" ca="1">_xlfn.XLOOKUP(T41,Registration[Nickname],_FV(Registration[Country],"Image"))</f>
        <v>#VALUE!</v>
      </c>
      <c r="V41" s="3">
        <v>1</v>
      </c>
      <c r="W41" s="23"/>
      <c r="X41" s="24"/>
      <c r="Y41" s="79">
        <v>20</v>
      </c>
      <c r="Z41" s="27" t="e" cm="1">
        <f t="array" ref="Z41">_xlfn.XLOOKUP(AA41,_xlfn.ANCHORARRAY($B$3),_xlfn.ANCHORARRAY($A$3),"",0)</f>
        <v>#REF!</v>
      </c>
      <c r="AA41" s="13" t="str" cm="1">
        <f t="array" ref="AA41">IF(COUNTA(AC31:AC32)&lt;2,"Loser of 16",INDEX(_xlfn.SORTBY(AA31:AA32,AC31:AC32,1),1))</f>
        <v>Jarmou</v>
      </c>
      <c r="AB41" s="13" t="e" cm="1" vm="17">
        <f t="array" aca="1" ref="AB41" ca="1">_xlfn.XLOOKUP(AA41,Registration[Nickname],_FV(Registration[Country],"Image"))</f>
        <v>#VALUE!</v>
      </c>
      <c r="AC41" s="3">
        <v>0</v>
      </c>
    </row>
    <row r="42" spans="2:57" ht="15" customHeight="1">
      <c r="R42" s="80"/>
      <c r="S42" s="27" t="e" cm="1">
        <f t="array" ref="S42">_xlfn.XLOOKUP(T42,_xlfn.ANCHORARRAY($B$3),_xlfn.ANCHORARRAY($A$3),"",0)</f>
        <v>#REF!</v>
      </c>
      <c r="T42" s="13" t="str" cm="1">
        <f t="array" ref="T42">IF(COUNTA(V9:V10)&lt;2,"Loser of 2",INDEX(_xlfn.SORTBY(T9:T10,V9:V10,1),1))</f>
        <v>Geo</v>
      </c>
      <c r="U42" s="13" t="e" cm="1" vm="15">
        <f t="array" aca="1" ref="U42" ca="1">_xlfn.XLOOKUP(T42,Registration[Nickname],_FV(Registration[Country],"Image"))</f>
        <v>#VALUE!</v>
      </c>
      <c r="V42" s="3">
        <v>5</v>
      </c>
      <c r="Y42" s="80"/>
      <c r="Z42" s="27" t="e" cm="1">
        <f t="array" ref="Z42">_xlfn.XLOOKUP(AA42,_xlfn.ANCHORARRAY($B$3),_xlfn.ANCHORARRAY($A$3),"",0)</f>
        <v>#REF!</v>
      </c>
      <c r="AA42" s="13" t="str" cm="1">
        <f t="array" ref="AA42">IF(COUNTA(V41:V42)&lt;2,"Winner of 9",INDEX(_xlfn.SORTBY(T41:T42,V41:V42,-1),1))</f>
        <v>Geo</v>
      </c>
      <c r="AB42" s="13" t="e" cm="1" vm="15">
        <f t="array" aca="1" ref="AB42" ca="1">_xlfn.XLOOKUP(AA42,Registration[Nickname],_FV(Registration[Country],"Image"))</f>
        <v>#VALUE!</v>
      </c>
      <c r="AC42" s="3">
        <v>5</v>
      </c>
      <c r="AD42" s="21"/>
    </row>
    <row r="43" spans="2:57" ht="15" customHeight="1">
      <c r="AD43" s="22"/>
      <c r="AE43" s="23"/>
      <c r="AF43" s="79">
        <v>22</v>
      </c>
      <c r="AG43" s="27" t="e" cm="1">
        <f t="array" ref="AG43">_xlfn.XLOOKUP(AH43,_xlfn.ANCHORARRAY($B$3),_xlfn.ANCHORARRAY($A$3),"",0)</f>
        <v>#REF!</v>
      </c>
      <c r="AH43" s="13" t="str" cm="1">
        <f t="array" ref="AH43">IF(COUNTA(AC41:AC42)&lt;2,"Winner of 20",INDEX(_xlfn.SORTBY(AA41:AA42,AC41:AC42,-1),1))</f>
        <v>Geo</v>
      </c>
      <c r="AI43" s="13" t="e" cm="1" vm="15">
        <f t="array" aca="1" ref="AI43" ca="1">_xlfn.XLOOKUP(AH43,Registration[Nickname],_FV(Registration[Country],"Image"))</f>
        <v>#VALUE!</v>
      </c>
      <c r="AJ43" s="3">
        <v>7</v>
      </c>
      <c r="AK43" s="23"/>
      <c r="AL43" s="24"/>
      <c r="AM43" s="79">
        <v>25</v>
      </c>
      <c r="AN43" s="27" t="e" cm="1">
        <f t="array" ref="AN43">_xlfn.XLOOKUP(AO43,_xlfn.ANCHORARRAY($B$3),_xlfn.ANCHORARRAY($A$3),"",0)</f>
        <v>#REF!</v>
      </c>
      <c r="AO43" s="13" t="str" cm="1">
        <f t="array" ref="AO43">IF(COUNTA(AJ11:AJ12)&lt;2,"Loser of 23",INDEX(_xlfn.SORTBY(AH11:AH12,AJ11:AJ12,1),1))</f>
        <v>KVD</v>
      </c>
      <c r="AP43" s="13" t="e" cm="1" vm="12">
        <f t="array" aca="1" ref="AP43" ca="1">_xlfn.XLOOKUP(AO43,Registration[Nickname],_FV(Registration[Country],"Image"))</f>
        <v>#VALUE!</v>
      </c>
      <c r="AQ43" s="3">
        <v>7</v>
      </c>
    </row>
    <row r="44" spans="2:57" ht="15" customHeight="1">
      <c r="AD44" s="22"/>
      <c r="AF44" s="80"/>
      <c r="AG44" s="27" t="e" cm="1">
        <f t="array" ref="AG44">_xlfn.XLOOKUP(AH44,_xlfn.ANCHORARRAY($B$3),_xlfn.ANCHORARRAY($A$3),"",0)</f>
        <v>#REF!</v>
      </c>
      <c r="AH44" s="13" t="str" cm="1">
        <f t="array" ref="AH44">IF(COUNTA(AC45:AC46)&lt;2,"Winner of 19",INDEX(_xlfn.SORTBY(AA45:AA46,AC45:AC46,-1),1))</f>
        <v>Leyla</v>
      </c>
      <c r="AI44" s="13" t="e" cm="1" vm="13">
        <f t="array" aca="1" ref="AI44" ca="1">_xlfn.XLOOKUP(AH44,Registration[Nickname],_FV(Registration[Country],"Image"))</f>
        <v>#VALUE!</v>
      </c>
      <c r="AJ44" s="3">
        <v>3</v>
      </c>
      <c r="AM44" s="80"/>
      <c r="AN44" s="27" t="e" cm="1">
        <f t="array" ref="AN44">_xlfn.XLOOKUP(AO44,_xlfn.ANCHORARRAY($B$3),_xlfn.ANCHORARRAY($A$3),"",0)</f>
        <v>#REF!</v>
      </c>
      <c r="AO44" s="13" t="str" cm="1">
        <f t="array" ref="AO44">IF(COUNTA(AJ43:AJ44)&lt;2,"Winner of 22",INDEX(_xlfn.SORTBY(AH43:AH44,AJ43:AJ44,-1),1))</f>
        <v>Geo</v>
      </c>
      <c r="AP44" s="13" t="e" cm="1" vm="15">
        <f t="array" aca="1" ref="AP44" ca="1">_xlfn.XLOOKUP(AO44,Registration[Nickname],_FV(Registration[Country],"Image"))</f>
        <v>#VALUE!</v>
      </c>
      <c r="AQ44" s="3">
        <v>6</v>
      </c>
      <c r="AR44" s="21"/>
    </row>
    <row r="45" spans="2:57" ht="15" customHeight="1">
      <c r="R45" s="79">
        <v>10</v>
      </c>
      <c r="S45" s="27" t="e" cm="1">
        <f t="array" ref="S45">_xlfn.XLOOKUP(T45,_xlfn.ANCHORARRAY($B$3),_xlfn.ANCHORARRAY($A$3),"",0)</f>
        <v>#REF!</v>
      </c>
      <c r="T45" s="13" t="str" cm="1">
        <f t="array" ref="T45">IF(COUNTA(V13:V14)&lt;2,"Loser of 3",INDEX(_xlfn.SORTBY(T13:T14,V13:V14,1),1))</f>
        <v>Rub</v>
      </c>
      <c r="U45" s="13" t="e" cm="1" vm="12">
        <f t="array" aca="1" ref="U45" ca="1">_xlfn.XLOOKUP(T45,Registration[Nickname],_FV(Registration[Country],"Image"))</f>
        <v>#VALUE!</v>
      </c>
      <c r="V45" s="3">
        <v>3</v>
      </c>
      <c r="W45" s="23"/>
      <c r="X45" s="24"/>
      <c r="Y45" s="79">
        <v>19</v>
      </c>
      <c r="Z45" s="27" t="e" cm="1">
        <f t="array" ref="Z45">_xlfn.XLOOKUP(AA45,_xlfn.ANCHORARRAY($B$3),_xlfn.ANCHORARRAY($A$3),"",0)</f>
        <v>#REF!</v>
      </c>
      <c r="AA45" s="13" t="str" cm="1">
        <f t="array" ref="AA45">IF(COUNTA(AC23:AC24)&lt;2,"Loser of 15",INDEX(_xlfn.SORTBY(AA23:AA24,AC23:AC24,1),1))</f>
        <v>Leyla</v>
      </c>
      <c r="AB45" s="13" t="e" cm="1" vm="13">
        <f t="array" aca="1" ref="AB45" ca="1">_xlfn.XLOOKUP(AA45,Registration[Nickname],_FV(Registration[Country],"Image"))</f>
        <v>#VALUE!</v>
      </c>
      <c r="AC45" s="3">
        <v>5</v>
      </c>
      <c r="AD45" s="24"/>
      <c r="AR45" s="22"/>
    </row>
    <row r="46" spans="2:57" ht="15" customHeight="1">
      <c r="R46" s="80"/>
      <c r="S46" s="27" t="e" cm="1">
        <f t="array" ref="S46">_xlfn.XLOOKUP(T46,_xlfn.ANCHORARRAY($B$3),_xlfn.ANCHORARRAY($A$3),"",0)</f>
        <v>#REF!</v>
      </c>
      <c r="T46" s="13" t="str" cm="1">
        <f t="array" ref="T46">IF(COUNTA(V17:V18)&lt;2,"Loser of 4",INDEX(_xlfn.SORTBY(T17:T18,V17:V18,1),1))</f>
        <v>Drew</v>
      </c>
      <c r="U46" s="13" t="e" cm="1" vm="14">
        <f t="array" aca="1" ref="U46" ca="1">_xlfn.XLOOKUP(T46,Registration[Nickname],_FV(Registration[Country],"Image"))</f>
        <v>#VALUE!</v>
      </c>
      <c r="V46" s="3">
        <v>5</v>
      </c>
      <c r="Y46" s="80"/>
      <c r="Z46" s="27" t="e" cm="1">
        <f t="array" ref="Z46">_xlfn.XLOOKUP(AA46,_xlfn.ANCHORARRAY($B$3),_xlfn.ANCHORARRAY($A$3),"",0)</f>
        <v>#REF!</v>
      </c>
      <c r="AA46" s="13" t="str" cm="1">
        <f t="array" ref="AA46">IF(COUNTA(V45:V46)&lt;2,"Winner of 10",INDEX(_xlfn.SORTBY(T45:T46,V45:V46,-1),1))</f>
        <v>Drew</v>
      </c>
      <c r="AB46" s="13" t="e" cm="1" vm="14">
        <f t="array" aca="1" ref="AB46" ca="1">_xlfn.XLOOKUP(AA46,Registration[Nickname],_FV(Registration[Country],"Image"))</f>
        <v>#VALUE!</v>
      </c>
      <c r="AC46" s="3">
        <v>0</v>
      </c>
      <c r="AR46" s="22"/>
    </row>
    <row r="47" spans="2:57" ht="15" customHeight="1">
      <c r="AR47" s="22"/>
      <c r="AS47" s="23"/>
      <c r="AT47" s="79">
        <v>27</v>
      </c>
      <c r="AU47" s="27" t="e" cm="1">
        <f t="array" ref="AU47">_xlfn.XLOOKUP(AV47,_xlfn.ANCHORARRAY($B$3),_xlfn.ANCHORARRAY($A$3),"",0)</f>
        <v>#REF!</v>
      </c>
      <c r="AV47" s="13" t="str" cm="1">
        <f t="array" ref="AV47">IF(COUNTA(AQ43:AQ44)&lt;2,"Winner of 25",INDEX(_xlfn.SORTBY(AO43:AO44,AQ43:AQ44,-1),1))</f>
        <v>KVD</v>
      </c>
      <c r="AW47" s="13" t="e" cm="1" vm="12">
        <f t="array" aca="1" ref="AW47" ca="1">_xlfn.XLOOKUP(AV47,Registration[Nickname],_FV(Registration[Country],"Image"))</f>
        <v>#VALUE!</v>
      </c>
      <c r="AX47" s="3">
        <v>4</v>
      </c>
      <c r="AY47" s="23"/>
      <c r="AZ47" s="24"/>
      <c r="BA47" s="79">
        <v>29</v>
      </c>
      <c r="BB47" s="27" t="e" cm="1">
        <f t="array" ref="BB47">_xlfn.XLOOKUP(BC47,_xlfn.ANCHORARRAY($B$3),_xlfn.ANCHORARRAY($A$3),"",0)</f>
        <v>#REF!</v>
      </c>
      <c r="BC47" s="13" t="str" cm="1">
        <f t="array" ref="BC47">IF(COUNTA(AQ19:AQ20)&lt;2,"Loser of 28",INDEX(_xlfn.SORTBY(AO19:AO20,AQ19:AQ20,1),1))</f>
        <v>Takashi</v>
      </c>
      <c r="BD47" s="13" t="e" cm="1" vm="16">
        <f t="array" aca="1" ref="BD47" ca="1">_xlfn.XLOOKUP(BC47,Registration[Nickname],_FV(Registration[Country],"Image"))</f>
        <v>#VALUE!</v>
      </c>
      <c r="BE47" s="3">
        <v>1</v>
      </c>
    </row>
    <row r="48" spans="2:57" ht="15" customHeight="1">
      <c r="AR48" s="22"/>
      <c r="AT48" s="80"/>
      <c r="AU48" s="27" t="e" cm="1">
        <f t="array" ref="AU48">_xlfn.XLOOKUP(AV48,_xlfn.ANCHORARRAY($B$3),_xlfn.ANCHORARRAY($A$3),"",0)</f>
        <v>#REF!</v>
      </c>
      <c r="AV48" s="13" t="str" cm="1">
        <f t="array" ref="AV48">IF(COUNTA(AQ51:AQ52)&lt;2,"Winner of 26",INDEX(_xlfn.SORTBY(AO51:AO52,AQ51:AQ52,-1),1))</f>
        <v>Lafungo</v>
      </c>
      <c r="AW48" s="13" t="e" cm="1" vm="14">
        <f t="array" aca="1" ref="AW48" ca="1">_xlfn.XLOOKUP(AV48,Registration[Nickname],_FV(Registration[Country],"Image"))</f>
        <v>#VALUE!</v>
      </c>
      <c r="AX48" s="3">
        <v>9</v>
      </c>
      <c r="BA48" s="80"/>
      <c r="BB48" s="27" t="e" cm="1">
        <f t="array" ref="BB48">_xlfn.XLOOKUP(BC48,_xlfn.ANCHORARRAY($B$3),_xlfn.ANCHORARRAY($A$3),"",0)</f>
        <v>#REF!</v>
      </c>
      <c r="BC48" s="13" t="str" cm="1">
        <f t="array" ref="BC48">IF(COUNTA(AX47:AX48)&lt;2,"Winner of 27",INDEX(_xlfn.SORTBY(AV47:AV48,AX47:AX48,-1),1))</f>
        <v>Lafungo</v>
      </c>
      <c r="BD48" s="13" t="e" cm="1" vm="14">
        <f t="array" aca="1" ref="BD48" ca="1">_xlfn.XLOOKUP(BC48,Registration[Nickname],_FV(Registration[Country],"Image"))</f>
        <v>#VALUE!</v>
      </c>
      <c r="BE48" s="3">
        <v>9</v>
      </c>
    </row>
    <row r="49" spans="18:44" ht="15" customHeight="1">
      <c r="R49" s="79">
        <v>11</v>
      </c>
      <c r="S49" s="27" t="e" cm="1">
        <f t="array" ref="S49">_xlfn.XLOOKUP(T49,_xlfn.ANCHORARRAY($B$3),_xlfn.ANCHORARRAY($A$3),"",0)</f>
        <v>#REF!</v>
      </c>
      <c r="T49" s="13" t="str" cm="1">
        <f t="array" ref="T49">IF(COUNTA(V21:V22)&lt;2,"Loser of 5",INDEX(_xlfn.SORTBY(T21:T22,V21:V22,1),1))</f>
        <v>Sumz</v>
      </c>
      <c r="U49" s="13" t="e" cm="1" vm="18">
        <f t="array" aca="1" ref="U49" ca="1">_xlfn.XLOOKUP(T49,Registration[Nickname],_FV(Registration[Country],"Image"))</f>
        <v>#VALUE!</v>
      </c>
      <c r="V49" s="3">
        <v>2</v>
      </c>
      <c r="W49" s="23"/>
      <c r="X49" s="24"/>
      <c r="Y49" s="79">
        <v>18</v>
      </c>
      <c r="Z49" s="27" t="e" cm="1">
        <f t="array" ref="Z49">_xlfn.XLOOKUP(AA49,_xlfn.ANCHORARRAY($B$3),_xlfn.ANCHORARRAY($A$3),"",0)</f>
        <v>#REF!</v>
      </c>
      <c r="AA49" s="13" t="str" cm="1">
        <f t="array" ref="AA49">IF(COUNTA(AC15:AC16)&lt;2,"Loser of 14",INDEX(_xlfn.SORTBY(AA15:AA16,AC15:AC16,1),1))</f>
        <v>Lafungo</v>
      </c>
      <c r="AB49" s="13" t="e" cm="1" vm="14">
        <f t="array" aca="1" ref="AB49" ca="1">_xlfn.XLOOKUP(AA49,Registration[Nickname],_FV(Registration[Country],"Image"))</f>
        <v>#VALUE!</v>
      </c>
      <c r="AC49" s="3">
        <v>5</v>
      </c>
      <c r="AR49" s="22"/>
    </row>
    <row r="50" spans="18:44" ht="15" customHeight="1">
      <c r="R50" s="80"/>
      <c r="S50" s="27" t="e" cm="1">
        <f t="array" ref="S50">_xlfn.XLOOKUP(T50,_xlfn.ANCHORARRAY($B$3),_xlfn.ANCHORARRAY($A$3),"",0)</f>
        <v>#REF!</v>
      </c>
      <c r="T50" s="13" t="str" cm="1">
        <f t="array" ref="T50">IF(COUNTA(V25:V26)&lt;2,"Loser of 6",INDEX(_xlfn.SORTBY(T25:T26,V25:V26,1),1))</f>
        <v>Onwa</v>
      </c>
      <c r="U50" s="13" t="e" cm="1" vm="16">
        <f t="array" aca="1" ref="U50" ca="1">_xlfn.XLOOKUP(T50,Registration[Nickname],_FV(Registration[Country],"Image"))</f>
        <v>#VALUE!</v>
      </c>
      <c r="V50" s="3">
        <v>5</v>
      </c>
      <c r="Y50" s="80"/>
      <c r="Z50" s="27" t="e" cm="1">
        <f t="array" ref="Z50">_xlfn.XLOOKUP(AA50,_xlfn.ANCHORARRAY($B$3),_xlfn.ANCHORARRAY($A$3),"",0)</f>
        <v>#REF!</v>
      </c>
      <c r="AA50" s="13" t="str" cm="1">
        <f t="array" ref="AA50">IF(COUNTA(V49:V50)&lt;2,"Winner of 11",INDEX(_xlfn.SORTBY(T49:T50,V49:V50,-1),1))</f>
        <v>Onwa</v>
      </c>
      <c r="AB50" s="13" t="e" cm="1" vm="16">
        <f t="array" aca="1" ref="AB50" ca="1">_xlfn.XLOOKUP(AA50,Registration[Nickname],_FV(Registration[Country],"Image"))</f>
        <v>#VALUE!</v>
      </c>
      <c r="AC50" s="3">
        <v>2</v>
      </c>
      <c r="AD50" s="21"/>
      <c r="AR50" s="22"/>
    </row>
    <row r="51" spans="18:44" ht="15" customHeight="1">
      <c r="AD51" s="22"/>
      <c r="AE51" s="23"/>
      <c r="AF51" s="79">
        <v>21</v>
      </c>
      <c r="AG51" s="27" t="e" cm="1">
        <f t="array" ref="AG51">_xlfn.XLOOKUP(AH51,_xlfn.ANCHORARRAY($B$3),_xlfn.ANCHORARRAY($A$3),"",0)</f>
        <v>#REF!</v>
      </c>
      <c r="AH51" s="13" t="str" cm="1">
        <f t="array" ref="AH51">IF(COUNTA(AC49:AC50)&lt;2,"Winner of 18",INDEX(_xlfn.SORTBY(AA49:AA50,AC49:AC50,-1),1))</f>
        <v>Lafungo</v>
      </c>
      <c r="AI51" s="13" t="e" cm="1" vm="14">
        <f t="array" aca="1" ref="AI51" ca="1">_xlfn.XLOOKUP(AH51,Registration[Nickname],_FV(Registration[Country],"Image"))</f>
        <v>#VALUE!</v>
      </c>
      <c r="AJ51" s="3">
        <v>7</v>
      </c>
      <c r="AK51" s="23"/>
      <c r="AL51" s="24"/>
      <c r="AM51" s="79">
        <v>26</v>
      </c>
      <c r="AN51" s="27" t="e" cm="1">
        <f t="array" ref="AN51">_xlfn.XLOOKUP(AO51,_xlfn.ANCHORARRAY($B$3),_xlfn.ANCHORARRAY($A$3),"",0)</f>
        <v>#REF!</v>
      </c>
      <c r="AO51" s="13" t="str" cm="1">
        <f t="array" ref="AO51">IF(COUNTA(AJ27:AJ28)&lt;2,"Loser of 24",INDEX(_xlfn.SORTBY(AH27:AH28,AJ27:AJ28,1),1))</f>
        <v>Antistar</v>
      </c>
      <c r="AP51" s="13" t="e" cm="1" vm="15">
        <f t="array" aca="1" ref="AP51" ca="1">_xlfn.XLOOKUP(AO51,Registration[Nickname],_FV(Registration[Country],"Image"))</f>
        <v>#VALUE!</v>
      </c>
      <c r="AQ51" s="3">
        <v>1</v>
      </c>
      <c r="AR51" s="24"/>
    </row>
    <row r="52" spans="18:44" ht="15" customHeight="1">
      <c r="AD52" s="22"/>
      <c r="AF52" s="80"/>
      <c r="AG52" s="27" t="e" cm="1">
        <f t="array" ref="AG52">_xlfn.XLOOKUP(AH52,_xlfn.ANCHORARRAY($B$3),_xlfn.ANCHORARRAY($A$3),"",0)</f>
        <v>#REF!</v>
      </c>
      <c r="AH52" s="13" t="str" cm="1">
        <f t="array" ref="AH52">IF(COUNTA(AC53:AC54)&lt;2,"Winner of 17",INDEX(_xlfn.SORTBY(AA53:AA54,AC53:AC54,-1),1))</f>
        <v>JDR</v>
      </c>
      <c r="AI52" s="13" t="e" cm="1" vm="15">
        <f t="array" aca="1" ref="AI52" ca="1">_xlfn.XLOOKUP(AH52,Registration[Nickname],_FV(Registration[Country],"Image"))</f>
        <v>#VALUE!</v>
      </c>
      <c r="AJ52" s="3">
        <v>1</v>
      </c>
      <c r="AM52" s="80"/>
      <c r="AN52" s="27" t="e" cm="1">
        <f t="array" ref="AN52">_xlfn.XLOOKUP(AO52,_xlfn.ANCHORARRAY($B$3),_xlfn.ANCHORARRAY($A$3),"",0)</f>
        <v>#REF!</v>
      </c>
      <c r="AO52" s="13" t="str" cm="1">
        <f t="array" ref="AO52">IF(COUNTA(AJ51:AJ52)&lt;2,"Winner of 21",INDEX(_xlfn.SORTBY(AH51:AH52,AJ51:AJ52,-1),1))</f>
        <v>Lafungo</v>
      </c>
      <c r="AP52" s="13" t="e" cm="1" vm="14">
        <f t="array" aca="1" ref="AP52" ca="1">_xlfn.XLOOKUP(AO52,Registration[Nickname],_FV(Registration[Country],"Image"))</f>
        <v>#VALUE!</v>
      </c>
      <c r="AQ52" s="3">
        <v>7</v>
      </c>
    </row>
    <row r="53" spans="18:44" ht="15" customHeight="1">
      <c r="R53" s="79">
        <v>12</v>
      </c>
      <c r="S53" s="27" t="e" cm="1">
        <f t="array" ref="S53">_xlfn.XLOOKUP(T53,_xlfn.ANCHORARRAY($B$3),_xlfn.ANCHORARRAY($A$3),"",0)</f>
        <v>#REF!</v>
      </c>
      <c r="T53" s="13" t="str" cm="1">
        <f t="array" ref="T53">IF(COUNTA(V29:V30)&lt;2,"Loser of 7",INDEX(_xlfn.SORTBY(T29:T30,V29:V30,1),1))</f>
        <v>Patrick</v>
      </c>
      <c r="U53" s="13" t="e" cm="1" vm="12">
        <f t="array" aca="1" ref="U53" ca="1">_xlfn.XLOOKUP(T53,Registration[Nickname],_FV(Registration[Country],"Image"))</f>
        <v>#VALUE!</v>
      </c>
      <c r="V53" s="3">
        <v>5</v>
      </c>
      <c r="W53" s="23"/>
      <c r="X53" s="24"/>
      <c r="Y53" s="79">
        <v>17</v>
      </c>
      <c r="Z53" s="27" t="e" cm="1">
        <f t="array" ref="Z53">_xlfn.XLOOKUP(AA53,_xlfn.ANCHORARRAY($B$3),_xlfn.ANCHORARRAY($A$3),"",0)</f>
        <v>#REF!</v>
      </c>
      <c r="AA53" s="13" t="str" cm="1">
        <f t="array" ref="AA53">IF(COUNTA(AC7:AC8)&lt;2,"Loser of 13",INDEX(_xlfn.SORTBY(AA7:AA8,AC7:AC8,1),1))</f>
        <v>JDR</v>
      </c>
      <c r="AB53" s="13" t="e" cm="1" vm="15">
        <f t="array" aca="1" ref="AB53" ca="1">_xlfn.XLOOKUP(AA53,Registration[Nickname],_FV(Registration[Country],"Image"))</f>
        <v>#VALUE!</v>
      </c>
      <c r="AC53" s="3">
        <v>5</v>
      </c>
      <c r="AD53" s="24"/>
    </row>
    <row r="54" spans="18:44" ht="15" customHeight="1">
      <c r="R54" s="80"/>
      <c r="S54" s="27" t="e" cm="1">
        <f t="array" ref="S54">_xlfn.XLOOKUP(T54,_xlfn.ANCHORARRAY($B$3),_xlfn.ANCHORARRAY($A$3),"",0)</f>
        <v>#REF!</v>
      </c>
      <c r="T54" s="13" t="str" cm="1">
        <f t="array" ref="T54">IF(COUNTA(V33:V34)&lt;2,"Loser of 8",INDEX(_xlfn.SORTBY(T33:T34,V33:V34,1),1))</f>
        <v>Moll</v>
      </c>
      <c r="U54" s="13" t="e" cm="1" vm="13">
        <f t="array" aca="1" ref="U54" ca="1">_xlfn.XLOOKUP(T54,Registration[Nickname],_FV(Registration[Country],"Image"))</f>
        <v>#VALUE!</v>
      </c>
      <c r="V54" s="3">
        <v>3</v>
      </c>
      <c r="Y54" s="80"/>
      <c r="Z54" s="27" t="e" cm="1">
        <f t="array" ref="Z54">_xlfn.XLOOKUP(AA54,_xlfn.ANCHORARRAY($B$3),_xlfn.ANCHORARRAY($A$3),"",0)</f>
        <v>#REF!</v>
      </c>
      <c r="AA54" s="13" t="str" cm="1">
        <f t="array" ref="AA54">IF(COUNTA(V53:V54)&lt;2,"Winner of B112",INDEX(_xlfn.SORTBY(T53:T54,V53:V54,-1),1))</f>
        <v>Patrick</v>
      </c>
      <c r="AB54" s="13" t="e" cm="1" vm="12">
        <f t="array" aca="1" ref="AB54" ca="1">_xlfn.XLOOKUP(AA54,Registration[Nickname],_FV(Registration[Country],"Image"))</f>
        <v>#VALUE!</v>
      </c>
      <c r="AC54" s="3">
        <v>0</v>
      </c>
    </row>
  </sheetData>
  <mergeCells count="75">
    <mergeCell ref="D13:D14"/>
    <mergeCell ref="A1:B1"/>
    <mergeCell ref="D1:H1"/>
    <mergeCell ref="K1:O1"/>
    <mergeCell ref="D5:D6"/>
    <mergeCell ref="K5:K6"/>
    <mergeCell ref="K13:K14"/>
    <mergeCell ref="Y31:Y32"/>
    <mergeCell ref="AT37:AX37"/>
    <mergeCell ref="BA37:BE37"/>
    <mergeCell ref="BB38:BE39"/>
    <mergeCell ref="Y41:Y42"/>
    <mergeCell ref="BA1:BE1"/>
    <mergeCell ref="BG1:BI1"/>
    <mergeCell ref="E2:H3"/>
    <mergeCell ref="L2:O3"/>
    <mergeCell ref="S2:V3"/>
    <mergeCell ref="Z2:AC3"/>
    <mergeCell ref="AG2:AJ3"/>
    <mergeCell ref="AN2:AQ3"/>
    <mergeCell ref="AU2:AX3"/>
    <mergeCell ref="BB2:BE3"/>
    <mergeCell ref="R1:V1"/>
    <mergeCell ref="Y1:AC1"/>
    <mergeCell ref="AF1:AJ1"/>
    <mergeCell ref="AM1:AQ1"/>
    <mergeCell ref="AT1:AX1"/>
    <mergeCell ref="R5:R6"/>
    <mergeCell ref="BG7:BG8"/>
    <mergeCell ref="R9:R10"/>
    <mergeCell ref="BG9:BG10"/>
    <mergeCell ref="AF11:AF12"/>
    <mergeCell ref="BG11:BG14"/>
    <mergeCell ref="Y7:Y8"/>
    <mergeCell ref="R13:R14"/>
    <mergeCell ref="Y15:Y16"/>
    <mergeCell ref="BG15:BG18"/>
    <mergeCell ref="R17:R18"/>
    <mergeCell ref="AM19:AM20"/>
    <mergeCell ref="AT19:AT20"/>
    <mergeCell ref="BA19:BA20"/>
    <mergeCell ref="BG19:BG22"/>
    <mergeCell ref="D21:D22"/>
    <mergeCell ref="K21:K22"/>
    <mergeCell ref="R21:R22"/>
    <mergeCell ref="BG23:BG26"/>
    <mergeCell ref="R25:R26"/>
    <mergeCell ref="AF27:AF28"/>
    <mergeCell ref="D29:D30"/>
    <mergeCell ref="K29:K30"/>
    <mergeCell ref="R29:R30"/>
    <mergeCell ref="Y23:Y24"/>
    <mergeCell ref="R33:R34"/>
    <mergeCell ref="R37:V37"/>
    <mergeCell ref="Y37:AC37"/>
    <mergeCell ref="AF37:AJ37"/>
    <mergeCell ref="AM37:AQ37"/>
    <mergeCell ref="S38:V39"/>
    <mergeCell ref="Z38:AC39"/>
    <mergeCell ref="AG38:AJ39"/>
    <mergeCell ref="AN38:AQ39"/>
    <mergeCell ref="AU38:AX39"/>
    <mergeCell ref="R41:R42"/>
    <mergeCell ref="AF43:AF44"/>
    <mergeCell ref="AM43:AM44"/>
    <mergeCell ref="R45:R46"/>
    <mergeCell ref="Y45:Y46"/>
    <mergeCell ref="R53:R54"/>
    <mergeCell ref="Y53:Y54"/>
    <mergeCell ref="AT47:AT48"/>
    <mergeCell ref="BA47:BA48"/>
    <mergeCell ref="R49:R50"/>
    <mergeCell ref="Y49:Y50"/>
    <mergeCell ref="AF51:AF52"/>
    <mergeCell ref="AM51:AM52"/>
  </mergeCells>
  <conditionalFormatting sqref="A28:Q28">
    <cfRule type="notContainsBlanks" dxfId="89" priority="45">
      <formula>LEN(TRIM(A28))&gt;0</formula>
    </cfRule>
  </conditionalFormatting>
  <conditionalFormatting sqref="B3:B26">
    <cfRule type="notContainsBlanks" dxfId="88" priority="18">
      <formula>LEN(TRIM(B3))&gt;0</formula>
    </cfRule>
  </conditionalFormatting>
  <conditionalFormatting sqref="B27 B29:B1048576">
    <cfRule type="notContainsBlanks" dxfId="87" priority="46">
      <formula>LEN(TRIM(B27))&gt;0</formula>
    </cfRule>
  </conditionalFormatting>
  <conditionalFormatting sqref="F5:G6 M5:N6">
    <cfRule type="notContainsBlanks" dxfId="86" priority="42">
      <formula>LEN(TRIM(F5))&gt;0</formula>
    </cfRule>
  </conditionalFormatting>
  <conditionalFormatting sqref="F13:G14">
    <cfRule type="notContainsBlanks" dxfId="85" priority="41">
      <formula>LEN(TRIM(F13))&gt;0</formula>
    </cfRule>
  </conditionalFormatting>
  <conditionalFormatting sqref="F21:G22">
    <cfRule type="notContainsBlanks" dxfId="84" priority="40">
      <formula>LEN(TRIM(F21))&gt;0</formula>
    </cfRule>
  </conditionalFormatting>
  <conditionalFormatting sqref="F29:G30">
    <cfRule type="notContainsBlanks" dxfId="83" priority="39">
      <formula>LEN(TRIM(F29))&gt;0</formula>
    </cfRule>
  </conditionalFormatting>
  <conditionalFormatting sqref="M13:N14">
    <cfRule type="notContainsBlanks" dxfId="82" priority="38">
      <formula>LEN(TRIM(M13))&gt;0</formula>
    </cfRule>
  </conditionalFormatting>
  <conditionalFormatting sqref="M21:N22">
    <cfRule type="notContainsBlanks" dxfId="81" priority="37">
      <formula>LEN(TRIM(M21))&gt;0</formula>
    </cfRule>
  </conditionalFormatting>
  <conditionalFormatting sqref="M29:N30">
    <cfRule type="notContainsBlanks" dxfId="80" priority="36">
      <formula>LEN(TRIM(M29))&gt;0</formula>
    </cfRule>
  </conditionalFormatting>
  <conditionalFormatting sqref="T5:U6">
    <cfRule type="notContainsBlanks" dxfId="79" priority="35">
      <formula>LEN(TRIM(T5))&gt;0</formula>
    </cfRule>
  </conditionalFormatting>
  <conditionalFormatting sqref="T9:U10 T17:U18 T25:U26 T33:U34">
    <cfRule type="notContainsBlanks" dxfId="78" priority="44">
      <formula>LEN(TRIM(T9))&gt;0</formula>
    </cfRule>
  </conditionalFormatting>
  <conditionalFormatting sqref="T13:U14">
    <cfRule type="notContainsBlanks" dxfId="77" priority="34">
      <formula>LEN(TRIM(T13))&gt;0</formula>
    </cfRule>
  </conditionalFormatting>
  <conditionalFormatting sqref="T21:U22">
    <cfRule type="notContainsBlanks" dxfId="76" priority="33">
      <formula>LEN(TRIM(T21))&gt;0</formula>
    </cfRule>
  </conditionalFormatting>
  <conditionalFormatting sqref="T29:U30">
    <cfRule type="notContainsBlanks" dxfId="75" priority="32">
      <formula>LEN(TRIM(T29))&gt;0</formula>
    </cfRule>
  </conditionalFormatting>
  <conditionalFormatting sqref="T41:U42">
    <cfRule type="notContainsBlanks" dxfId="74" priority="22">
      <formula>LEN(TRIM(T41))&gt;0</formula>
    </cfRule>
  </conditionalFormatting>
  <conditionalFormatting sqref="T45:U46">
    <cfRule type="notContainsBlanks" dxfId="73" priority="21">
      <formula>LEN(TRIM(T45))&gt;0</formula>
    </cfRule>
  </conditionalFormatting>
  <conditionalFormatting sqref="T49:U50">
    <cfRule type="notContainsBlanks" dxfId="72" priority="20">
      <formula>LEN(TRIM(T49))&gt;0</formula>
    </cfRule>
  </conditionalFormatting>
  <conditionalFormatting sqref="T53:U54">
    <cfRule type="notContainsBlanks" dxfId="71" priority="19">
      <formula>LEN(TRIM(T53))&gt;0</formula>
    </cfRule>
  </conditionalFormatting>
  <conditionalFormatting sqref="AA7:AB8">
    <cfRule type="notContainsBlanks" dxfId="70" priority="31">
      <formula>LEN(TRIM(AA7))&gt;0</formula>
    </cfRule>
  </conditionalFormatting>
  <conditionalFormatting sqref="AA15:AB16">
    <cfRule type="notContainsBlanks" dxfId="69" priority="30">
      <formula>LEN(TRIM(AA15))&gt;0</formula>
    </cfRule>
  </conditionalFormatting>
  <conditionalFormatting sqref="AA23:AB24">
    <cfRule type="notContainsBlanks" dxfId="68" priority="29">
      <formula>LEN(TRIM(AA23))&gt;0</formula>
    </cfRule>
  </conditionalFormatting>
  <conditionalFormatting sqref="AA31:AB32">
    <cfRule type="notContainsBlanks" dxfId="67" priority="28">
      <formula>LEN(TRIM(AA31))&gt;0</formula>
    </cfRule>
  </conditionalFormatting>
  <conditionalFormatting sqref="AA41:AB42">
    <cfRule type="notContainsBlanks" dxfId="66" priority="14">
      <formula>LEN(TRIM(AA41))&gt;0</formula>
    </cfRule>
  </conditionalFormatting>
  <conditionalFormatting sqref="AA45:AB46">
    <cfRule type="notContainsBlanks" dxfId="65" priority="13">
      <formula>LEN(TRIM(AA45))&gt;0</formula>
    </cfRule>
  </conditionalFormatting>
  <conditionalFormatting sqref="AA49:AB50">
    <cfRule type="notContainsBlanks" dxfId="64" priority="12">
      <formula>LEN(TRIM(AA49))&gt;0</formula>
    </cfRule>
  </conditionalFormatting>
  <conditionalFormatting sqref="AA53:AB54">
    <cfRule type="notContainsBlanks" dxfId="63" priority="11">
      <formula>LEN(TRIM(AA53))&gt;0</formula>
    </cfRule>
  </conditionalFormatting>
  <conditionalFormatting sqref="AH11:AI12">
    <cfRule type="notContainsBlanks" dxfId="62" priority="27">
      <formula>LEN(TRIM(AH11))&gt;0</formula>
    </cfRule>
  </conditionalFormatting>
  <conditionalFormatting sqref="AH27:AI28">
    <cfRule type="notContainsBlanks" dxfId="61" priority="26">
      <formula>LEN(TRIM(AH27))&gt;0</formula>
    </cfRule>
  </conditionalFormatting>
  <conditionalFormatting sqref="AH43:AI44">
    <cfRule type="notContainsBlanks" dxfId="60" priority="10">
      <formula>LEN(TRIM(AH43))&gt;0</formula>
    </cfRule>
  </conditionalFormatting>
  <conditionalFormatting sqref="AH51:AI52">
    <cfRule type="notContainsBlanks" dxfId="59" priority="9">
      <formula>LEN(TRIM(AH51))&gt;0</formula>
    </cfRule>
  </conditionalFormatting>
  <conditionalFormatting sqref="AO19:AP20">
    <cfRule type="notContainsBlanks" dxfId="58" priority="25">
      <formula>LEN(TRIM(AO19))&gt;0</formula>
    </cfRule>
  </conditionalFormatting>
  <conditionalFormatting sqref="AO43:AP44">
    <cfRule type="notContainsBlanks" dxfId="57" priority="8">
      <formula>LEN(TRIM(AO43))&gt;0</formula>
    </cfRule>
  </conditionalFormatting>
  <conditionalFormatting sqref="AO51:AP52">
    <cfRule type="notContainsBlanks" dxfId="56" priority="6">
      <formula>LEN(TRIM(AO51))&gt;0</formula>
    </cfRule>
  </conditionalFormatting>
  <conditionalFormatting sqref="AV19:AW20">
    <cfRule type="notContainsBlanks" dxfId="55" priority="24">
      <formula>LEN(TRIM(AV19))&gt;0</formula>
    </cfRule>
  </conditionalFormatting>
  <conditionalFormatting sqref="AV47:AW48">
    <cfRule type="notContainsBlanks" dxfId="54" priority="5">
      <formula>LEN(TRIM(AV47))&gt;0</formula>
    </cfRule>
  </conditionalFormatting>
  <conditionalFormatting sqref="BC19:BD19 BD20">
    <cfRule type="notContainsBlanks" dxfId="53" priority="23">
      <formula>LEN(TRIM(BC19))&gt;0</formula>
    </cfRule>
  </conditionalFormatting>
  <conditionalFormatting sqref="BC47:BD48">
    <cfRule type="notContainsBlanks" dxfId="52" priority="3">
      <formula>LEN(TRIM(BC47))&gt;0</formula>
    </cfRule>
  </conditionalFormatting>
  <conditionalFormatting sqref="BH3:BI26">
    <cfRule type="notContainsBlanks" dxfId="51" priority="2">
      <formula>LEN(TRIM(BH3))&gt;0</formula>
    </cfRule>
  </conditionalFormatting>
  <conditionalFormatting sqref="BC20">
    <cfRule type="notContainsBlanks" dxfId="50" priority="1">
      <formula>LEN(TRIM(BC20))&gt;0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4ECF5-0E15-4897-877F-8BE2B5ED98C6}">
  <sheetPr codeName="Sheet16">
    <tabColor rgb="FF00B050"/>
  </sheetPr>
  <dimension ref="A1:AO768"/>
  <sheetViews>
    <sheetView zoomScaleNormal="100" workbookViewId="0">
      <selection activeCell="AO22" sqref="AO22"/>
    </sheetView>
  </sheetViews>
  <sheetFormatPr defaultColWidth="5.5703125" defaultRowHeight="12.75"/>
  <cols>
    <col min="1" max="1" width="3.28515625" style="1" bestFit="1" customWidth="1"/>
    <col min="2" max="2" width="12.42578125" style="1" bestFit="1" customWidth="1"/>
    <col min="3" max="3" width="8.28515625" style="1" bestFit="1" customWidth="1"/>
    <col min="4" max="4" width="5.7109375" style="1" customWidth="1"/>
    <col min="5" max="5" width="6.42578125" style="1" bestFit="1" customWidth="1"/>
    <col min="6" max="6" width="8.28515625" style="1" bestFit="1" customWidth="1"/>
    <col min="7" max="7" width="15.7109375" style="1" customWidth="1"/>
    <col min="8" max="8" width="8.42578125" style="1" bestFit="1" customWidth="1"/>
    <col min="9" max="14" width="4.7109375" style="1" customWidth="1"/>
    <col min="15" max="15" width="6.7109375" style="1" bestFit="1" customWidth="1"/>
    <col min="16" max="16" width="4.42578125" style="1" bestFit="1" customWidth="1"/>
    <col min="17" max="17" width="6.28515625" style="1" bestFit="1" customWidth="1"/>
    <col min="18" max="18" width="1" style="1" customWidth="1"/>
    <col min="19" max="19" width="6.7109375" style="4" bestFit="1" customWidth="1"/>
    <col min="20" max="20" width="5.140625" style="4" bestFit="1" customWidth="1"/>
    <col min="21" max="21" width="6.85546875" style="4" bestFit="1" customWidth="1"/>
    <col min="22" max="22" width="12.42578125" style="4" bestFit="1" customWidth="1"/>
    <col min="23" max="23" width="5.7109375" style="4" customWidth="1"/>
    <col min="24" max="24" width="1.85546875" style="4" bestFit="1" customWidth="1"/>
    <col min="25" max="25" width="5.7109375" style="4" customWidth="1"/>
    <col min="26" max="26" width="12.42578125" style="4" bestFit="1" customWidth="1"/>
    <col min="27" max="27" width="6.85546875" style="4" bestFit="1" customWidth="1"/>
    <col min="28" max="28" width="10.7109375" style="4" bestFit="1" customWidth="1"/>
    <col min="29" max="29" width="2.7109375" style="1" hidden="1" customWidth="1"/>
    <col min="30" max="31" width="2" style="1" hidden="1" customWidth="1"/>
    <col min="32" max="32" width="7.85546875" style="1" customWidth="1"/>
    <col min="33" max="33" width="3.28515625" style="1" bestFit="1" customWidth="1"/>
    <col min="34" max="34" width="12.42578125" style="1" bestFit="1" customWidth="1"/>
    <col min="35" max="35" width="6.7109375" style="1" bestFit="1" customWidth="1"/>
    <col min="36" max="36" width="6.28515625" style="1" bestFit="1" customWidth="1"/>
    <col min="37" max="37" width="1.42578125" style="1" customWidth="1"/>
    <col min="38" max="38" width="5.5703125" style="1"/>
    <col min="39" max="39" width="12.42578125" style="1" bestFit="1" customWidth="1"/>
    <col min="40" max="16384" width="5.5703125" style="1"/>
  </cols>
  <sheetData>
    <row r="1" spans="1:41">
      <c r="A1" s="59" t="s">
        <v>0</v>
      </c>
      <c r="B1" s="59" t="s">
        <v>330</v>
      </c>
      <c r="C1" s="59" t="s">
        <v>219</v>
      </c>
      <c r="E1" s="59" t="s">
        <v>331</v>
      </c>
      <c r="F1" s="59" t="s">
        <v>219</v>
      </c>
      <c r="G1" s="59" t="s">
        <v>1</v>
      </c>
      <c r="H1" s="59" t="s">
        <v>3</v>
      </c>
      <c r="I1" s="59" t="s">
        <v>332</v>
      </c>
      <c r="J1" s="59" t="s">
        <v>333</v>
      </c>
      <c r="K1" s="59" t="s">
        <v>334</v>
      </c>
      <c r="L1" s="59" t="s">
        <v>335</v>
      </c>
      <c r="M1" s="59" t="s">
        <v>336</v>
      </c>
      <c r="N1" s="59" t="s">
        <v>337</v>
      </c>
      <c r="O1" s="59" t="s">
        <v>224</v>
      </c>
      <c r="P1" s="59" t="s">
        <v>338</v>
      </c>
      <c r="Q1" s="59" t="s">
        <v>220</v>
      </c>
      <c r="S1" s="58" t="s">
        <v>339</v>
      </c>
      <c r="T1" s="58" t="s">
        <v>340</v>
      </c>
      <c r="U1" s="58" t="s">
        <v>341</v>
      </c>
      <c r="V1" s="58" t="s">
        <v>1</v>
      </c>
      <c r="W1" s="66" t="s">
        <v>220</v>
      </c>
      <c r="X1" s="66"/>
      <c r="Y1" s="66"/>
      <c r="Z1" s="58" t="s">
        <v>1</v>
      </c>
      <c r="AA1" s="58" t="s">
        <v>341</v>
      </c>
      <c r="AB1" s="58" t="s">
        <v>395</v>
      </c>
      <c r="AC1" s="1" t="s">
        <v>333</v>
      </c>
      <c r="AD1" s="1" t="s">
        <v>334</v>
      </c>
      <c r="AE1" s="1" t="s">
        <v>335</v>
      </c>
      <c r="AG1" s="59" t="s">
        <v>0</v>
      </c>
      <c r="AH1" s="59" t="s">
        <v>1</v>
      </c>
      <c r="AI1" s="59" t="s">
        <v>336</v>
      </c>
      <c r="AJ1" s="59" t="s">
        <v>220</v>
      </c>
      <c r="AL1" s="59" t="s">
        <v>0</v>
      </c>
      <c r="AM1" s="59" t="s">
        <v>1</v>
      </c>
      <c r="AN1" s="59" t="s">
        <v>336</v>
      </c>
      <c r="AO1" s="59" t="s">
        <v>220</v>
      </c>
    </row>
    <row r="2" spans="1:41">
      <c r="A2" s="17" cm="1">
        <f t="array" ref="A2:A43">_xlfn.SEQUENCE(ROWS(_xlfn.ANCHORARRAY(B2)))</f>
        <v>1</v>
      </c>
      <c r="B2" s="13" t="str" cm="1">
        <f t="array" ref="B2:B43">_xlfn._xlws.FILTER(Registration[Nickname],Registration[GP]="Yes")</f>
        <v>Ale</v>
      </c>
      <c r="C2" s="13" cm="1">
        <f t="array" ref="C2:C43">_xlfn.XLOOKUP(_xlfn.ANCHORARRAY(B2),Registration[Nickname],Registration[GP Order])</f>
        <v>41</v>
      </c>
      <c r="D2" s="13"/>
      <c r="E2" s="13" t="str" cm="1">
        <f t="array" ref="E2:E44">_xlfn.VSTACK(IF('Main Hub'!R4&gt;0,IF(_xlfn.SEQUENCE('Main Hub'!R2/'Main Hub'!R4),"A"),"X"),IF('Main Hub'!R4&gt;1,IF(_xlfn.SEQUENCE('Main Hub'!R2/'Main Hub'!R4),"B"),"X"),IF('Main Hub'!R4&gt;2,IF(_xlfn.SEQUENCE('Main Hub'!R2/'Main Hub'!R4),"C"),"X"),IF('Main Hub'!R4&gt;3,IF(_xlfn.SEQUENCE('Main Hub'!R2/'Main Hub'!R4),"D"),"X"))</f>
        <v>A</v>
      </c>
      <c r="F2" s="13" cm="1">
        <f t="array" ref="F2:F44">_xlfn.VSTACK(IF('Main Hub'!R4&gt;0,_xlfn.SEQUENCE('Main Hub'!R2/'Main Hub'!R4,1,1,'Main Hub'!R4),""),IF('Main Hub'!R4&gt;1,_xlfn.SEQUENCE('Main Hub'!R2/'Main Hub'!R4,1,2,'Main Hub'!R4),""),IF('Main Hub'!R4&gt;2,_xlfn.SEQUENCE('Main Hub'!R2/'Main Hub'!R4,1,3,'Main Hub'!R4),""),IF('Main Hub'!R4&gt;3,_xlfn.SEQUENCE('Main Hub'!R2/'Main Hub'!R4,1,4,'Main Hub'!R4),""))</f>
        <v>1</v>
      </c>
      <c r="G2" s="13" t="str" cm="1">
        <f t="array" ref="G2:G44">IFERROR(_xlfn.XLOOKUP(_xlfn.ANCHORARRAY(F2),$C:$C,$B:$B),"")</f>
        <v>Lafungo</v>
      </c>
      <c r="H2" s="13" t="e" cm="1" vm="14">
        <f t="array" aca="1" ref="H2:H44" ca="1">IFERROR(_xlfn.XLOOKUP(_xlfn.ANCHORARRAY(G2),Registration[Nickname],_FV(Registration[Country],"Image")),"")</f>
        <v>#VALUE!</v>
      </c>
      <c r="I2" s="13" cm="1">
        <f t="array" ref="I2:I44">_xlfn.ANCHORARRAY(J2)+_xlfn.ANCHORARRAY(K2)+_xlfn.ANCHORARRAY(L2)</f>
        <v>15</v>
      </c>
      <c r="J2" s="13" cm="1">
        <f t="array" ref="J2:J44">SUMIF(V:V,_xlfn.ANCHORARRAY(G2),AC:AC)</f>
        <v>13</v>
      </c>
      <c r="K2" s="13" cm="1">
        <f t="array" ref="K2:K44">SUMIF(V:V,_xlfn.ANCHORARRAY(G2),AD:AD)</f>
        <v>0</v>
      </c>
      <c r="L2" s="13" cm="1">
        <f t="array" ref="L2:L44">SUMIF(V:V,_xlfn.ANCHORARRAY(G2),AE:AE)</f>
        <v>2</v>
      </c>
      <c r="M2" s="13" cm="1">
        <f t="array" ref="M2:M44">SUMIF(V:V,_xlfn.ANCHORARRAY(G2),W:W)</f>
        <v>651</v>
      </c>
      <c r="N2" s="13" cm="1">
        <f t="array" ref="N2:N44">SUMIF(V:V,_xlfn.ANCHORARRAY(G2),Y:Y)</f>
        <v>281</v>
      </c>
      <c r="O2" s="13" cm="1">
        <f t="array" ref="O2:O44">_xlfn.ANCHORARRAY(M2)-_xlfn.ANCHORARRAY(N2)</f>
        <v>370</v>
      </c>
      <c r="P2" s="13">
        <v>0</v>
      </c>
      <c r="Q2" s="13" cm="1">
        <f t="array" ref="Q2:Q44">IFERROR(1000*_xlfn.ANCHORARRAY(J2)/_xlfn.ANCHORARRAY(I2)+500*_xlfn.ANCHORARRAY(K2)/_xlfn.ANCHORARRAY(I2),0)</f>
        <v>866.66666666666663</v>
      </c>
      <c r="S2" s="17">
        <v>1</v>
      </c>
      <c r="T2" s="18"/>
      <c r="U2" s="17">
        <v>2</v>
      </c>
      <c r="V2" s="17" t="s">
        <v>73</v>
      </c>
      <c r="W2" s="18">
        <v>45</v>
      </c>
      <c r="X2" s="18" t="s">
        <v>342</v>
      </c>
      <c r="Y2" s="18">
        <v>0</v>
      </c>
      <c r="Z2" s="17" t="s">
        <v>343</v>
      </c>
      <c r="AA2" s="17">
        <v>1</v>
      </c>
      <c r="AB2" s="17" t="s">
        <v>177</v>
      </c>
      <c r="AC2" s="1">
        <f>IF(W2="",0,IF(W2&gt;Y2,1,0))</f>
        <v>1</v>
      </c>
      <c r="AD2" s="1">
        <f>IF(W2="",0,IF(W2=Y2,1,0))</f>
        <v>0</v>
      </c>
      <c r="AE2" s="1">
        <f>IF(W2="",0,IF(W2&lt;Y2,1,0))</f>
        <v>0</v>
      </c>
      <c r="AG2" s="17" cm="1">
        <f t="array" ref="AG2:AG44">_xlfn.VSTACK(IF('Main Hub'!R4&gt;0,_xlfn.SEQUENCE('Main Hub'!R2/'Main Hub'!R4),""),IF('Main Hub'!R4&gt;1,_xlfn.SEQUENCE('Main Hub'!R2/'Main Hub'!R4),""),IF('Main Hub'!R4&gt;2,_xlfn.SEQUENCE('Main Hub'!R2/'Main Hub'!R4),""),IF('Main Hub'!R4&gt;3,_xlfn.SEQUENCE('Main Hub'!R2/'Main Hub'!R4),""))</f>
        <v>1</v>
      </c>
      <c r="AH2" s="13" t="str" cm="1">
        <f t="array" ref="AH2:AH44">_xlfn.SORTBY(_xlfn.ANCHORARRAY(G2),_xlfn.ANCHORARRAY(E2),1,_xlfn.ANCHORARRAY(Q2),-1,_xlfn.ANCHORARRAY(O2),-1)</f>
        <v>Antistar</v>
      </c>
      <c r="AI2" s="13" cm="1">
        <f t="array" ref="AI2:AI44">_xlfn.XLOOKUP(_xlfn.ANCHORARRAY(AH2),_xlfn.ANCHORARRAY(G2),_xlfn.ANCHORARRAY(M2))</f>
        <v>648</v>
      </c>
      <c r="AJ2" s="13" cm="1">
        <f t="array" ref="AJ2:AJ44">_xlfn.XLOOKUP(_xlfn.ANCHORARRAY(AH2),_xlfn.ANCHORARRAY(G2),_xlfn.ANCHORARRAY(Q2))</f>
        <v>933.33333333333337</v>
      </c>
      <c r="AL2" s="17" cm="1">
        <f t="array" ref="AL2:AL43">_xlfn.SEQUENCE('Main Hub'!R2)</f>
        <v>1</v>
      </c>
      <c r="AM2" s="13" t="str" cm="1">
        <f t="array" ref="AM2:AM44">IF('Main Hub'!R4=3,_xlfn.SORTBY(_xlfn.ANCHORARRAY(AH2),_xlfn.ANCHORARRAY(AG2),1,_xlfn.ANCHORARRAY(AJ2),-1,_xlfn.ANCHORARRAY(AI2),-1),_xlfn.SORTBY(_xlfn.ANCHORARRAY(AH2),_xlfn.ANCHORARRAY(AG2),1))</f>
        <v>KVD</v>
      </c>
      <c r="AN2" s="1" cm="1">
        <f t="array" ref="AN2:AN44">_xlfn.XLOOKUP(_xlfn.ANCHORARRAY(AM2),_xlfn.ANCHORARRAY(G2),_xlfn.ANCHORARRAY(M2))</f>
        <v>663</v>
      </c>
      <c r="AO2" s="1" cm="1">
        <f t="array" ref="AO2:AO44">_xlfn.XLOOKUP(_xlfn.ANCHORARRAY(AM2),_xlfn.ANCHORARRAY(G2),_xlfn.ANCHORARRAY(Q2))</f>
        <v>1000</v>
      </c>
    </row>
    <row r="3" spans="1:41">
      <c r="A3" s="17">
        <v>2</v>
      </c>
      <c r="B3" s="13" t="str">
        <v>Ashley</v>
      </c>
      <c r="C3" s="13">
        <v>29</v>
      </c>
      <c r="D3" s="13"/>
      <c r="E3" s="13" t="str">
        <v>A</v>
      </c>
      <c r="F3" s="13">
        <v>4</v>
      </c>
      <c r="G3" s="13" t="str">
        <v>Antistar</v>
      </c>
      <c r="H3" s="13" t="e" vm="15">
        <f ca="1"/>
        <v>#VALUE!</v>
      </c>
      <c r="I3" s="13">
        <v>15</v>
      </c>
      <c r="J3" s="13">
        <v>14</v>
      </c>
      <c r="K3" s="13">
        <v>0</v>
      </c>
      <c r="L3" s="13">
        <v>1</v>
      </c>
      <c r="M3" s="13">
        <v>648</v>
      </c>
      <c r="N3" s="13">
        <v>259</v>
      </c>
      <c r="O3" s="13">
        <v>389</v>
      </c>
      <c r="P3" s="13">
        <v>0</v>
      </c>
      <c r="Q3" s="13">
        <v>933.33333333333337</v>
      </c>
      <c r="S3" s="17">
        <v>2</v>
      </c>
      <c r="T3" s="18"/>
      <c r="U3" s="17">
        <v>1</v>
      </c>
      <c r="V3" s="17" t="s">
        <v>73</v>
      </c>
      <c r="W3" s="18">
        <v>45</v>
      </c>
      <c r="X3" s="18" t="s">
        <v>342</v>
      </c>
      <c r="Y3" s="18">
        <v>0</v>
      </c>
      <c r="Z3" s="17" t="s">
        <v>343</v>
      </c>
      <c r="AA3" s="17">
        <v>2</v>
      </c>
      <c r="AB3" s="17" t="s">
        <v>165</v>
      </c>
      <c r="AC3" s="1">
        <f t="shared" ref="AC3:AC66" si="0">IF(W3="",0,IF(W3&gt;Y3,1,0))</f>
        <v>1</v>
      </c>
      <c r="AD3" s="1">
        <f t="shared" ref="AD3:AD66" si="1">IF(W3="",0,IF(W3=Y3,1,0))</f>
        <v>0</v>
      </c>
      <c r="AE3" s="1">
        <f t="shared" ref="AE3:AE66" si="2">IF(W3="",0,IF(W3&lt;Y3,1,0))</f>
        <v>0</v>
      </c>
      <c r="AG3" s="17">
        <v>2</v>
      </c>
      <c r="AH3" s="13" t="str">
        <v>Geo</v>
      </c>
      <c r="AI3" s="13">
        <v>643</v>
      </c>
      <c r="AJ3" s="13">
        <v>933.33333333333337</v>
      </c>
      <c r="AL3" s="17">
        <v>2</v>
      </c>
      <c r="AM3" s="13" t="str">
        <v>Sami</v>
      </c>
      <c r="AN3" s="1">
        <v>660</v>
      </c>
      <c r="AO3" s="1">
        <v>1000</v>
      </c>
    </row>
    <row r="4" spans="1:41">
      <c r="A4" s="17">
        <v>3</v>
      </c>
      <c r="B4" s="13" t="str">
        <v>Zarkov</v>
      </c>
      <c r="C4" s="13">
        <v>10</v>
      </c>
      <c r="D4" s="13"/>
      <c r="E4" s="13" t="str">
        <v>A</v>
      </c>
      <c r="F4" s="13">
        <v>7</v>
      </c>
      <c r="G4" s="13" t="str">
        <v>Geo</v>
      </c>
      <c r="H4" s="13" t="e" vm="15">
        <f ca="1"/>
        <v>#VALUE!</v>
      </c>
      <c r="I4" s="13">
        <v>15</v>
      </c>
      <c r="J4" s="13">
        <v>14</v>
      </c>
      <c r="K4" s="13">
        <v>0</v>
      </c>
      <c r="L4" s="13">
        <v>1</v>
      </c>
      <c r="M4" s="13">
        <v>643</v>
      </c>
      <c r="N4" s="13">
        <v>273</v>
      </c>
      <c r="O4" s="13">
        <v>370</v>
      </c>
      <c r="P4" s="13">
        <v>0</v>
      </c>
      <c r="Q4" s="13">
        <v>933.33333333333337</v>
      </c>
      <c r="S4" s="17">
        <v>3</v>
      </c>
      <c r="T4" s="18"/>
      <c r="U4" s="17">
        <v>2</v>
      </c>
      <c r="V4" s="17" t="s">
        <v>73</v>
      </c>
      <c r="W4" s="18">
        <v>45</v>
      </c>
      <c r="X4" s="18" t="s">
        <v>342</v>
      </c>
      <c r="Y4" s="18">
        <v>0</v>
      </c>
      <c r="Z4" s="17" t="s">
        <v>86</v>
      </c>
      <c r="AA4" s="17">
        <v>1</v>
      </c>
      <c r="AB4" s="17" t="s">
        <v>181</v>
      </c>
      <c r="AC4" s="1">
        <f t="shared" si="0"/>
        <v>1</v>
      </c>
      <c r="AD4" s="1">
        <f t="shared" si="1"/>
        <v>0</v>
      </c>
      <c r="AE4" s="1">
        <f t="shared" si="2"/>
        <v>0</v>
      </c>
      <c r="AG4" s="17">
        <v>3</v>
      </c>
      <c r="AH4" s="13" t="str">
        <v>Lafungo</v>
      </c>
      <c r="AI4" s="13">
        <v>651</v>
      </c>
      <c r="AJ4" s="13">
        <v>866.66666666666663</v>
      </c>
      <c r="AL4" s="17">
        <v>3</v>
      </c>
      <c r="AM4" s="13" t="str">
        <v>Antistar</v>
      </c>
      <c r="AN4" s="1">
        <v>648</v>
      </c>
      <c r="AO4" s="1">
        <v>933.33333333333337</v>
      </c>
    </row>
    <row r="5" spans="1:41">
      <c r="A5" s="17">
        <v>4</v>
      </c>
      <c r="B5" s="13" t="str">
        <v>Kasmo</v>
      </c>
      <c r="C5" s="13">
        <v>15</v>
      </c>
      <c r="D5" s="13"/>
      <c r="E5" s="13" t="str">
        <v>A</v>
      </c>
      <c r="F5" s="13">
        <v>10</v>
      </c>
      <c r="G5" s="13" t="str">
        <v>Zarkov</v>
      </c>
      <c r="H5" s="13" t="e" vm="13">
        <f ca="1"/>
        <v>#VALUE!</v>
      </c>
      <c r="I5" s="13">
        <v>15</v>
      </c>
      <c r="J5" s="13">
        <v>12</v>
      </c>
      <c r="K5" s="13">
        <v>0</v>
      </c>
      <c r="L5" s="13">
        <v>3</v>
      </c>
      <c r="M5" s="13">
        <v>621</v>
      </c>
      <c r="N5" s="13">
        <v>283</v>
      </c>
      <c r="O5" s="13">
        <v>338</v>
      </c>
      <c r="P5" s="13">
        <v>0</v>
      </c>
      <c r="Q5" s="13">
        <v>800</v>
      </c>
      <c r="S5" s="17">
        <v>4</v>
      </c>
      <c r="T5" s="18"/>
      <c r="U5" s="17">
        <v>1</v>
      </c>
      <c r="V5" s="17" t="s">
        <v>73</v>
      </c>
      <c r="W5" s="18">
        <v>45</v>
      </c>
      <c r="X5" s="18" t="s">
        <v>342</v>
      </c>
      <c r="Y5" s="18">
        <v>6</v>
      </c>
      <c r="Z5" s="17" t="s">
        <v>85</v>
      </c>
      <c r="AA5" s="17">
        <v>2</v>
      </c>
      <c r="AB5" s="17" t="s">
        <v>173</v>
      </c>
      <c r="AC5" s="1">
        <f t="shared" si="0"/>
        <v>1</v>
      </c>
      <c r="AD5" s="1">
        <f t="shared" si="1"/>
        <v>0</v>
      </c>
      <c r="AE5" s="1">
        <f t="shared" si="2"/>
        <v>0</v>
      </c>
      <c r="AG5" s="17">
        <v>4</v>
      </c>
      <c r="AH5" s="13" t="str">
        <v>Zarkov</v>
      </c>
      <c r="AI5" s="13">
        <v>621</v>
      </c>
      <c r="AJ5" s="13">
        <v>800</v>
      </c>
      <c r="AL5" s="17">
        <v>4</v>
      </c>
      <c r="AM5" s="13" t="str">
        <v>Takashi</v>
      </c>
      <c r="AN5" s="1">
        <v>648</v>
      </c>
      <c r="AO5" s="1">
        <v>933.33333333333337</v>
      </c>
    </row>
    <row r="6" spans="1:41">
      <c r="A6" s="17">
        <v>5</v>
      </c>
      <c r="B6" s="13" t="str">
        <v>FF</v>
      </c>
      <c r="C6" s="13">
        <v>26</v>
      </c>
      <c r="D6" s="13"/>
      <c r="E6" s="13" t="str">
        <v>A</v>
      </c>
      <c r="F6" s="13">
        <v>13</v>
      </c>
      <c r="G6" s="13" t="str">
        <v>Flo</v>
      </c>
      <c r="H6" s="13" t="e" vm="15">
        <f ca="1"/>
        <v>#VALUE!</v>
      </c>
      <c r="I6" s="13">
        <v>15</v>
      </c>
      <c r="J6" s="13">
        <v>11</v>
      </c>
      <c r="K6" s="13">
        <v>0</v>
      </c>
      <c r="L6" s="13">
        <v>4</v>
      </c>
      <c r="M6" s="13">
        <v>610</v>
      </c>
      <c r="N6" s="13">
        <v>326</v>
      </c>
      <c r="O6" s="13">
        <v>284</v>
      </c>
      <c r="P6" s="13">
        <v>0</v>
      </c>
      <c r="Q6" s="13">
        <v>733.33333333333337</v>
      </c>
      <c r="S6" s="17">
        <v>5</v>
      </c>
      <c r="T6" s="18"/>
      <c r="U6" s="17">
        <v>1</v>
      </c>
      <c r="V6" s="17" t="s">
        <v>73</v>
      </c>
      <c r="W6" s="18">
        <v>45</v>
      </c>
      <c r="X6" s="18" t="s">
        <v>342</v>
      </c>
      <c r="Y6" s="18">
        <v>1</v>
      </c>
      <c r="Z6" s="17" t="s">
        <v>75</v>
      </c>
      <c r="AA6" s="17">
        <v>2</v>
      </c>
      <c r="AB6" s="17" t="s">
        <v>177</v>
      </c>
      <c r="AC6" s="1">
        <f t="shared" si="0"/>
        <v>1</v>
      </c>
      <c r="AD6" s="1">
        <f t="shared" si="1"/>
        <v>0</v>
      </c>
      <c r="AE6" s="1">
        <f t="shared" si="2"/>
        <v>0</v>
      </c>
      <c r="AG6" s="17">
        <v>5</v>
      </c>
      <c r="AH6" s="13" t="str">
        <v>Flo</v>
      </c>
      <c r="AI6" s="13">
        <v>610</v>
      </c>
      <c r="AJ6" s="13">
        <v>733.33333333333337</v>
      </c>
      <c r="AL6" s="17">
        <v>5</v>
      </c>
      <c r="AM6" s="13" t="str">
        <v>JDR</v>
      </c>
      <c r="AN6" s="1">
        <v>645</v>
      </c>
      <c r="AO6" s="1">
        <v>933.33333333333337</v>
      </c>
    </row>
    <row r="7" spans="1:41">
      <c r="A7" s="17">
        <v>6</v>
      </c>
      <c r="B7" s="13" t="str">
        <v>Moll</v>
      </c>
      <c r="C7" s="13">
        <v>14</v>
      </c>
      <c r="D7" s="13"/>
      <c r="E7" s="13" t="str">
        <v>A</v>
      </c>
      <c r="F7" s="13">
        <v>16</v>
      </c>
      <c r="G7" s="13" t="str">
        <v>Narnet</v>
      </c>
      <c r="H7" s="13" t="e" vm="19">
        <f ca="1"/>
        <v>#VALUE!</v>
      </c>
      <c r="I7" s="13">
        <v>15</v>
      </c>
      <c r="J7" s="13">
        <v>9</v>
      </c>
      <c r="K7" s="13">
        <v>0</v>
      </c>
      <c r="L7" s="13">
        <v>6</v>
      </c>
      <c r="M7" s="13">
        <v>566</v>
      </c>
      <c r="N7" s="13">
        <v>342</v>
      </c>
      <c r="O7" s="13">
        <v>224</v>
      </c>
      <c r="P7" s="13">
        <v>0</v>
      </c>
      <c r="Q7" s="13">
        <v>600</v>
      </c>
      <c r="S7" s="17">
        <v>6</v>
      </c>
      <c r="T7" s="18"/>
      <c r="U7" s="17">
        <v>1</v>
      </c>
      <c r="V7" s="17" t="s">
        <v>73</v>
      </c>
      <c r="W7" s="18">
        <v>45</v>
      </c>
      <c r="X7" s="18" t="s">
        <v>342</v>
      </c>
      <c r="Y7" s="18">
        <v>18</v>
      </c>
      <c r="Z7" s="17" t="s">
        <v>127</v>
      </c>
      <c r="AA7" s="17">
        <v>2</v>
      </c>
      <c r="AB7" s="17" t="s">
        <v>181</v>
      </c>
      <c r="AC7" s="1">
        <f t="shared" si="0"/>
        <v>1</v>
      </c>
      <c r="AD7" s="1">
        <f t="shared" si="1"/>
        <v>0</v>
      </c>
      <c r="AE7" s="1">
        <f t="shared" si="2"/>
        <v>0</v>
      </c>
      <c r="AG7" s="17">
        <v>6</v>
      </c>
      <c r="AH7" s="13" t="str">
        <v>Franck</v>
      </c>
      <c r="AI7" s="13">
        <v>571</v>
      </c>
      <c r="AJ7" s="13">
        <v>733.33333333333337</v>
      </c>
      <c r="AL7" s="17">
        <v>6</v>
      </c>
      <c r="AM7" s="13" t="str">
        <v>Geo</v>
      </c>
      <c r="AN7" s="1">
        <v>643</v>
      </c>
      <c r="AO7" s="1">
        <v>933.33333333333337</v>
      </c>
    </row>
    <row r="8" spans="1:41">
      <c r="A8" s="17">
        <v>7</v>
      </c>
      <c r="B8" s="13" t="str">
        <v>tif</v>
      </c>
      <c r="C8" s="13">
        <v>30</v>
      </c>
      <c r="D8" s="13"/>
      <c r="E8" s="13" t="str">
        <v>A</v>
      </c>
      <c r="F8" s="13">
        <v>19</v>
      </c>
      <c r="G8" s="13" t="str">
        <v>Franck</v>
      </c>
      <c r="H8" s="13" t="e" vm="15">
        <f ca="1"/>
        <v>#VALUE!</v>
      </c>
      <c r="I8" s="13">
        <v>15</v>
      </c>
      <c r="J8" s="13">
        <v>11</v>
      </c>
      <c r="K8" s="13">
        <v>0</v>
      </c>
      <c r="L8" s="13">
        <v>4</v>
      </c>
      <c r="M8" s="13">
        <v>571</v>
      </c>
      <c r="N8" s="13">
        <v>339</v>
      </c>
      <c r="O8" s="13">
        <v>232</v>
      </c>
      <c r="P8" s="13">
        <v>0</v>
      </c>
      <c r="Q8" s="13">
        <v>733.33333333333337</v>
      </c>
      <c r="S8" s="17">
        <v>7</v>
      </c>
      <c r="T8" s="18"/>
      <c r="U8" s="17">
        <v>1</v>
      </c>
      <c r="V8" s="17" t="s">
        <v>73</v>
      </c>
      <c r="W8" s="18">
        <v>45</v>
      </c>
      <c r="X8" s="18" t="s">
        <v>342</v>
      </c>
      <c r="Y8" s="18">
        <v>14</v>
      </c>
      <c r="Z8" s="17" t="s">
        <v>43</v>
      </c>
      <c r="AA8" s="17">
        <v>2</v>
      </c>
      <c r="AB8" s="17" t="s">
        <v>165</v>
      </c>
      <c r="AC8" s="1">
        <f t="shared" si="0"/>
        <v>1</v>
      </c>
      <c r="AD8" s="1">
        <f t="shared" si="1"/>
        <v>0</v>
      </c>
      <c r="AE8" s="1">
        <f t="shared" si="2"/>
        <v>0</v>
      </c>
      <c r="AG8" s="17">
        <v>7</v>
      </c>
      <c r="AH8" s="13" t="str">
        <v>Narnet</v>
      </c>
      <c r="AI8" s="13">
        <v>566</v>
      </c>
      <c r="AJ8" s="13">
        <v>600</v>
      </c>
      <c r="AL8" s="17">
        <v>7</v>
      </c>
      <c r="AM8" s="13" t="str">
        <v>Lafungo</v>
      </c>
      <c r="AN8" s="1">
        <v>651</v>
      </c>
      <c r="AO8" s="1">
        <v>866.66666666666663</v>
      </c>
    </row>
    <row r="9" spans="1:41">
      <c r="A9" s="17">
        <v>8</v>
      </c>
      <c r="B9" s="13" t="str">
        <v>Drew</v>
      </c>
      <c r="C9" s="13">
        <v>8</v>
      </c>
      <c r="D9" s="13"/>
      <c r="E9" s="13" t="str">
        <v>A</v>
      </c>
      <c r="F9" s="13">
        <v>22</v>
      </c>
      <c r="G9" s="13" t="str">
        <v>Rejemy</v>
      </c>
      <c r="H9" s="13" t="e" vm="15">
        <f ca="1"/>
        <v>#VALUE!</v>
      </c>
      <c r="I9" s="13">
        <v>15</v>
      </c>
      <c r="J9" s="13">
        <v>8</v>
      </c>
      <c r="K9" s="13">
        <v>0</v>
      </c>
      <c r="L9" s="13">
        <v>7</v>
      </c>
      <c r="M9" s="13">
        <v>514</v>
      </c>
      <c r="N9" s="13">
        <v>365</v>
      </c>
      <c r="O9" s="13">
        <v>149</v>
      </c>
      <c r="P9" s="13">
        <v>0</v>
      </c>
      <c r="Q9" s="13">
        <v>533.33333333333337</v>
      </c>
      <c r="S9" s="17">
        <v>8</v>
      </c>
      <c r="T9" s="18"/>
      <c r="U9" s="17">
        <v>1</v>
      </c>
      <c r="V9" s="17" t="s">
        <v>73</v>
      </c>
      <c r="W9" s="18">
        <v>45</v>
      </c>
      <c r="X9" s="18" t="s">
        <v>342</v>
      </c>
      <c r="Y9" s="18">
        <v>22</v>
      </c>
      <c r="Z9" s="17" t="s">
        <v>101</v>
      </c>
      <c r="AA9" s="17">
        <v>2</v>
      </c>
      <c r="AB9" s="17" t="s">
        <v>173</v>
      </c>
      <c r="AC9" s="1">
        <f t="shared" si="0"/>
        <v>1</v>
      </c>
      <c r="AD9" s="1">
        <f t="shared" si="1"/>
        <v>0</v>
      </c>
      <c r="AE9" s="1">
        <f t="shared" si="2"/>
        <v>0</v>
      </c>
      <c r="AG9" s="17">
        <v>8</v>
      </c>
      <c r="AH9" s="13" t="str">
        <v>Rejemy</v>
      </c>
      <c r="AI9" s="13">
        <v>514</v>
      </c>
      <c r="AJ9" s="13">
        <v>533.33333333333337</v>
      </c>
      <c r="AL9" s="17">
        <v>8</v>
      </c>
      <c r="AM9" s="13" t="str">
        <v>Leyla</v>
      </c>
      <c r="AN9" s="1">
        <v>627</v>
      </c>
      <c r="AO9" s="1">
        <v>866.66666666666663</v>
      </c>
    </row>
    <row r="10" spans="1:41">
      <c r="A10" s="17">
        <v>9</v>
      </c>
      <c r="B10" s="13" t="str">
        <v>Zip</v>
      </c>
      <c r="C10" s="13">
        <v>28</v>
      </c>
      <c r="D10" s="13"/>
      <c r="E10" s="13" t="str">
        <v>A</v>
      </c>
      <c r="F10" s="13">
        <v>25</v>
      </c>
      <c r="G10" s="13" t="str">
        <v>Banana</v>
      </c>
      <c r="H10" s="13" t="e" vm="15">
        <f ca="1"/>
        <v>#VALUE!</v>
      </c>
      <c r="I10" s="13">
        <v>15</v>
      </c>
      <c r="J10" s="13">
        <v>7</v>
      </c>
      <c r="K10" s="13">
        <v>0</v>
      </c>
      <c r="L10" s="13">
        <v>8</v>
      </c>
      <c r="M10" s="13">
        <v>450</v>
      </c>
      <c r="N10" s="13">
        <v>404</v>
      </c>
      <c r="O10" s="13">
        <v>46</v>
      </c>
      <c r="P10" s="13">
        <v>0</v>
      </c>
      <c r="Q10" s="13">
        <v>466.66666666666669</v>
      </c>
      <c r="S10" s="17">
        <v>9</v>
      </c>
      <c r="T10" s="18"/>
      <c r="U10" s="17">
        <v>1</v>
      </c>
      <c r="V10" s="17" t="s">
        <v>73</v>
      </c>
      <c r="W10" s="18">
        <v>45</v>
      </c>
      <c r="X10" s="18" t="s">
        <v>342</v>
      </c>
      <c r="Y10" s="18">
        <v>27</v>
      </c>
      <c r="Z10" s="17" t="s">
        <v>69</v>
      </c>
      <c r="AA10" s="17">
        <v>2</v>
      </c>
      <c r="AB10" s="17" t="s">
        <v>181</v>
      </c>
      <c r="AC10" s="1">
        <f t="shared" si="0"/>
        <v>1</v>
      </c>
      <c r="AD10" s="1">
        <f t="shared" si="1"/>
        <v>0</v>
      </c>
      <c r="AE10" s="1">
        <f t="shared" si="2"/>
        <v>0</v>
      </c>
      <c r="AG10" s="17">
        <v>9</v>
      </c>
      <c r="AH10" s="13" t="str">
        <v>Banana</v>
      </c>
      <c r="AI10" s="13">
        <v>450</v>
      </c>
      <c r="AJ10" s="13">
        <v>466.66666666666669</v>
      </c>
      <c r="AL10" s="17">
        <v>9</v>
      </c>
      <c r="AM10" s="13" t="str">
        <v>Drew</v>
      </c>
      <c r="AN10" s="1">
        <v>615</v>
      </c>
      <c r="AO10" s="1">
        <v>866.66666666666663</v>
      </c>
    </row>
    <row r="11" spans="1:41">
      <c r="A11" s="17">
        <v>10</v>
      </c>
      <c r="B11" s="13" t="str">
        <v>Lenain</v>
      </c>
      <c r="C11" s="13">
        <v>27</v>
      </c>
      <c r="D11" s="13"/>
      <c r="E11" s="13" t="str">
        <v>A</v>
      </c>
      <c r="F11" s="13">
        <v>28</v>
      </c>
      <c r="G11" s="13" t="str">
        <v>Zip</v>
      </c>
      <c r="H11" s="13" t="e" vm="15">
        <f ca="1"/>
        <v>#VALUE!</v>
      </c>
      <c r="I11" s="13">
        <v>15</v>
      </c>
      <c r="J11" s="13">
        <v>6</v>
      </c>
      <c r="K11" s="13">
        <v>0</v>
      </c>
      <c r="L11" s="13">
        <v>9</v>
      </c>
      <c r="M11" s="13">
        <v>373</v>
      </c>
      <c r="N11" s="13">
        <v>422</v>
      </c>
      <c r="O11" s="13">
        <v>-49</v>
      </c>
      <c r="P11" s="13">
        <v>0</v>
      </c>
      <c r="Q11" s="13">
        <v>400</v>
      </c>
      <c r="S11" s="17">
        <v>10</v>
      </c>
      <c r="T11" s="18"/>
      <c r="U11" s="17">
        <v>2</v>
      </c>
      <c r="V11" s="17" t="s">
        <v>73</v>
      </c>
      <c r="W11" s="18">
        <v>45</v>
      </c>
      <c r="X11" s="18" t="s">
        <v>342</v>
      </c>
      <c r="Y11" s="18">
        <v>24</v>
      </c>
      <c r="Z11" s="17" t="s">
        <v>51</v>
      </c>
      <c r="AA11" s="17">
        <v>1</v>
      </c>
      <c r="AB11" s="17" t="s">
        <v>177</v>
      </c>
      <c r="AC11" s="1">
        <f t="shared" si="0"/>
        <v>1</v>
      </c>
      <c r="AD11" s="1">
        <f t="shared" si="1"/>
        <v>0</v>
      </c>
      <c r="AE11" s="1">
        <f t="shared" si="2"/>
        <v>0</v>
      </c>
      <c r="AG11" s="17">
        <v>10</v>
      </c>
      <c r="AH11" s="13" t="str">
        <v>Zip</v>
      </c>
      <c r="AI11" s="13">
        <v>373</v>
      </c>
      <c r="AJ11" s="13">
        <v>400</v>
      </c>
      <c r="AL11" s="17">
        <v>10</v>
      </c>
      <c r="AM11" s="13" t="str">
        <v>Onwa</v>
      </c>
      <c r="AN11" s="1">
        <v>633</v>
      </c>
      <c r="AO11" s="1">
        <v>800</v>
      </c>
    </row>
    <row r="12" spans="1:41">
      <c r="A12" s="17">
        <v>11</v>
      </c>
      <c r="B12" s="13" t="str">
        <v>Flo</v>
      </c>
      <c r="C12" s="13">
        <v>13</v>
      </c>
      <c r="D12" s="13"/>
      <c r="E12" s="13" t="str">
        <v>A</v>
      </c>
      <c r="F12" s="13">
        <v>31</v>
      </c>
      <c r="G12" s="13" t="str">
        <v>Ours</v>
      </c>
      <c r="H12" s="13" t="e" vm="15">
        <f ca="1"/>
        <v>#VALUE!</v>
      </c>
      <c r="I12" s="13">
        <v>15</v>
      </c>
      <c r="J12" s="13">
        <v>5</v>
      </c>
      <c r="K12" s="13">
        <v>0</v>
      </c>
      <c r="L12" s="13">
        <v>10</v>
      </c>
      <c r="M12" s="13">
        <v>391</v>
      </c>
      <c r="N12" s="13">
        <v>442</v>
      </c>
      <c r="O12" s="13">
        <v>-51</v>
      </c>
      <c r="P12" s="13">
        <v>0</v>
      </c>
      <c r="Q12" s="13">
        <v>333.33333333333331</v>
      </c>
      <c r="S12" s="17">
        <v>11</v>
      </c>
      <c r="T12" s="18"/>
      <c r="U12" s="17">
        <v>2</v>
      </c>
      <c r="V12" s="17" t="s">
        <v>73</v>
      </c>
      <c r="W12" s="18">
        <v>42</v>
      </c>
      <c r="X12" s="18" t="s">
        <v>342</v>
      </c>
      <c r="Y12" s="18">
        <v>33</v>
      </c>
      <c r="Z12" s="17" t="s">
        <v>117</v>
      </c>
      <c r="AA12" s="17">
        <v>1</v>
      </c>
      <c r="AB12" s="17" t="s">
        <v>173</v>
      </c>
      <c r="AC12" s="1">
        <f t="shared" si="0"/>
        <v>1</v>
      </c>
      <c r="AD12" s="1">
        <f t="shared" si="1"/>
        <v>0</v>
      </c>
      <c r="AE12" s="1">
        <f t="shared" si="2"/>
        <v>0</v>
      </c>
      <c r="AG12" s="17">
        <v>11</v>
      </c>
      <c r="AH12" s="13" t="str">
        <v>Ours</v>
      </c>
      <c r="AI12" s="13">
        <v>391</v>
      </c>
      <c r="AJ12" s="13">
        <v>333.33333333333331</v>
      </c>
      <c r="AL12" s="17">
        <v>11</v>
      </c>
      <c r="AM12" s="13" t="str">
        <v>Jarmou</v>
      </c>
      <c r="AN12" s="1">
        <v>627</v>
      </c>
      <c r="AO12" s="1">
        <v>800</v>
      </c>
    </row>
    <row r="13" spans="1:41">
      <c r="A13" s="17">
        <v>12</v>
      </c>
      <c r="B13" s="13" t="str">
        <v>Champix</v>
      </c>
      <c r="C13" s="13">
        <v>18</v>
      </c>
      <c r="D13" s="13"/>
      <c r="E13" s="13" t="str">
        <v>A</v>
      </c>
      <c r="F13" s="13">
        <v>34</v>
      </c>
      <c r="G13" s="13" t="str">
        <v>Oni</v>
      </c>
      <c r="H13" s="13" t="e" vm="15">
        <f ca="1"/>
        <v>#VALUE!</v>
      </c>
      <c r="I13" s="13">
        <v>15</v>
      </c>
      <c r="J13" s="13">
        <v>4</v>
      </c>
      <c r="K13" s="13">
        <v>0</v>
      </c>
      <c r="L13" s="13">
        <v>11</v>
      </c>
      <c r="M13" s="13">
        <v>203</v>
      </c>
      <c r="N13" s="13">
        <v>465</v>
      </c>
      <c r="O13" s="13">
        <v>-262</v>
      </c>
      <c r="P13" s="13">
        <v>0</v>
      </c>
      <c r="Q13" s="13">
        <v>266.66666666666669</v>
      </c>
      <c r="S13" s="17">
        <v>12</v>
      </c>
      <c r="T13" s="18"/>
      <c r="U13" s="17">
        <v>2</v>
      </c>
      <c r="V13" s="17" t="s">
        <v>73</v>
      </c>
      <c r="W13" s="18">
        <v>45</v>
      </c>
      <c r="X13" s="18" t="s">
        <v>342</v>
      </c>
      <c r="Y13" s="18">
        <v>30</v>
      </c>
      <c r="Z13" s="17" t="s">
        <v>47</v>
      </c>
      <c r="AA13" s="17">
        <v>1</v>
      </c>
      <c r="AB13" s="17" t="s">
        <v>165</v>
      </c>
      <c r="AC13" s="1">
        <f t="shared" si="0"/>
        <v>1</v>
      </c>
      <c r="AD13" s="1">
        <f t="shared" si="1"/>
        <v>0</v>
      </c>
      <c r="AE13" s="1">
        <f t="shared" si="2"/>
        <v>0</v>
      </c>
      <c r="AG13" s="17">
        <v>12</v>
      </c>
      <c r="AH13" s="13" t="str">
        <v>Oni</v>
      </c>
      <c r="AI13" s="13">
        <v>203</v>
      </c>
      <c r="AJ13" s="13">
        <v>266.66666666666669</v>
      </c>
      <c r="AL13" s="17">
        <v>12</v>
      </c>
      <c r="AM13" s="13" t="str">
        <v>Zarkov</v>
      </c>
      <c r="AN13" s="1">
        <v>621</v>
      </c>
      <c r="AO13" s="1">
        <v>800</v>
      </c>
    </row>
    <row r="14" spans="1:41">
      <c r="A14" s="17">
        <v>13</v>
      </c>
      <c r="B14" s="13" t="str">
        <v>Franck</v>
      </c>
      <c r="C14" s="13">
        <v>19</v>
      </c>
      <c r="D14" s="13"/>
      <c r="E14" s="13" t="str">
        <v>A</v>
      </c>
      <c r="F14" s="13">
        <v>37</v>
      </c>
      <c r="G14" s="13" t="str">
        <v>Lio</v>
      </c>
      <c r="H14" s="13" t="e" vm="17">
        <f ca="1"/>
        <v>#VALUE!</v>
      </c>
      <c r="I14" s="13">
        <v>15</v>
      </c>
      <c r="J14" s="13">
        <v>3</v>
      </c>
      <c r="K14" s="13">
        <v>0</v>
      </c>
      <c r="L14" s="13">
        <v>12</v>
      </c>
      <c r="M14" s="13">
        <v>118</v>
      </c>
      <c r="N14" s="13">
        <v>502</v>
      </c>
      <c r="O14" s="13">
        <v>-384</v>
      </c>
      <c r="P14" s="13">
        <v>0</v>
      </c>
      <c r="Q14" s="13">
        <v>200</v>
      </c>
      <c r="S14" s="17">
        <v>13</v>
      </c>
      <c r="T14" s="18"/>
      <c r="U14" s="17">
        <v>1</v>
      </c>
      <c r="V14" s="17" t="s">
        <v>73</v>
      </c>
      <c r="W14" s="18">
        <v>36</v>
      </c>
      <c r="X14" s="18" t="s">
        <v>342</v>
      </c>
      <c r="Y14" s="18">
        <v>39</v>
      </c>
      <c r="Z14" s="17" t="s">
        <v>27</v>
      </c>
      <c r="AA14" s="17">
        <v>2</v>
      </c>
      <c r="AB14" s="17" t="s">
        <v>177</v>
      </c>
      <c r="AC14" s="1">
        <f t="shared" si="0"/>
        <v>0</v>
      </c>
      <c r="AD14" s="1">
        <f t="shared" si="1"/>
        <v>0</v>
      </c>
      <c r="AE14" s="1">
        <f t="shared" si="2"/>
        <v>1</v>
      </c>
      <c r="AG14" s="17">
        <v>13</v>
      </c>
      <c r="AH14" s="13" t="str">
        <v>Lio</v>
      </c>
      <c r="AI14" s="13">
        <v>118</v>
      </c>
      <c r="AJ14" s="13">
        <v>200</v>
      </c>
      <c r="AL14" s="17">
        <v>13</v>
      </c>
      <c r="AM14" s="13" t="str">
        <v>Moll</v>
      </c>
      <c r="AN14" s="1">
        <v>618</v>
      </c>
      <c r="AO14" s="1">
        <v>733.33333333333337</v>
      </c>
    </row>
    <row r="15" spans="1:41">
      <c r="A15" s="17">
        <v>14</v>
      </c>
      <c r="B15" s="13" t="str">
        <v>L'escargot</v>
      </c>
      <c r="C15" s="13">
        <v>32</v>
      </c>
      <c r="D15" s="13"/>
      <c r="E15" s="13" t="str">
        <v>A</v>
      </c>
      <c r="F15" s="13">
        <v>40</v>
      </c>
      <c r="G15" s="13" t="str">
        <v>Loser 1</v>
      </c>
      <c r="H15" s="13" t="str">
        <f ca="1"/>
        <v/>
      </c>
      <c r="I15" s="13">
        <v>0</v>
      </c>
      <c r="J15" s="13">
        <v>0</v>
      </c>
      <c r="K15" s="13">
        <v>0</v>
      </c>
      <c r="L15" s="13">
        <v>0</v>
      </c>
      <c r="M15" s="13">
        <v>0</v>
      </c>
      <c r="N15" s="13">
        <v>0</v>
      </c>
      <c r="O15" s="13">
        <v>0</v>
      </c>
      <c r="P15" s="13">
        <v>0</v>
      </c>
      <c r="Q15" s="13">
        <v>0</v>
      </c>
      <c r="S15" s="17">
        <v>14</v>
      </c>
      <c r="T15" s="18"/>
      <c r="U15" s="17">
        <v>2</v>
      </c>
      <c r="V15" s="17" t="s">
        <v>73</v>
      </c>
      <c r="W15" s="18">
        <v>45</v>
      </c>
      <c r="X15" s="18" t="s">
        <v>342</v>
      </c>
      <c r="Y15" s="18">
        <v>25</v>
      </c>
      <c r="Z15" s="17" t="s">
        <v>55</v>
      </c>
      <c r="AA15" s="17">
        <v>1</v>
      </c>
      <c r="AB15" s="17" t="s">
        <v>165</v>
      </c>
      <c r="AC15" s="1">
        <f t="shared" si="0"/>
        <v>1</v>
      </c>
      <c r="AD15" s="1">
        <f t="shared" si="1"/>
        <v>0</v>
      </c>
      <c r="AE15" s="1">
        <f t="shared" si="2"/>
        <v>0</v>
      </c>
      <c r="AG15" s="17">
        <v>14</v>
      </c>
      <c r="AH15" s="13" t="str">
        <v>Loser 1</v>
      </c>
      <c r="AI15" s="13">
        <v>0</v>
      </c>
      <c r="AJ15" s="13">
        <v>0</v>
      </c>
      <c r="AL15" s="17">
        <v>14</v>
      </c>
      <c r="AM15" s="13" t="str">
        <v>Flo</v>
      </c>
      <c r="AN15" s="1">
        <v>610</v>
      </c>
      <c r="AO15" s="1">
        <v>733.33333333333337</v>
      </c>
    </row>
    <row r="16" spans="1:41">
      <c r="A16" s="17">
        <v>15</v>
      </c>
      <c r="B16" s="13" t="str">
        <v>Geo</v>
      </c>
      <c r="C16" s="13">
        <v>7</v>
      </c>
      <c r="D16" s="13"/>
      <c r="E16" s="13" t="str">
        <v>B</v>
      </c>
      <c r="F16" s="13">
        <v>2</v>
      </c>
      <c r="G16" s="13" t="str">
        <v>Sami</v>
      </c>
      <c r="H16" s="13" t="e" vm="13">
        <f ca="1"/>
        <v>#VALUE!</v>
      </c>
      <c r="I16" s="13">
        <v>15</v>
      </c>
      <c r="J16" s="13">
        <v>15</v>
      </c>
      <c r="K16" s="13">
        <v>0</v>
      </c>
      <c r="L16" s="13">
        <v>0</v>
      </c>
      <c r="M16" s="13">
        <v>660</v>
      </c>
      <c r="N16" s="13">
        <v>276</v>
      </c>
      <c r="O16" s="13">
        <v>384</v>
      </c>
      <c r="P16" s="13">
        <v>0</v>
      </c>
      <c r="Q16" s="13">
        <v>1000</v>
      </c>
      <c r="S16" s="17">
        <v>15</v>
      </c>
      <c r="T16" s="18"/>
      <c r="U16" s="17">
        <v>1</v>
      </c>
      <c r="V16" s="17" t="s">
        <v>73</v>
      </c>
      <c r="W16" s="18">
        <v>33</v>
      </c>
      <c r="X16" s="18" t="s">
        <v>342</v>
      </c>
      <c r="Y16" s="18">
        <v>42</v>
      </c>
      <c r="Z16" s="17" t="s">
        <v>63</v>
      </c>
      <c r="AA16" s="17">
        <v>2</v>
      </c>
      <c r="AB16" s="17" t="s">
        <v>173</v>
      </c>
      <c r="AC16" s="1">
        <f t="shared" si="0"/>
        <v>0</v>
      </c>
      <c r="AD16" s="1">
        <f t="shared" si="1"/>
        <v>0</v>
      </c>
      <c r="AE16" s="1">
        <f t="shared" si="2"/>
        <v>1</v>
      </c>
      <c r="AG16" s="17">
        <v>1</v>
      </c>
      <c r="AH16" s="13" t="str">
        <v>Sami</v>
      </c>
      <c r="AI16" s="13">
        <v>660</v>
      </c>
      <c r="AJ16" s="13">
        <v>1000</v>
      </c>
      <c r="AL16" s="17">
        <v>15</v>
      </c>
      <c r="AM16" s="13" t="str">
        <v>Champix</v>
      </c>
      <c r="AN16" s="1">
        <v>592</v>
      </c>
      <c r="AO16" s="1">
        <v>666.66666666666663</v>
      </c>
    </row>
    <row r="17" spans="1:41">
      <c r="A17" s="17">
        <v>16</v>
      </c>
      <c r="B17" s="13" t="str">
        <v>BigMountain</v>
      </c>
      <c r="C17" s="13">
        <v>38</v>
      </c>
      <c r="D17" s="13"/>
      <c r="E17" s="13" t="str">
        <v>B</v>
      </c>
      <c r="F17" s="13">
        <v>5</v>
      </c>
      <c r="G17" s="13" t="str">
        <v>Takashi</v>
      </c>
      <c r="H17" s="13" t="e" vm="16">
        <f ca="1"/>
        <v>#VALUE!</v>
      </c>
      <c r="I17" s="13">
        <v>15</v>
      </c>
      <c r="J17" s="13">
        <v>14</v>
      </c>
      <c r="K17" s="13">
        <v>0</v>
      </c>
      <c r="L17" s="13">
        <v>1</v>
      </c>
      <c r="M17" s="13">
        <v>648</v>
      </c>
      <c r="N17" s="13">
        <v>294</v>
      </c>
      <c r="O17" s="13">
        <v>354</v>
      </c>
      <c r="P17" s="13">
        <v>0</v>
      </c>
      <c r="Q17" s="13">
        <v>933.33333333333337</v>
      </c>
      <c r="S17" s="58" t="s">
        <v>339</v>
      </c>
      <c r="T17" s="58" t="s">
        <v>340</v>
      </c>
      <c r="U17" s="58" t="s">
        <v>341</v>
      </c>
      <c r="V17" s="58" t="s">
        <v>1</v>
      </c>
      <c r="W17" s="66" t="s">
        <v>220</v>
      </c>
      <c r="X17" s="66"/>
      <c r="Y17" s="66"/>
      <c r="Z17" s="58" t="s">
        <v>1</v>
      </c>
      <c r="AA17" s="58" t="s">
        <v>341</v>
      </c>
      <c r="AB17" s="58" t="s">
        <v>395</v>
      </c>
      <c r="AC17" s="1">
        <f t="shared" si="0"/>
        <v>1</v>
      </c>
      <c r="AD17" s="1">
        <f t="shared" si="1"/>
        <v>0</v>
      </c>
      <c r="AE17" s="1">
        <f t="shared" si="2"/>
        <v>0</v>
      </c>
      <c r="AG17" s="17">
        <v>2</v>
      </c>
      <c r="AH17" s="13" t="str">
        <v>Takashi</v>
      </c>
      <c r="AI17" s="13">
        <v>648</v>
      </c>
      <c r="AJ17" s="13">
        <v>933.33333333333337</v>
      </c>
      <c r="AL17" s="17">
        <v>16</v>
      </c>
      <c r="AM17" s="13" t="str">
        <v>Franck</v>
      </c>
      <c r="AN17" s="1">
        <v>571</v>
      </c>
      <c r="AO17" s="1">
        <v>733.33333333333337</v>
      </c>
    </row>
    <row r="18" spans="1:41">
      <c r="A18" s="17">
        <v>17</v>
      </c>
      <c r="B18" s="13" t="str">
        <v>Getarez</v>
      </c>
      <c r="C18" s="13">
        <v>33</v>
      </c>
      <c r="D18" s="13"/>
      <c r="E18" s="13" t="str">
        <v>B</v>
      </c>
      <c r="F18" s="13">
        <v>8</v>
      </c>
      <c r="G18" s="13" t="str">
        <v>Drew</v>
      </c>
      <c r="H18" s="13" t="e" vm="14">
        <f ca="1"/>
        <v>#VALUE!</v>
      </c>
      <c r="I18" s="13">
        <v>15</v>
      </c>
      <c r="J18" s="13">
        <v>13</v>
      </c>
      <c r="K18" s="13">
        <v>0</v>
      </c>
      <c r="L18" s="13">
        <v>2</v>
      </c>
      <c r="M18" s="13">
        <v>615</v>
      </c>
      <c r="N18" s="13">
        <v>338</v>
      </c>
      <c r="O18" s="13">
        <v>277</v>
      </c>
      <c r="P18" s="13">
        <v>0</v>
      </c>
      <c r="Q18" s="13">
        <v>866.66666666666663</v>
      </c>
      <c r="S18" s="17">
        <v>1</v>
      </c>
      <c r="T18" s="18"/>
      <c r="U18" s="17">
        <v>1</v>
      </c>
      <c r="V18" s="17" t="s">
        <v>63</v>
      </c>
      <c r="W18" s="18">
        <v>45</v>
      </c>
      <c r="X18" s="18" t="s">
        <v>342</v>
      </c>
      <c r="Y18" s="18">
        <v>0</v>
      </c>
      <c r="Z18" s="17" t="s">
        <v>343</v>
      </c>
      <c r="AA18" s="17">
        <v>2</v>
      </c>
      <c r="AB18" s="17" t="s">
        <v>177</v>
      </c>
      <c r="AC18" s="1">
        <f t="shared" si="0"/>
        <v>1</v>
      </c>
      <c r="AD18" s="1">
        <f t="shared" si="1"/>
        <v>0</v>
      </c>
      <c r="AE18" s="1">
        <f t="shared" si="2"/>
        <v>0</v>
      </c>
      <c r="AG18" s="17">
        <v>3</v>
      </c>
      <c r="AH18" s="13" t="str">
        <v>Drew</v>
      </c>
      <c r="AI18" s="13">
        <v>615</v>
      </c>
      <c r="AJ18" s="13">
        <v>866.66666666666663</v>
      </c>
      <c r="AL18" s="17">
        <v>17</v>
      </c>
      <c r="AM18" s="13" t="str">
        <v>Sumz</v>
      </c>
      <c r="AN18" s="1">
        <v>580</v>
      </c>
      <c r="AO18" s="1">
        <v>666.66666666666663</v>
      </c>
    </row>
    <row r="19" spans="1:41">
      <c r="A19" s="17">
        <v>18</v>
      </c>
      <c r="B19" s="13" t="str">
        <v>Antistar</v>
      </c>
      <c r="C19" s="13">
        <v>4</v>
      </c>
      <c r="D19" s="13"/>
      <c r="E19" s="13" t="str">
        <v>B</v>
      </c>
      <c r="F19" s="13">
        <v>11</v>
      </c>
      <c r="G19" s="13" t="str">
        <v>Onwa</v>
      </c>
      <c r="H19" s="13" t="e" vm="16">
        <f ca="1"/>
        <v>#VALUE!</v>
      </c>
      <c r="I19" s="13">
        <v>15</v>
      </c>
      <c r="J19" s="13">
        <v>12</v>
      </c>
      <c r="K19" s="13">
        <v>0</v>
      </c>
      <c r="L19" s="13">
        <v>3</v>
      </c>
      <c r="M19" s="13">
        <v>633</v>
      </c>
      <c r="N19" s="13">
        <v>302</v>
      </c>
      <c r="O19" s="13">
        <v>331</v>
      </c>
      <c r="P19" s="13">
        <v>0</v>
      </c>
      <c r="Q19" s="13">
        <v>800</v>
      </c>
      <c r="S19" s="17">
        <v>2</v>
      </c>
      <c r="T19" s="18"/>
      <c r="U19" s="17">
        <v>2</v>
      </c>
      <c r="V19" s="17" t="s">
        <v>63</v>
      </c>
      <c r="W19" s="18">
        <v>45</v>
      </c>
      <c r="X19" s="18" t="s">
        <v>342</v>
      </c>
      <c r="Y19" s="18">
        <v>0</v>
      </c>
      <c r="Z19" s="17" t="s">
        <v>343</v>
      </c>
      <c r="AA19" s="17">
        <v>1</v>
      </c>
      <c r="AB19" s="17" t="s">
        <v>165</v>
      </c>
      <c r="AC19" s="1">
        <f t="shared" si="0"/>
        <v>1</v>
      </c>
      <c r="AD19" s="1">
        <f t="shared" si="1"/>
        <v>0</v>
      </c>
      <c r="AE19" s="1">
        <f t="shared" si="2"/>
        <v>0</v>
      </c>
      <c r="AG19" s="17">
        <v>4</v>
      </c>
      <c r="AH19" s="13" t="str">
        <v>Onwa</v>
      </c>
      <c r="AI19" s="13">
        <v>633</v>
      </c>
      <c r="AJ19" s="13">
        <v>800</v>
      </c>
      <c r="AL19" s="17">
        <v>18</v>
      </c>
      <c r="AM19" s="13" t="str">
        <v>Sjors</v>
      </c>
      <c r="AN19" s="1">
        <v>564</v>
      </c>
      <c r="AO19" s="1">
        <v>600</v>
      </c>
    </row>
    <row r="20" spans="1:41">
      <c r="A20" s="17">
        <v>19</v>
      </c>
      <c r="B20" s="13" t="str">
        <v>Cap</v>
      </c>
      <c r="C20" s="13">
        <v>35</v>
      </c>
      <c r="D20" s="13"/>
      <c r="E20" s="13" t="str">
        <v>B</v>
      </c>
      <c r="F20" s="13">
        <v>14</v>
      </c>
      <c r="G20" s="13" t="str">
        <v>Moll</v>
      </c>
      <c r="H20" s="13" t="e" vm="13">
        <f ca="1"/>
        <v>#VALUE!</v>
      </c>
      <c r="I20" s="13">
        <v>15</v>
      </c>
      <c r="J20" s="13">
        <v>11</v>
      </c>
      <c r="K20" s="13">
        <v>0</v>
      </c>
      <c r="L20" s="13">
        <v>4</v>
      </c>
      <c r="M20" s="13">
        <v>618</v>
      </c>
      <c r="N20" s="13">
        <v>326</v>
      </c>
      <c r="O20" s="13">
        <v>292</v>
      </c>
      <c r="P20" s="13">
        <v>0</v>
      </c>
      <c r="Q20" s="13">
        <v>733.33333333333337</v>
      </c>
      <c r="S20" s="17">
        <v>3</v>
      </c>
      <c r="T20" s="18"/>
      <c r="U20" s="17">
        <v>2</v>
      </c>
      <c r="V20" s="17" t="s">
        <v>63</v>
      </c>
      <c r="W20" s="18">
        <v>45</v>
      </c>
      <c r="X20" s="18" t="s">
        <v>342</v>
      </c>
      <c r="Y20" s="18">
        <v>0</v>
      </c>
      <c r="Z20" s="17" t="s">
        <v>85</v>
      </c>
      <c r="AA20" s="17">
        <v>1</v>
      </c>
      <c r="AB20" s="17" t="s">
        <v>181</v>
      </c>
      <c r="AC20" s="1">
        <f t="shared" si="0"/>
        <v>1</v>
      </c>
      <c r="AD20" s="1">
        <f t="shared" si="1"/>
        <v>0</v>
      </c>
      <c r="AE20" s="1">
        <f t="shared" si="2"/>
        <v>0</v>
      </c>
      <c r="AG20" s="17">
        <v>5</v>
      </c>
      <c r="AH20" s="13" t="str">
        <v>Moll</v>
      </c>
      <c r="AI20" s="13">
        <v>618</v>
      </c>
      <c r="AJ20" s="13">
        <v>733.33333333333337</v>
      </c>
      <c r="AL20" s="17">
        <v>19</v>
      </c>
      <c r="AM20" s="13" t="str">
        <v>Kasmo</v>
      </c>
      <c r="AN20" s="1">
        <v>581</v>
      </c>
      <c r="AO20" s="1">
        <v>600</v>
      </c>
    </row>
    <row r="21" spans="1:41">
      <c r="A21" s="17">
        <v>20</v>
      </c>
      <c r="B21" s="13" t="str">
        <v>Onwa</v>
      </c>
      <c r="C21" s="13">
        <v>11</v>
      </c>
      <c r="D21" s="13"/>
      <c r="E21" s="13" t="str">
        <v>B</v>
      </c>
      <c r="F21" s="13">
        <v>17</v>
      </c>
      <c r="G21" s="13" t="str">
        <v>Sjors</v>
      </c>
      <c r="H21" s="13" t="e" vm="12">
        <f ca="1"/>
        <v>#VALUE!</v>
      </c>
      <c r="I21" s="13">
        <v>15</v>
      </c>
      <c r="J21" s="13">
        <v>9</v>
      </c>
      <c r="K21" s="13">
        <v>0</v>
      </c>
      <c r="L21" s="13">
        <v>6</v>
      </c>
      <c r="M21" s="13">
        <v>564</v>
      </c>
      <c r="N21" s="13">
        <v>331</v>
      </c>
      <c r="O21" s="13">
        <v>233</v>
      </c>
      <c r="P21" s="13">
        <v>0</v>
      </c>
      <c r="Q21" s="13">
        <v>600</v>
      </c>
      <c r="S21" s="17">
        <v>4</v>
      </c>
      <c r="T21" s="18"/>
      <c r="U21" s="17">
        <v>2</v>
      </c>
      <c r="V21" s="17" t="s">
        <v>63</v>
      </c>
      <c r="W21" s="18">
        <v>45</v>
      </c>
      <c r="X21" s="18" t="s">
        <v>342</v>
      </c>
      <c r="Y21" s="18">
        <v>0</v>
      </c>
      <c r="Z21" s="17" t="s">
        <v>86</v>
      </c>
      <c r="AA21" s="17">
        <v>1</v>
      </c>
      <c r="AB21" s="17" t="s">
        <v>173</v>
      </c>
      <c r="AC21" s="1">
        <f t="shared" si="0"/>
        <v>1</v>
      </c>
      <c r="AD21" s="1">
        <f t="shared" si="1"/>
        <v>0</v>
      </c>
      <c r="AE21" s="1">
        <f t="shared" si="2"/>
        <v>0</v>
      </c>
      <c r="AG21" s="17">
        <v>6</v>
      </c>
      <c r="AH21" s="13" t="str">
        <v>Sjors</v>
      </c>
      <c r="AI21" s="13">
        <v>564</v>
      </c>
      <c r="AJ21" s="13">
        <v>600</v>
      </c>
      <c r="AL21" s="17">
        <v>20</v>
      </c>
      <c r="AM21" s="13" t="str">
        <v>Narnet</v>
      </c>
      <c r="AN21" s="1">
        <v>566</v>
      </c>
      <c r="AO21" s="1">
        <v>600</v>
      </c>
    </row>
    <row r="22" spans="1:41">
      <c r="A22" s="17">
        <v>21</v>
      </c>
      <c r="B22" s="13" t="str">
        <v>Rejemy</v>
      </c>
      <c r="C22" s="13">
        <v>22</v>
      </c>
      <c r="D22" s="13"/>
      <c r="E22" s="13" t="str">
        <v>B</v>
      </c>
      <c r="F22" s="13">
        <v>20</v>
      </c>
      <c r="G22" s="13" t="str">
        <v>Patrick</v>
      </c>
      <c r="H22" s="13" t="e" vm="12">
        <f ca="1"/>
        <v>#VALUE!</v>
      </c>
      <c r="I22" s="13">
        <v>15</v>
      </c>
      <c r="J22" s="13">
        <v>9</v>
      </c>
      <c r="K22" s="13">
        <v>0</v>
      </c>
      <c r="L22" s="13">
        <v>6</v>
      </c>
      <c r="M22" s="13">
        <v>550</v>
      </c>
      <c r="N22" s="13">
        <v>383</v>
      </c>
      <c r="O22" s="13">
        <v>167</v>
      </c>
      <c r="P22" s="13">
        <v>0</v>
      </c>
      <c r="Q22" s="13">
        <v>600</v>
      </c>
      <c r="S22" s="17">
        <v>5</v>
      </c>
      <c r="T22" s="18"/>
      <c r="U22" s="17">
        <v>1</v>
      </c>
      <c r="V22" s="17" t="s">
        <v>63</v>
      </c>
      <c r="W22" s="18">
        <v>42</v>
      </c>
      <c r="X22" s="18" t="s">
        <v>342</v>
      </c>
      <c r="Y22" s="18">
        <v>16</v>
      </c>
      <c r="Z22" s="17" t="s">
        <v>127</v>
      </c>
      <c r="AA22" s="17">
        <v>2</v>
      </c>
      <c r="AB22" s="17" t="s">
        <v>177</v>
      </c>
      <c r="AC22" s="1">
        <f t="shared" si="0"/>
        <v>1</v>
      </c>
      <c r="AD22" s="1">
        <f t="shared" si="1"/>
        <v>0</v>
      </c>
      <c r="AE22" s="1">
        <f t="shared" si="2"/>
        <v>0</v>
      </c>
      <c r="AG22" s="17">
        <v>7</v>
      </c>
      <c r="AH22" s="13" t="str">
        <v>Thibault</v>
      </c>
      <c r="AI22" s="13">
        <v>552</v>
      </c>
      <c r="AJ22" s="13">
        <v>600</v>
      </c>
      <c r="AL22" s="17">
        <v>21</v>
      </c>
      <c r="AM22" s="13" t="str">
        <v>Thibault</v>
      </c>
      <c r="AN22" s="1">
        <v>552</v>
      </c>
      <c r="AO22" s="1">
        <v>600</v>
      </c>
    </row>
    <row r="23" spans="1:41">
      <c r="A23" s="17">
        <v>22</v>
      </c>
      <c r="B23" s="13" t="str">
        <v>JDR</v>
      </c>
      <c r="C23" s="13">
        <v>12</v>
      </c>
      <c r="D23" s="13"/>
      <c r="E23" s="13" t="str">
        <v>B</v>
      </c>
      <c r="F23" s="13">
        <v>23</v>
      </c>
      <c r="G23" s="13" t="str">
        <v>Thibault</v>
      </c>
      <c r="H23" s="13" t="e" vm="15">
        <f ca="1"/>
        <v>#VALUE!</v>
      </c>
      <c r="I23" s="13">
        <v>15</v>
      </c>
      <c r="J23" s="13">
        <v>9</v>
      </c>
      <c r="K23" s="13">
        <v>0</v>
      </c>
      <c r="L23" s="13">
        <v>6</v>
      </c>
      <c r="M23" s="13">
        <v>552</v>
      </c>
      <c r="N23" s="13">
        <v>375</v>
      </c>
      <c r="O23" s="13">
        <v>177</v>
      </c>
      <c r="P23" s="13">
        <v>0</v>
      </c>
      <c r="Q23" s="13">
        <v>600</v>
      </c>
      <c r="S23" s="17">
        <v>6</v>
      </c>
      <c r="T23" s="18"/>
      <c r="U23" s="17">
        <v>2</v>
      </c>
      <c r="V23" s="17" t="s">
        <v>63</v>
      </c>
      <c r="W23" s="18">
        <v>45</v>
      </c>
      <c r="X23" s="18" t="s">
        <v>342</v>
      </c>
      <c r="Y23" s="18">
        <v>10</v>
      </c>
      <c r="Z23" s="17" t="s">
        <v>75</v>
      </c>
      <c r="AA23" s="17">
        <v>1</v>
      </c>
      <c r="AB23" s="17" t="s">
        <v>181</v>
      </c>
      <c r="AC23" s="1">
        <f t="shared" si="0"/>
        <v>1</v>
      </c>
      <c r="AD23" s="1">
        <f t="shared" si="1"/>
        <v>0</v>
      </c>
      <c r="AE23" s="1">
        <f t="shared" si="2"/>
        <v>0</v>
      </c>
      <c r="AG23" s="17">
        <v>8</v>
      </c>
      <c r="AH23" s="13" t="str">
        <v>Patrick</v>
      </c>
      <c r="AI23" s="13">
        <v>550</v>
      </c>
      <c r="AJ23" s="13">
        <v>600</v>
      </c>
      <c r="AL23" s="17">
        <v>22</v>
      </c>
      <c r="AM23" s="13" t="str">
        <v>Patrick</v>
      </c>
      <c r="AN23" s="1">
        <v>550</v>
      </c>
      <c r="AO23" s="1">
        <v>600</v>
      </c>
    </row>
    <row r="24" spans="1:41">
      <c r="A24" s="17">
        <v>23</v>
      </c>
      <c r="B24" s="13" t="str">
        <v>Lafungo</v>
      </c>
      <c r="C24" s="13">
        <v>1</v>
      </c>
      <c r="D24" s="13"/>
      <c r="E24" s="13" t="str">
        <v>B</v>
      </c>
      <c r="F24" s="13">
        <v>26</v>
      </c>
      <c r="G24" s="13" t="str">
        <v>FF</v>
      </c>
      <c r="H24" s="13" t="e" vm="15">
        <f ca="1"/>
        <v>#VALUE!</v>
      </c>
      <c r="I24" s="13">
        <v>15</v>
      </c>
      <c r="J24" s="13">
        <v>6</v>
      </c>
      <c r="K24" s="13">
        <v>0</v>
      </c>
      <c r="L24" s="13">
        <v>9</v>
      </c>
      <c r="M24" s="13">
        <v>479</v>
      </c>
      <c r="N24" s="13">
        <v>414</v>
      </c>
      <c r="O24" s="13">
        <v>65</v>
      </c>
      <c r="P24" s="13">
        <v>0</v>
      </c>
      <c r="Q24" s="13">
        <v>400</v>
      </c>
      <c r="S24" s="17">
        <v>7</v>
      </c>
      <c r="T24" s="18"/>
      <c r="U24" s="17">
        <v>1</v>
      </c>
      <c r="V24" s="17" t="s">
        <v>63</v>
      </c>
      <c r="W24" s="18">
        <v>45</v>
      </c>
      <c r="X24" s="18" t="s">
        <v>342</v>
      </c>
      <c r="Y24" s="18">
        <v>14</v>
      </c>
      <c r="Z24" s="17" t="s">
        <v>101</v>
      </c>
      <c r="AA24" s="17">
        <v>2</v>
      </c>
      <c r="AB24" s="17" t="s">
        <v>165</v>
      </c>
      <c r="AC24" s="1">
        <f t="shared" si="0"/>
        <v>1</v>
      </c>
      <c r="AD24" s="1">
        <f t="shared" si="1"/>
        <v>0</v>
      </c>
      <c r="AE24" s="1">
        <f t="shared" si="2"/>
        <v>0</v>
      </c>
      <c r="AG24" s="17">
        <v>9</v>
      </c>
      <c r="AH24" s="13" t="str">
        <v>Ashley</v>
      </c>
      <c r="AI24" s="13">
        <v>473</v>
      </c>
      <c r="AJ24" s="13">
        <v>466.66666666666669</v>
      </c>
      <c r="AL24" s="17">
        <v>23</v>
      </c>
      <c r="AM24" s="13" t="str">
        <v>tif</v>
      </c>
      <c r="AN24" s="1">
        <v>537</v>
      </c>
      <c r="AO24" s="1">
        <v>533.33333333333337</v>
      </c>
    </row>
    <row r="25" spans="1:41">
      <c r="A25" s="17">
        <v>24</v>
      </c>
      <c r="B25" s="13" t="str">
        <v>Oni</v>
      </c>
      <c r="C25" s="13">
        <v>34</v>
      </c>
      <c r="D25" s="13"/>
      <c r="E25" s="13" t="str">
        <v>B</v>
      </c>
      <c r="F25" s="13">
        <v>29</v>
      </c>
      <c r="G25" s="13" t="str">
        <v>Ashley</v>
      </c>
      <c r="H25" s="13" t="e" vm="13">
        <f ca="1"/>
        <v>#VALUE!</v>
      </c>
      <c r="I25" s="13">
        <v>15</v>
      </c>
      <c r="J25" s="13">
        <v>7</v>
      </c>
      <c r="K25" s="13">
        <v>0</v>
      </c>
      <c r="L25" s="13">
        <v>8</v>
      </c>
      <c r="M25" s="13">
        <v>473</v>
      </c>
      <c r="N25" s="13">
        <v>424</v>
      </c>
      <c r="O25" s="13">
        <v>49</v>
      </c>
      <c r="P25" s="13">
        <v>0</v>
      </c>
      <c r="Q25" s="13">
        <v>466.66666666666669</v>
      </c>
      <c r="S25" s="17">
        <v>8</v>
      </c>
      <c r="T25" s="18"/>
      <c r="U25" s="17">
        <v>1</v>
      </c>
      <c r="V25" s="17" t="s">
        <v>63</v>
      </c>
      <c r="W25" s="18">
        <v>45</v>
      </c>
      <c r="X25" s="18" t="s">
        <v>342</v>
      </c>
      <c r="Y25" s="18">
        <v>9</v>
      </c>
      <c r="Z25" s="17" t="s">
        <v>43</v>
      </c>
      <c r="AA25" s="17">
        <v>2</v>
      </c>
      <c r="AB25" s="17" t="s">
        <v>173</v>
      </c>
      <c r="AC25" s="1">
        <f t="shared" si="0"/>
        <v>1</v>
      </c>
      <c r="AD25" s="1">
        <f t="shared" si="1"/>
        <v>0</v>
      </c>
      <c r="AE25" s="1">
        <f t="shared" si="2"/>
        <v>0</v>
      </c>
      <c r="AG25" s="17">
        <v>10</v>
      </c>
      <c r="AH25" s="13" t="str">
        <v>FF</v>
      </c>
      <c r="AI25" s="13">
        <v>479</v>
      </c>
      <c r="AJ25" s="13">
        <v>400</v>
      </c>
      <c r="AL25" s="17">
        <v>24</v>
      </c>
      <c r="AM25" s="13" t="str">
        <v>Rejemy</v>
      </c>
      <c r="AN25" s="1">
        <v>514</v>
      </c>
      <c r="AO25" s="1">
        <v>533.33333333333337</v>
      </c>
    </row>
    <row r="26" spans="1:41">
      <c r="A26" s="17">
        <v>25</v>
      </c>
      <c r="B26" s="13" t="str">
        <v>KVD</v>
      </c>
      <c r="C26" s="13">
        <v>3</v>
      </c>
      <c r="D26" s="13"/>
      <c r="E26" s="13" t="str">
        <v>B</v>
      </c>
      <c r="F26" s="13">
        <v>32</v>
      </c>
      <c r="G26" s="13" t="str">
        <v>L'escargot</v>
      </c>
      <c r="H26" s="13" t="e" vm="15">
        <f ca="1"/>
        <v>#VALUE!</v>
      </c>
      <c r="I26" s="13">
        <v>15</v>
      </c>
      <c r="J26" s="13">
        <v>5</v>
      </c>
      <c r="K26" s="13">
        <v>0</v>
      </c>
      <c r="L26" s="13">
        <v>10</v>
      </c>
      <c r="M26" s="13">
        <v>315</v>
      </c>
      <c r="N26" s="13">
        <v>466</v>
      </c>
      <c r="O26" s="13">
        <v>-151</v>
      </c>
      <c r="P26" s="13">
        <v>0</v>
      </c>
      <c r="Q26" s="13">
        <v>333.33333333333331</v>
      </c>
      <c r="S26" s="17">
        <v>9</v>
      </c>
      <c r="T26" s="18"/>
      <c r="U26" s="17">
        <v>2</v>
      </c>
      <c r="V26" s="17" t="s">
        <v>63</v>
      </c>
      <c r="W26" s="18">
        <v>45</v>
      </c>
      <c r="X26" s="18" t="s">
        <v>342</v>
      </c>
      <c r="Y26" s="18">
        <v>24</v>
      </c>
      <c r="Z26" s="17" t="s">
        <v>51</v>
      </c>
      <c r="AA26" s="17">
        <v>1</v>
      </c>
      <c r="AB26" s="17" t="s">
        <v>181</v>
      </c>
      <c r="AC26" s="1">
        <f t="shared" si="0"/>
        <v>1</v>
      </c>
      <c r="AD26" s="1">
        <f t="shared" si="1"/>
        <v>0</v>
      </c>
      <c r="AE26" s="1">
        <f t="shared" si="2"/>
        <v>0</v>
      </c>
      <c r="AG26" s="17">
        <v>11</v>
      </c>
      <c r="AH26" s="13" t="str">
        <v>L'escargot</v>
      </c>
      <c r="AI26" s="13">
        <v>315</v>
      </c>
      <c r="AJ26" s="13">
        <v>333.33333333333331</v>
      </c>
      <c r="AL26" s="17">
        <v>25</v>
      </c>
      <c r="AM26" s="13" t="str">
        <v>Mark</v>
      </c>
      <c r="AN26" s="1">
        <v>522</v>
      </c>
      <c r="AO26" s="1">
        <v>533.33333333333337</v>
      </c>
    </row>
    <row r="27" spans="1:41">
      <c r="A27" s="17">
        <v>26</v>
      </c>
      <c r="B27" s="13" t="str">
        <v>Leyla</v>
      </c>
      <c r="C27" s="13">
        <v>9</v>
      </c>
      <c r="D27" s="13"/>
      <c r="E27" s="13" t="str">
        <v>B</v>
      </c>
      <c r="F27" s="13">
        <v>35</v>
      </c>
      <c r="G27" s="13" t="str">
        <v>Cap</v>
      </c>
      <c r="H27" s="13" t="e" vm="15">
        <f ca="1"/>
        <v>#VALUE!</v>
      </c>
      <c r="I27" s="13">
        <v>15</v>
      </c>
      <c r="J27" s="13">
        <v>4</v>
      </c>
      <c r="K27" s="13">
        <v>0</v>
      </c>
      <c r="L27" s="13">
        <v>11</v>
      </c>
      <c r="M27" s="13">
        <v>266</v>
      </c>
      <c r="N27" s="13">
        <v>493</v>
      </c>
      <c r="O27" s="13">
        <v>-227</v>
      </c>
      <c r="P27" s="13">
        <v>0</v>
      </c>
      <c r="Q27" s="13">
        <v>266.66666666666669</v>
      </c>
      <c r="S27" s="17">
        <v>10</v>
      </c>
      <c r="T27" s="18"/>
      <c r="U27" s="17">
        <v>2</v>
      </c>
      <c r="V27" s="17" t="s">
        <v>63</v>
      </c>
      <c r="W27" s="18">
        <v>45</v>
      </c>
      <c r="X27" s="18" t="s">
        <v>342</v>
      </c>
      <c r="Y27" s="18">
        <v>21</v>
      </c>
      <c r="Z27" s="17" t="s">
        <v>69</v>
      </c>
      <c r="AA27" s="17">
        <v>1</v>
      </c>
      <c r="AB27" s="17" t="s">
        <v>177</v>
      </c>
      <c r="AC27" s="1">
        <f t="shared" si="0"/>
        <v>1</v>
      </c>
      <c r="AD27" s="1">
        <f t="shared" si="1"/>
        <v>0</v>
      </c>
      <c r="AE27" s="1">
        <f t="shared" si="2"/>
        <v>0</v>
      </c>
      <c r="AG27" s="17">
        <v>12</v>
      </c>
      <c r="AH27" s="13" t="str">
        <v>Cap</v>
      </c>
      <c r="AI27" s="13">
        <v>266</v>
      </c>
      <c r="AJ27" s="13">
        <v>266.66666666666669</v>
      </c>
      <c r="AL27" s="17">
        <v>26</v>
      </c>
      <c r="AM27" s="13" t="str">
        <v>Ashley</v>
      </c>
      <c r="AN27" s="1">
        <v>473</v>
      </c>
      <c r="AO27" s="1">
        <v>466.66666666666669</v>
      </c>
    </row>
    <row r="28" spans="1:41">
      <c r="A28" s="17">
        <v>27</v>
      </c>
      <c r="B28" s="13" t="str">
        <v>Lio</v>
      </c>
      <c r="C28" s="13">
        <v>37</v>
      </c>
      <c r="D28" s="13"/>
      <c r="E28" s="13" t="str">
        <v>B</v>
      </c>
      <c r="F28" s="13">
        <v>38</v>
      </c>
      <c r="G28" s="13" t="str">
        <v>BigMountain</v>
      </c>
      <c r="H28" s="13" t="e" vm="15">
        <f ca="1"/>
        <v>#VALUE!</v>
      </c>
      <c r="I28" s="13">
        <v>15</v>
      </c>
      <c r="J28" s="13">
        <v>2</v>
      </c>
      <c r="K28" s="13">
        <v>0</v>
      </c>
      <c r="L28" s="13">
        <v>13</v>
      </c>
      <c r="M28" s="13">
        <v>160</v>
      </c>
      <c r="N28" s="13">
        <v>496</v>
      </c>
      <c r="O28" s="13">
        <v>-336</v>
      </c>
      <c r="P28" s="13">
        <v>0</v>
      </c>
      <c r="Q28" s="13">
        <v>133.33333333333334</v>
      </c>
      <c r="S28" s="17">
        <v>11</v>
      </c>
      <c r="T28" s="18"/>
      <c r="U28" s="17">
        <v>1</v>
      </c>
      <c r="V28" s="17" t="s">
        <v>63</v>
      </c>
      <c r="W28" s="18">
        <v>42</v>
      </c>
      <c r="X28" s="18" t="s">
        <v>342</v>
      </c>
      <c r="Y28" s="18">
        <v>33</v>
      </c>
      <c r="Z28" s="17" t="s">
        <v>47</v>
      </c>
      <c r="AA28" s="17">
        <v>2</v>
      </c>
      <c r="AB28" s="17" t="s">
        <v>173</v>
      </c>
      <c r="AC28" s="1">
        <f t="shared" si="0"/>
        <v>1</v>
      </c>
      <c r="AD28" s="1">
        <f t="shared" si="1"/>
        <v>0</v>
      </c>
      <c r="AE28" s="1">
        <f t="shared" si="2"/>
        <v>0</v>
      </c>
      <c r="AG28" s="17">
        <v>13</v>
      </c>
      <c r="AH28" s="13" t="str">
        <v>Ale</v>
      </c>
      <c r="AI28" s="13">
        <v>170</v>
      </c>
      <c r="AJ28" s="13">
        <v>200</v>
      </c>
      <c r="AL28" s="17">
        <v>27</v>
      </c>
      <c r="AM28" s="13" t="str">
        <v>Banana</v>
      </c>
      <c r="AN28" s="1">
        <v>450</v>
      </c>
      <c r="AO28" s="1">
        <v>466.66666666666669</v>
      </c>
    </row>
    <row r="29" spans="1:41">
      <c r="A29" s="17">
        <v>28</v>
      </c>
      <c r="B29" s="13" t="str">
        <v>Loser 1</v>
      </c>
      <c r="C29" s="13">
        <v>40</v>
      </c>
      <c r="D29" s="13"/>
      <c r="E29" s="13" t="str">
        <v>B</v>
      </c>
      <c r="F29" s="13">
        <v>41</v>
      </c>
      <c r="G29" s="13" t="str">
        <v>Ale</v>
      </c>
      <c r="H29" s="13" t="e" vm="20">
        <f ca="1"/>
        <v>#VALUE!</v>
      </c>
      <c r="I29" s="13">
        <v>15</v>
      </c>
      <c r="J29" s="13">
        <v>3</v>
      </c>
      <c r="K29" s="13">
        <v>0</v>
      </c>
      <c r="L29" s="13">
        <v>12</v>
      </c>
      <c r="M29" s="13">
        <v>170</v>
      </c>
      <c r="N29" s="13">
        <v>519</v>
      </c>
      <c r="O29" s="13">
        <v>-349</v>
      </c>
      <c r="P29" s="13">
        <v>0</v>
      </c>
      <c r="Q29" s="13">
        <v>200</v>
      </c>
      <c r="S29" s="17">
        <v>12</v>
      </c>
      <c r="T29" s="18"/>
      <c r="U29" s="17">
        <v>2</v>
      </c>
      <c r="V29" s="17" t="s">
        <v>63</v>
      </c>
      <c r="W29" s="18">
        <v>42</v>
      </c>
      <c r="X29" s="18" t="s">
        <v>342</v>
      </c>
      <c r="Y29" s="18">
        <v>33</v>
      </c>
      <c r="Z29" s="17" t="s">
        <v>117</v>
      </c>
      <c r="AA29" s="17">
        <v>1</v>
      </c>
      <c r="AB29" s="17" t="s">
        <v>165</v>
      </c>
      <c r="AC29" s="1">
        <f t="shared" si="0"/>
        <v>1</v>
      </c>
      <c r="AD29" s="1">
        <f t="shared" si="1"/>
        <v>0</v>
      </c>
      <c r="AE29" s="1">
        <f t="shared" si="2"/>
        <v>0</v>
      </c>
      <c r="AG29" s="17">
        <v>14</v>
      </c>
      <c r="AH29" s="13" t="str">
        <v>BigMountain</v>
      </c>
      <c r="AI29" s="13">
        <v>160</v>
      </c>
      <c r="AJ29" s="13">
        <v>133.33333333333334</v>
      </c>
      <c r="AL29" s="17">
        <v>28</v>
      </c>
      <c r="AM29" s="13" t="str">
        <v>FF</v>
      </c>
      <c r="AN29" s="1">
        <v>479</v>
      </c>
      <c r="AO29" s="1">
        <v>400</v>
      </c>
    </row>
    <row r="30" spans="1:41">
      <c r="A30" s="17">
        <v>29</v>
      </c>
      <c r="B30" s="13" t="str">
        <v>Mackie</v>
      </c>
      <c r="C30" s="13">
        <v>39</v>
      </c>
      <c r="D30" s="13"/>
      <c r="E30" s="13" t="str">
        <v>C</v>
      </c>
      <c r="F30" s="13">
        <v>3</v>
      </c>
      <c r="G30" s="13" t="str">
        <v>KVD</v>
      </c>
      <c r="H30" s="13" t="e" vm="12">
        <f ca="1"/>
        <v>#VALUE!</v>
      </c>
      <c r="I30" s="13">
        <v>15</v>
      </c>
      <c r="J30" s="13">
        <v>15</v>
      </c>
      <c r="K30" s="13">
        <v>0</v>
      </c>
      <c r="L30" s="13">
        <v>0</v>
      </c>
      <c r="M30" s="13">
        <v>663</v>
      </c>
      <c r="N30" s="13">
        <v>291</v>
      </c>
      <c r="O30" s="13">
        <v>372</v>
      </c>
      <c r="P30" s="13">
        <v>0</v>
      </c>
      <c r="Q30" s="13">
        <v>1000</v>
      </c>
      <c r="S30" s="17">
        <v>13</v>
      </c>
      <c r="T30" s="18"/>
      <c r="U30" s="17">
        <v>1</v>
      </c>
      <c r="V30" s="17" t="s">
        <v>63</v>
      </c>
      <c r="W30" s="18">
        <v>33</v>
      </c>
      <c r="X30" s="18" t="s">
        <v>342</v>
      </c>
      <c r="Y30" s="18">
        <v>42</v>
      </c>
      <c r="Z30" s="17" t="s">
        <v>55</v>
      </c>
      <c r="AA30" s="17">
        <v>2</v>
      </c>
      <c r="AB30" s="17" t="s">
        <v>177</v>
      </c>
      <c r="AC30" s="1">
        <f t="shared" si="0"/>
        <v>0</v>
      </c>
      <c r="AD30" s="1">
        <f t="shared" si="1"/>
        <v>0</v>
      </c>
      <c r="AE30" s="1">
        <f t="shared" si="2"/>
        <v>1</v>
      </c>
      <c r="AG30" s="17">
        <v>1</v>
      </c>
      <c r="AH30" s="13" t="str">
        <v>KVD</v>
      </c>
      <c r="AI30" s="13">
        <v>663</v>
      </c>
      <c r="AJ30" s="13">
        <v>1000</v>
      </c>
      <c r="AL30" s="17">
        <v>29</v>
      </c>
      <c r="AM30" s="13" t="str">
        <v>Lenain</v>
      </c>
      <c r="AN30" s="1">
        <v>471</v>
      </c>
      <c r="AO30" s="1">
        <v>400</v>
      </c>
    </row>
    <row r="31" spans="1:41">
      <c r="A31" s="17">
        <v>30</v>
      </c>
      <c r="B31" s="13" t="str">
        <v>Miku</v>
      </c>
      <c r="C31" s="13">
        <v>36</v>
      </c>
      <c r="D31" s="13"/>
      <c r="E31" s="13" t="str">
        <v>C</v>
      </c>
      <c r="F31" s="13">
        <v>6</v>
      </c>
      <c r="G31" s="13" t="str">
        <v>Jarmou</v>
      </c>
      <c r="H31" s="13" t="e" vm="17">
        <f ca="1"/>
        <v>#VALUE!</v>
      </c>
      <c r="I31" s="13">
        <v>15</v>
      </c>
      <c r="J31" s="13">
        <v>12</v>
      </c>
      <c r="K31" s="13">
        <v>0</v>
      </c>
      <c r="L31" s="13">
        <v>3</v>
      </c>
      <c r="M31" s="13">
        <v>627</v>
      </c>
      <c r="N31" s="13">
        <v>335</v>
      </c>
      <c r="O31" s="13">
        <v>292</v>
      </c>
      <c r="P31" s="13">
        <v>0</v>
      </c>
      <c r="Q31" s="13">
        <v>800</v>
      </c>
      <c r="S31" s="17">
        <v>14</v>
      </c>
      <c r="T31" s="18"/>
      <c r="U31" s="17">
        <v>1</v>
      </c>
      <c r="V31" s="17" t="s">
        <v>63</v>
      </c>
      <c r="W31" s="18">
        <v>42</v>
      </c>
      <c r="X31" s="18" t="s">
        <v>342</v>
      </c>
      <c r="Y31" s="18">
        <v>24</v>
      </c>
      <c r="Z31" s="17" t="s">
        <v>27</v>
      </c>
      <c r="AA31" s="17">
        <v>2</v>
      </c>
      <c r="AB31" s="17" t="s">
        <v>165</v>
      </c>
      <c r="AC31" s="1">
        <f t="shared" si="0"/>
        <v>1</v>
      </c>
      <c r="AD31" s="1">
        <f t="shared" si="1"/>
        <v>0</v>
      </c>
      <c r="AE31" s="1">
        <f t="shared" si="2"/>
        <v>0</v>
      </c>
      <c r="AG31" s="17">
        <v>2</v>
      </c>
      <c r="AH31" s="13" t="str">
        <v>JDR</v>
      </c>
      <c r="AI31" s="13">
        <v>645</v>
      </c>
      <c r="AJ31" s="13">
        <v>933.33333333333337</v>
      </c>
      <c r="AL31" s="17">
        <v>30</v>
      </c>
      <c r="AM31" s="13" t="str">
        <v>Zip</v>
      </c>
      <c r="AN31" s="1">
        <v>373</v>
      </c>
      <c r="AO31" s="1">
        <v>400</v>
      </c>
    </row>
    <row r="32" spans="1:41">
      <c r="A32" s="17">
        <v>31</v>
      </c>
      <c r="B32" s="13" t="str">
        <v>Mark</v>
      </c>
      <c r="C32" s="13">
        <v>24</v>
      </c>
      <c r="D32" s="13"/>
      <c r="E32" s="13" t="str">
        <v>C</v>
      </c>
      <c r="F32" s="13">
        <v>9</v>
      </c>
      <c r="G32" s="13" t="str">
        <v>Leyla</v>
      </c>
      <c r="H32" s="13" t="e" vm="13">
        <f ca="1"/>
        <v>#VALUE!</v>
      </c>
      <c r="I32" s="13">
        <v>15</v>
      </c>
      <c r="J32" s="13">
        <v>13</v>
      </c>
      <c r="K32" s="13">
        <v>0</v>
      </c>
      <c r="L32" s="13">
        <v>2</v>
      </c>
      <c r="M32" s="13">
        <v>627</v>
      </c>
      <c r="N32" s="13">
        <v>327</v>
      </c>
      <c r="O32" s="13">
        <v>300</v>
      </c>
      <c r="P32" s="13">
        <v>0</v>
      </c>
      <c r="Q32" s="13">
        <v>866.66666666666663</v>
      </c>
      <c r="S32" s="17">
        <v>15</v>
      </c>
      <c r="T32" s="18"/>
      <c r="U32" s="17">
        <v>2</v>
      </c>
      <c r="V32" s="17" t="s">
        <v>63</v>
      </c>
      <c r="W32" s="18">
        <v>42</v>
      </c>
      <c r="X32" s="18" t="s">
        <v>342</v>
      </c>
      <c r="Y32" s="18">
        <v>33</v>
      </c>
      <c r="Z32" s="17" t="s">
        <v>73</v>
      </c>
      <c r="AA32" s="17">
        <v>1</v>
      </c>
      <c r="AB32" s="17" t="s">
        <v>173</v>
      </c>
      <c r="AC32" s="1">
        <f t="shared" si="0"/>
        <v>1</v>
      </c>
      <c r="AD32" s="1">
        <f t="shared" si="1"/>
        <v>0</v>
      </c>
      <c r="AE32" s="1">
        <f t="shared" si="2"/>
        <v>0</v>
      </c>
      <c r="AG32" s="17">
        <v>3</v>
      </c>
      <c r="AH32" s="13" t="str">
        <v>Leyla</v>
      </c>
      <c r="AI32" s="13">
        <v>627</v>
      </c>
      <c r="AJ32" s="13">
        <v>866.66666666666663</v>
      </c>
      <c r="AL32" s="17">
        <v>31</v>
      </c>
      <c r="AM32" s="13" t="str">
        <v>Ours</v>
      </c>
      <c r="AN32" s="1">
        <v>391</v>
      </c>
      <c r="AO32" s="1">
        <v>333.33333333333331</v>
      </c>
    </row>
    <row r="33" spans="1:41">
      <c r="A33" s="17">
        <v>32</v>
      </c>
      <c r="B33" s="13" t="str">
        <v>Banana</v>
      </c>
      <c r="C33" s="13">
        <v>25</v>
      </c>
      <c r="D33" s="13"/>
      <c r="E33" s="13" t="str">
        <v>C</v>
      </c>
      <c r="F33" s="13">
        <v>12</v>
      </c>
      <c r="G33" s="13" t="str">
        <v>JDR</v>
      </c>
      <c r="H33" s="13" t="e" vm="15">
        <f ca="1"/>
        <v>#VALUE!</v>
      </c>
      <c r="I33" s="13">
        <v>15</v>
      </c>
      <c r="J33" s="13">
        <v>14</v>
      </c>
      <c r="K33" s="13">
        <v>0</v>
      </c>
      <c r="L33" s="13">
        <v>1</v>
      </c>
      <c r="M33" s="13">
        <v>645</v>
      </c>
      <c r="N33" s="13">
        <v>288</v>
      </c>
      <c r="O33" s="13">
        <v>357</v>
      </c>
      <c r="P33" s="13">
        <v>0</v>
      </c>
      <c r="Q33" s="13">
        <v>933.33333333333337</v>
      </c>
      <c r="S33" s="58" t="s">
        <v>339</v>
      </c>
      <c r="T33" s="58" t="s">
        <v>340</v>
      </c>
      <c r="U33" s="58" t="s">
        <v>341</v>
      </c>
      <c r="V33" s="58" t="s">
        <v>1</v>
      </c>
      <c r="W33" s="66" t="s">
        <v>220</v>
      </c>
      <c r="X33" s="66"/>
      <c r="Y33" s="66"/>
      <c r="Z33" s="58" t="s">
        <v>1</v>
      </c>
      <c r="AA33" s="58" t="s">
        <v>341</v>
      </c>
      <c r="AB33" s="58" t="s">
        <v>395</v>
      </c>
      <c r="AC33" s="1">
        <f t="shared" si="0"/>
        <v>1</v>
      </c>
      <c r="AD33" s="1">
        <f t="shared" si="1"/>
        <v>0</v>
      </c>
      <c r="AE33" s="1">
        <f t="shared" si="2"/>
        <v>0</v>
      </c>
      <c r="AG33" s="17">
        <v>4</v>
      </c>
      <c r="AH33" s="13" t="str">
        <v>Jarmou</v>
      </c>
      <c r="AI33" s="13">
        <v>627</v>
      </c>
      <c r="AJ33" s="13">
        <v>800</v>
      </c>
      <c r="AL33" s="17">
        <v>32</v>
      </c>
      <c r="AM33" s="13" t="str">
        <v>Getarez</v>
      </c>
      <c r="AN33" s="1">
        <v>344</v>
      </c>
      <c r="AO33" s="1">
        <v>333.33333333333331</v>
      </c>
    </row>
    <row r="34" spans="1:41">
      <c r="A34" s="17">
        <v>33</v>
      </c>
      <c r="B34" s="13" t="str">
        <v>Sumz</v>
      </c>
      <c r="C34" s="13">
        <v>21</v>
      </c>
      <c r="D34" s="13"/>
      <c r="E34" s="13" t="str">
        <v>C</v>
      </c>
      <c r="F34" s="13">
        <v>15</v>
      </c>
      <c r="G34" s="13" t="str">
        <v>Kasmo</v>
      </c>
      <c r="H34" s="13" t="e" vm="16">
        <f ca="1"/>
        <v>#VALUE!</v>
      </c>
      <c r="I34" s="13">
        <v>15</v>
      </c>
      <c r="J34" s="13">
        <v>9</v>
      </c>
      <c r="K34" s="13">
        <v>0</v>
      </c>
      <c r="L34" s="13">
        <v>6</v>
      </c>
      <c r="M34" s="13">
        <v>581</v>
      </c>
      <c r="N34" s="13">
        <v>345</v>
      </c>
      <c r="O34" s="13">
        <v>236</v>
      </c>
      <c r="P34" s="13">
        <v>0</v>
      </c>
      <c r="Q34" s="13">
        <v>600</v>
      </c>
      <c r="S34" s="17">
        <v>1</v>
      </c>
      <c r="T34" s="18"/>
      <c r="U34" s="17">
        <v>2</v>
      </c>
      <c r="V34" s="17" t="s">
        <v>55</v>
      </c>
      <c r="W34" s="18">
        <v>45</v>
      </c>
      <c r="X34" s="18" t="s">
        <v>342</v>
      </c>
      <c r="Y34" s="18">
        <v>0</v>
      </c>
      <c r="Z34" s="17" t="s">
        <v>86</v>
      </c>
      <c r="AA34" s="17">
        <v>1</v>
      </c>
      <c r="AB34" s="17" t="s">
        <v>177</v>
      </c>
      <c r="AC34" s="1">
        <f t="shared" si="0"/>
        <v>1</v>
      </c>
      <c r="AD34" s="1">
        <f t="shared" si="1"/>
        <v>0</v>
      </c>
      <c r="AE34" s="1">
        <f t="shared" si="2"/>
        <v>0</v>
      </c>
      <c r="AG34" s="17">
        <v>5</v>
      </c>
      <c r="AH34" s="13" t="str">
        <v>Champix</v>
      </c>
      <c r="AI34" s="13">
        <v>592</v>
      </c>
      <c r="AJ34" s="13">
        <v>666.66666666666663</v>
      </c>
      <c r="AL34" s="17">
        <v>33</v>
      </c>
      <c r="AM34" s="13" t="str">
        <v>L'escargot</v>
      </c>
      <c r="AN34" s="1">
        <v>315</v>
      </c>
      <c r="AO34" s="1">
        <v>333.33333333333331</v>
      </c>
    </row>
    <row r="35" spans="1:41">
      <c r="A35" s="17">
        <v>34</v>
      </c>
      <c r="B35" s="13" t="str">
        <v>Patrick</v>
      </c>
      <c r="C35" s="13">
        <v>20</v>
      </c>
      <c r="D35" s="13"/>
      <c r="E35" s="13" t="str">
        <v>C</v>
      </c>
      <c r="F35" s="13">
        <v>18</v>
      </c>
      <c r="G35" s="13" t="str">
        <v>Champix</v>
      </c>
      <c r="H35" s="13" t="e" vm="15">
        <f ca="1"/>
        <v>#VALUE!</v>
      </c>
      <c r="I35" s="13">
        <v>15</v>
      </c>
      <c r="J35" s="13">
        <v>10</v>
      </c>
      <c r="K35" s="13">
        <v>0</v>
      </c>
      <c r="L35" s="13">
        <v>5</v>
      </c>
      <c r="M35" s="13">
        <v>592</v>
      </c>
      <c r="N35" s="13">
        <v>339</v>
      </c>
      <c r="O35" s="13">
        <v>253</v>
      </c>
      <c r="P35" s="13">
        <v>0</v>
      </c>
      <c r="Q35" s="13">
        <v>666.66666666666663</v>
      </c>
      <c r="S35" s="17">
        <v>2</v>
      </c>
      <c r="T35" s="18"/>
      <c r="U35" s="17">
        <v>1</v>
      </c>
      <c r="V35" s="17" t="s">
        <v>55</v>
      </c>
      <c r="W35" s="18">
        <v>45</v>
      </c>
      <c r="X35" s="18" t="s">
        <v>342</v>
      </c>
      <c r="Y35" s="18">
        <v>0</v>
      </c>
      <c r="Z35" s="17" t="s">
        <v>85</v>
      </c>
      <c r="AA35" s="17">
        <v>2</v>
      </c>
      <c r="AB35" s="17" t="s">
        <v>165</v>
      </c>
      <c r="AC35" s="1">
        <f t="shared" si="0"/>
        <v>1</v>
      </c>
      <c r="AD35" s="1">
        <f t="shared" si="1"/>
        <v>0</v>
      </c>
      <c r="AE35" s="1">
        <f t="shared" si="2"/>
        <v>0</v>
      </c>
      <c r="AG35" s="17">
        <v>6</v>
      </c>
      <c r="AH35" s="13" t="str">
        <v>Sumz</v>
      </c>
      <c r="AI35" s="13">
        <v>580</v>
      </c>
      <c r="AJ35" s="13">
        <v>666.66666666666663</v>
      </c>
      <c r="AL35" s="17">
        <v>34</v>
      </c>
      <c r="AM35" s="13" t="str">
        <v>Cap</v>
      </c>
      <c r="AN35" s="1">
        <v>266</v>
      </c>
      <c r="AO35" s="1">
        <v>266.66666666666669</v>
      </c>
    </row>
    <row r="36" spans="1:41">
      <c r="A36" s="17">
        <v>35</v>
      </c>
      <c r="B36" s="13" t="str">
        <v>Pie999</v>
      </c>
      <c r="C36" s="13">
        <v>42</v>
      </c>
      <c r="D36" s="13"/>
      <c r="E36" s="13" t="str">
        <v>C</v>
      </c>
      <c r="F36" s="13">
        <v>21</v>
      </c>
      <c r="G36" s="13" t="str">
        <v>Sumz</v>
      </c>
      <c r="H36" s="13" t="e" vm="18">
        <f ca="1"/>
        <v>#VALUE!</v>
      </c>
      <c r="I36" s="13">
        <v>15</v>
      </c>
      <c r="J36" s="13">
        <v>10</v>
      </c>
      <c r="K36" s="13">
        <v>0</v>
      </c>
      <c r="L36" s="13">
        <v>5</v>
      </c>
      <c r="M36" s="13">
        <v>580</v>
      </c>
      <c r="N36" s="13">
        <v>345</v>
      </c>
      <c r="O36" s="13">
        <v>235</v>
      </c>
      <c r="P36" s="13">
        <v>0</v>
      </c>
      <c r="Q36" s="13">
        <v>666.66666666666663</v>
      </c>
      <c r="S36" s="17">
        <v>3</v>
      </c>
      <c r="T36" s="18"/>
      <c r="U36" s="17">
        <v>1</v>
      </c>
      <c r="V36" s="17" t="s">
        <v>55</v>
      </c>
      <c r="W36" s="18">
        <v>45</v>
      </c>
      <c r="X36" s="18" t="s">
        <v>342</v>
      </c>
      <c r="Y36" s="18">
        <v>0</v>
      </c>
      <c r="Z36" s="17" t="s">
        <v>343</v>
      </c>
      <c r="AA36" s="17">
        <v>2</v>
      </c>
      <c r="AB36" s="17" t="s">
        <v>181</v>
      </c>
      <c r="AC36" s="1">
        <f t="shared" si="0"/>
        <v>1</v>
      </c>
      <c r="AD36" s="1">
        <f t="shared" si="1"/>
        <v>0</v>
      </c>
      <c r="AE36" s="1">
        <f t="shared" si="2"/>
        <v>0</v>
      </c>
      <c r="AG36" s="17">
        <v>7</v>
      </c>
      <c r="AH36" s="13" t="str">
        <v>Kasmo</v>
      </c>
      <c r="AI36" s="13">
        <v>581</v>
      </c>
      <c r="AJ36" s="13">
        <v>600</v>
      </c>
      <c r="AL36" s="17">
        <v>35</v>
      </c>
      <c r="AM36" s="13" t="str">
        <v>Miku</v>
      </c>
      <c r="AN36" s="1">
        <v>235</v>
      </c>
      <c r="AO36" s="1">
        <v>266.66666666666669</v>
      </c>
    </row>
    <row r="37" spans="1:41">
      <c r="A37" s="17">
        <v>36</v>
      </c>
      <c r="B37" s="13" t="str">
        <v>Sami</v>
      </c>
      <c r="C37" s="13">
        <v>2</v>
      </c>
      <c r="D37" s="13"/>
      <c r="E37" s="13" t="str">
        <v>C</v>
      </c>
      <c r="F37" s="13">
        <v>24</v>
      </c>
      <c r="G37" s="13" t="str">
        <v>Mark</v>
      </c>
      <c r="H37" s="13" t="e" vm="12">
        <f ca="1"/>
        <v>#VALUE!</v>
      </c>
      <c r="I37" s="13">
        <v>15</v>
      </c>
      <c r="J37" s="13">
        <v>8</v>
      </c>
      <c r="K37" s="13">
        <v>0</v>
      </c>
      <c r="L37" s="13">
        <v>7</v>
      </c>
      <c r="M37" s="13">
        <v>522</v>
      </c>
      <c r="N37" s="13">
        <v>412</v>
      </c>
      <c r="O37" s="13">
        <v>110</v>
      </c>
      <c r="P37" s="13">
        <v>0</v>
      </c>
      <c r="Q37" s="13">
        <v>533.33333333333337</v>
      </c>
      <c r="S37" s="17">
        <v>4</v>
      </c>
      <c r="T37" s="18"/>
      <c r="U37" s="17">
        <v>1</v>
      </c>
      <c r="V37" s="17" t="s">
        <v>55</v>
      </c>
      <c r="W37" s="18">
        <v>45</v>
      </c>
      <c r="X37" s="18" t="s">
        <v>342</v>
      </c>
      <c r="Y37" s="18">
        <v>0</v>
      </c>
      <c r="Z37" s="17" t="s">
        <v>343</v>
      </c>
      <c r="AA37" s="17">
        <v>2</v>
      </c>
      <c r="AB37" s="17" t="s">
        <v>173</v>
      </c>
      <c r="AC37" s="1">
        <f t="shared" si="0"/>
        <v>1</v>
      </c>
      <c r="AD37" s="1">
        <f t="shared" si="1"/>
        <v>0</v>
      </c>
      <c r="AE37" s="1">
        <f t="shared" si="2"/>
        <v>0</v>
      </c>
      <c r="AG37" s="17">
        <v>8</v>
      </c>
      <c r="AH37" s="13" t="str">
        <v>tif</v>
      </c>
      <c r="AI37" s="13">
        <v>537</v>
      </c>
      <c r="AJ37" s="13">
        <v>533.33333333333337</v>
      </c>
      <c r="AL37" s="17">
        <v>36</v>
      </c>
      <c r="AM37" s="13" t="str">
        <v>Oni</v>
      </c>
      <c r="AN37" s="1">
        <v>203</v>
      </c>
      <c r="AO37" s="1">
        <v>266.66666666666669</v>
      </c>
    </row>
    <row r="38" spans="1:41">
      <c r="A38" s="17">
        <v>37</v>
      </c>
      <c r="B38" s="13" t="str">
        <v>Narnet</v>
      </c>
      <c r="C38" s="13">
        <v>16</v>
      </c>
      <c r="D38" s="13"/>
      <c r="E38" s="13" t="str">
        <v>C</v>
      </c>
      <c r="F38" s="13">
        <v>27</v>
      </c>
      <c r="G38" s="13" t="str">
        <v>Lenain</v>
      </c>
      <c r="H38" s="13" t="e" vm="15">
        <f ca="1"/>
        <v>#VALUE!</v>
      </c>
      <c r="I38" s="13">
        <v>15</v>
      </c>
      <c r="J38" s="13">
        <v>6</v>
      </c>
      <c r="K38" s="13">
        <v>0</v>
      </c>
      <c r="L38" s="13">
        <v>9</v>
      </c>
      <c r="M38" s="13">
        <v>471</v>
      </c>
      <c r="N38" s="13">
        <v>421</v>
      </c>
      <c r="O38" s="13">
        <v>50</v>
      </c>
      <c r="P38" s="13">
        <v>0</v>
      </c>
      <c r="Q38" s="13">
        <v>400</v>
      </c>
      <c r="S38" s="17">
        <v>5</v>
      </c>
      <c r="T38" s="18"/>
      <c r="U38" s="17">
        <v>1</v>
      </c>
      <c r="V38" s="17" t="s">
        <v>55</v>
      </c>
      <c r="W38" s="18">
        <v>45</v>
      </c>
      <c r="X38" s="18" t="s">
        <v>342</v>
      </c>
      <c r="Y38" s="18">
        <v>0</v>
      </c>
      <c r="Z38" s="17" t="s">
        <v>43</v>
      </c>
      <c r="AA38" s="17">
        <v>2</v>
      </c>
      <c r="AB38" s="17" t="s">
        <v>177</v>
      </c>
      <c r="AC38" s="1">
        <f t="shared" si="0"/>
        <v>1</v>
      </c>
      <c r="AD38" s="1">
        <f t="shared" si="1"/>
        <v>0</v>
      </c>
      <c r="AE38" s="1">
        <f t="shared" si="2"/>
        <v>0</v>
      </c>
      <c r="AG38" s="17">
        <v>9</v>
      </c>
      <c r="AH38" s="13" t="str">
        <v>Mark</v>
      </c>
      <c r="AI38" s="13">
        <v>522</v>
      </c>
      <c r="AJ38" s="13">
        <v>533.33333333333337</v>
      </c>
      <c r="AL38" s="17">
        <v>37</v>
      </c>
      <c r="AM38" s="13" t="str">
        <v>Pie999</v>
      </c>
      <c r="AN38" s="1">
        <v>178</v>
      </c>
      <c r="AO38" s="1">
        <v>200</v>
      </c>
    </row>
    <row r="39" spans="1:41">
      <c r="A39" s="17">
        <v>38</v>
      </c>
      <c r="B39" s="13" t="str">
        <v>Sjors</v>
      </c>
      <c r="C39" s="13">
        <v>17</v>
      </c>
      <c r="D39" s="13"/>
      <c r="E39" s="13" t="str">
        <v>C</v>
      </c>
      <c r="F39" s="13">
        <v>30</v>
      </c>
      <c r="G39" s="13" t="str">
        <v>tif</v>
      </c>
      <c r="H39" s="13" t="e" vm="15">
        <f ca="1"/>
        <v>#VALUE!</v>
      </c>
      <c r="I39" s="13">
        <v>15</v>
      </c>
      <c r="J39" s="13">
        <v>8</v>
      </c>
      <c r="K39" s="13">
        <v>0</v>
      </c>
      <c r="L39" s="13">
        <v>7</v>
      </c>
      <c r="M39" s="13">
        <v>537</v>
      </c>
      <c r="N39" s="13">
        <v>380</v>
      </c>
      <c r="O39" s="13">
        <v>157</v>
      </c>
      <c r="P39" s="13">
        <v>0</v>
      </c>
      <c r="Q39" s="13">
        <v>533.33333333333337</v>
      </c>
      <c r="S39" s="17">
        <v>6</v>
      </c>
      <c r="T39" s="18"/>
      <c r="U39" s="17">
        <v>2</v>
      </c>
      <c r="V39" s="17" t="s">
        <v>55</v>
      </c>
      <c r="W39" s="18">
        <v>45</v>
      </c>
      <c r="X39" s="18" t="s">
        <v>342</v>
      </c>
      <c r="Y39" s="18">
        <v>30</v>
      </c>
      <c r="Z39" s="17" t="s">
        <v>101</v>
      </c>
      <c r="AA39" s="17">
        <v>1</v>
      </c>
      <c r="AB39" s="17" t="s">
        <v>181</v>
      </c>
      <c r="AC39" s="1">
        <f t="shared" si="0"/>
        <v>1</v>
      </c>
      <c r="AD39" s="1">
        <f t="shared" si="1"/>
        <v>0</v>
      </c>
      <c r="AE39" s="1">
        <f t="shared" si="2"/>
        <v>0</v>
      </c>
      <c r="AG39" s="17">
        <v>10</v>
      </c>
      <c r="AH39" s="13" t="str">
        <v>Lenain</v>
      </c>
      <c r="AI39" s="13">
        <v>471</v>
      </c>
      <c r="AJ39" s="13">
        <v>400</v>
      </c>
      <c r="AL39" s="17">
        <v>38</v>
      </c>
      <c r="AM39" s="13" t="str">
        <v>Ale</v>
      </c>
      <c r="AN39" s="1">
        <v>170</v>
      </c>
      <c r="AO39" s="1">
        <v>200</v>
      </c>
    </row>
    <row r="40" spans="1:41">
      <c r="A40" s="17">
        <v>39</v>
      </c>
      <c r="B40" s="13" t="str">
        <v>Jarmou</v>
      </c>
      <c r="C40" s="13">
        <v>6</v>
      </c>
      <c r="D40" s="13"/>
      <c r="E40" s="13" t="str">
        <v>C</v>
      </c>
      <c r="F40" s="13">
        <v>33</v>
      </c>
      <c r="G40" s="13" t="str">
        <v>Getarez</v>
      </c>
      <c r="H40" s="13" t="e" vm="15">
        <f ca="1"/>
        <v>#VALUE!</v>
      </c>
      <c r="I40" s="13">
        <v>15</v>
      </c>
      <c r="J40" s="13">
        <v>5</v>
      </c>
      <c r="K40" s="13">
        <v>0</v>
      </c>
      <c r="L40" s="13">
        <v>10</v>
      </c>
      <c r="M40" s="13">
        <v>344</v>
      </c>
      <c r="N40" s="13">
        <v>448</v>
      </c>
      <c r="O40" s="13">
        <v>-104</v>
      </c>
      <c r="P40" s="13">
        <v>0</v>
      </c>
      <c r="Q40" s="13">
        <v>333.33333333333331</v>
      </c>
      <c r="S40" s="17">
        <v>7</v>
      </c>
      <c r="T40" s="18"/>
      <c r="U40" s="17">
        <v>2</v>
      </c>
      <c r="V40" s="17" t="s">
        <v>55</v>
      </c>
      <c r="W40" s="18">
        <v>45</v>
      </c>
      <c r="X40" s="18" t="s">
        <v>342</v>
      </c>
      <c r="Y40" s="18">
        <v>0</v>
      </c>
      <c r="Z40" s="17" t="s">
        <v>75</v>
      </c>
      <c r="AA40" s="17">
        <v>1</v>
      </c>
      <c r="AB40" s="17" t="s">
        <v>165</v>
      </c>
      <c r="AC40" s="1">
        <f t="shared" si="0"/>
        <v>1</v>
      </c>
      <c r="AD40" s="1">
        <f t="shared" si="1"/>
        <v>0</v>
      </c>
      <c r="AE40" s="1">
        <f t="shared" si="2"/>
        <v>0</v>
      </c>
      <c r="AG40" s="17">
        <v>11</v>
      </c>
      <c r="AH40" s="13" t="str">
        <v>Getarez</v>
      </c>
      <c r="AI40" s="13">
        <v>344</v>
      </c>
      <c r="AJ40" s="13">
        <v>333.33333333333331</v>
      </c>
      <c r="AL40" s="17">
        <v>39</v>
      </c>
      <c r="AM40" s="13" t="str">
        <v>Lio</v>
      </c>
      <c r="AN40" s="1">
        <v>118</v>
      </c>
      <c r="AO40" s="1">
        <v>200</v>
      </c>
    </row>
    <row r="41" spans="1:41">
      <c r="A41" s="17">
        <v>40</v>
      </c>
      <c r="B41" s="13" t="str">
        <v>Takashi</v>
      </c>
      <c r="C41" s="13">
        <v>5</v>
      </c>
      <c r="D41" s="13"/>
      <c r="E41" s="13" t="str">
        <v>C</v>
      </c>
      <c r="F41" s="13">
        <v>36</v>
      </c>
      <c r="G41" s="13" t="str">
        <v>Miku</v>
      </c>
      <c r="H41" s="13" t="e" vm="15">
        <f ca="1"/>
        <v>#VALUE!</v>
      </c>
      <c r="I41" s="13">
        <v>15</v>
      </c>
      <c r="J41" s="13">
        <v>4</v>
      </c>
      <c r="K41" s="13">
        <v>0</v>
      </c>
      <c r="L41" s="13">
        <v>11</v>
      </c>
      <c r="M41" s="13">
        <v>235</v>
      </c>
      <c r="N41" s="13">
        <v>496</v>
      </c>
      <c r="O41" s="13">
        <v>-261</v>
      </c>
      <c r="P41" s="13">
        <v>0</v>
      </c>
      <c r="Q41" s="13">
        <v>266.66666666666669</v>
      </c>
      <c r="S41" s="17">
        <v>8</v>
      </c>
      <c r="T41" s="18"/>
      <c r="U41" s="17">
        <v>2</v>
      </c>
      <c r="V41" s="17" t="s">
        <v>55</v>
      </c>
      <c r="W41" s="18">
        <v>45</v>
      </c>
      <c r="X41" s="18" t="s">
        <v>342</v>
      </c>
      <c r="Y41" s="18">
        <v>12</v>
      </c>
      <c r="Z41" s="17" t="s">
        <v>127</v>
      </c>
      <c r="AA41" s="17">
        <v>1</v>
      </c>
      <c r="AB41" s="17" t="s">
        <v>173</v>
      </c>
      <c r="AC41" s="1">
        <f t="shared" si="0"/>
        <v>1</v>
      </c>
      <c r="AD41" s="1">
        <f t="shared" si="1"/>
        <v>0</v>
      </c>
      <c r="AE41" s="1">
        <f t="shared" si="2"/>
        <v>0</v>
      </c>
      <c r="AG41" s="17">
        <v>12</v>
      </c>
      <c r="AH41" s="13" t="str">
        <v>Miku</v>
      </c>
      <c r="AI41" s="13">
        <v>235</v>
      </c>
      <c r="AJ41" s="13">
        <v>266.66666666666669</v>
      </c>
      <c r="AL41" s="17">
        <v>40</v>
      </c>
      <c r="AM41" s="13" t="str">
        <v>BigMountain</v>
      </c>
      <c r="AN41" s="1">
        <v>160</v>
      </c>
      <c r="AO41" s="1">
        <v>133.33333333333334</v>
      </c>
    </row>
    <row r="42" spans="1:41">
      <c r="A42" s="17">
        <v>41</v>
      </c>
      <c r="B42" s="13" t="str">
        <v>Thibault</v>
      </c>
      <c r="C42" s="13">
        <v>23</v>
      </c>
      <c r="D42" s="13"/>
      <c r="E42" s="13" t="str">
        <v>C</v>
      </c>
      <c r="F42" s="13">
        <v>39</v>
      </c>
      <c r="G42" s="13" t="str">
        <v>Mackie</v>
      </c>
      <c r="H42" s="13" t="e" vm="15">
        <f ca="1"/>
        <v>#VALUE!</v>
      </c>
      <c r="I42" s="13">
        <v>15</v>
      </c>
      <c r="J42" s="13">
        <v>2</v>
      </c>
      <c r="K42" s="13">
        <v>0</v>
      </c>
      <c r="L42" s="13">
        <v>13</v>
      </c>
      <c r="M42" s="13">
        <v>136</v>
      </c>
      <c r="N42" s="13">
        <v>532</v>
      </c>
      <c r="O42" s="13">
        <v>-396</v>
      </c>
      <c r="P42" s="13"/>
      <c r="Q42" s="13">
        <v>133.33333333333334</v>
      </c>
      <c r="S42" s="17">
        <v>9</v>
      </c>
      <c r="T42" s="18"/>
      <c r="U42" s="17">
        <v>2</v>
      </c>
      <c r="V42" s="17" t="s">
        <v>55</v>
      </c>
      <c r="W42" s="18">
        <v>45</v>
      </c>
      <c r="X42" s="18" t="s">
        <v>342</v>
      </c>
      <c r="Y42" s="18">
        <v>24</v>
      </c>
      <c r="Z42" s="17" t="s">
        <v>117</v>
      </c>
      <c r="AA42" s="17">
        <v>1</v>
      </c>
      <c r="AB42" s="17" t="s">
        <v>181</v>
      </c>
      <c r="AC42" s="1">
        <f t="shared" si="0"/>
        <v>1</v>
      </c>
      <c r="AD42" s="1">
        <f t="shared" si="1"/>
        <v>0</v>
      </c>
      <c r="AE42" s="1">
        <f t="shared" si="2"/>
        <v>0</v>
      </c>
      <c r="AG42" s="1">
        <v>13</v>
      </c>
      <c r="AH42" s="1" t="str">
        <v>Pie999</v>
      </c>
      <c r="AI42" s="1">
        <v>178</v>
      </c>
      <c r="AJ42" s="1">
        <v>200</v>
      </c>
      <c r="AL42" s="1">
        <v>41</v>
      </c>
      <c r="AM42" s="1" t="str">
        <v>Mackie</v>
      </c>
      <c r="AN42" s="1">
        <v>136</v>
      </c>
      <c r="AO42" s="1">
        <v>133.33333333333334</v>
      </c>
    </row>
    <row r="43" spans="1:41">
      <c r="A43" s="17">
        <v>42</v>
      </c>
      <c r="B43" s="13" t="str">
        <v>Ours</v>
      </c>
      <c r="C43" s="13">
        <v>31</v>
      </c>
      <c r="D43" s="13"/>
      <c r="E43" s="13" t="str">
        <v>C</v>
      </c>
      <c r="F43" s="13">
        <v>42</v>
      </c>
      <c r="G43" s="13" t="str">
        <v>Pie999</v>
      </c>
      <c r="H43" s="13" t="e" vm="15">
        <f ca="1"/>
        <v>#VALUE!</v>
      </c>
      <c r="I43" s="13">
        <v>15</v>
      </c>
      <c r="J43" s="13">
        <v>3</v>
      </c>
      <c r="K43" s="13">
        <v>0</v>
      </c>
      <c r="L43" s="13">
        <v>12</v>
      </c>
      <c r="M43" s="13">
        <v>178</v>
      </c>
      <c r="N43" s="13">
        <v>531</v>
      </c>
      <c r="O43" s="13">
        <v>-353</v>
      </c>
      <c r="P43" s="13"/>
      <c r="Q43" s="13">
        <v>200</v>
      </c>
      <c r="S43" s="17">
        <v>10</v>
      </c>
      <c r="T43" s="18"/>
      <c r="U43" s="17">
        <v>1</v>
      </c>
      <c r="V43" s="17" t="s">
        <v>55</v>
      </c>
      <c r="W43" s="18">
        <v>42</v>
      </c>
      <c r="X43" s="18" t="s">
        <v>342</v>
      </c>
      <c r="Y43" s="18">
        <v>33</v>
      </c>
      <c r="Z43" s="17" t="s">
        <v>47</v>
      </c>
      <c r="AA43" s="17">
        <v>2</v>
      </c>
      <c r="AB43" s="17" t="s">
        <v>177</v>
      </c>
      <c r="AC43" s="1">
        <f t="shared" si="0"/>
        <v>1</v>
      </c>
      <c r="AD43" s="1">
        <f t="shared" si="1"/>
        <v>0</v>
      </c>
      <c r="AE43" s="1">
        <f t="shared" si="2"/>
        <v>0</v>
      </c>
      <c r="AG43" s="1">
        <v>14</v>
      </c>
      <c r="AH43" s="1" t="str">
        <v>Mackie</v>
      </c>
      <c r="AI43" s="1">
        <v>136</v>
      </c>
      <c r="AJ43" s="1">
        <v>133.33333333333334</v>
      </c>
      <c r="AL43" s="1">
        <v>42</v>
      </c>
      <c r="AM43" s="1" t="str">
        <v>Loser 1</v>
      </c>
      <c r="AN43" s="1">
        <v>0</v>
      </c>
      <c r="AO43" s="1">
        <v>0</v>
      </c>
    </row>
    <row r="44" spans="1:41">
      <c r="B44" s="13"/>
      <c r="C44" s="13"/>
      <c r="D44" s="13"/>
      <c r="E44" s="13" t="str">
        <v>X</v>
      </c>
      <c r="F44" s="13" t="str">
        <v/>
      </c>
      <c r="G44" s="13" t="str">
        <v/>
      </c>
      <c r="H44" s="13" t="str">
        <f ca="1"/>
        <v/>
      </c>
      <c r="I44" s="13">
        <v>0</v>
      </c>
      <c r="J44" s="13">
        <v>0</v>
      </c>
      <c r="K44" s="13">
        <v>0</v>
      </c>
      <c r="L44" s="13">
        <v>0</v>
      </c>
      <c r="M44" s="13">
        <v>0</v>
      </c>
      <c r="N44" s="13">
        <v>0</v>
      </c>
      <c r="O44" s="13">
        <v>0</v>
      </c>
      <c r="P44" s="13"/>
      <c r="Q44" s="13">
        <v>0</v>
      </c>
      <c r="S44" s="17">
        <v>11</v>
      </c>
      <c r="T44" s="18"/>
      <c r="U44" s="17">
        <v>2</v>
      </c>
      <c r="V44" s="17" t="s">
        <v>55</v>
      </c>
      <c r="W44" s="18">
        <v>42</v>
      </c>
      <c r="X44" s="18" t="s">
        <v>342</v>
      </c>
      <c r="Y44" s="18">
        <v>33</v>
      </c>
      <c r="Z44" s="17" t="s">
        <v>69</v>
      </c>
      <c r="AA44" s="17">
        <v>1</v>
      </c>
      <c r="AB44" s="17" t="s">
        <v>173</v>
      </c>
      <c r="AC44" s="1">
        <f t="shared" si="0"/>
        <v>1</v>
      </c>
      <c r="AD44" s="1">
        <f t="shared" si="1"/>
        <v>0</v>
      </c>
      <c r="AE44" s="1">
        <f t="shared" si="2"/>
        <v>0</v>
      </c>
      <c r="AG44" s="1" t="str">
        <v/>
      </c>
      <c r="AH44" s="1" t="str">
        <v/>
      </c>
      <c r="AI44" s="1">
        <v>0</v>
      </c>
      <c r="AJ44" s="1">
        <v>0</v>
      </c>
      <c r="AM44" s="1" t="str">
        <v/>
      </c>
      <c r="AN44" s="1">
        <v>0</v>
      </c>
      <c r="AO44" s="1">
        <v>0</v>
      </c>
    </row>
    <row r="45" spans="1:41">
      <c r="B45" s="13"/>
      <c r="C45" s="13"/>
      <c r="D45" s="13"/>
      <c r="E45" s="13"/>
      <c r="F45" s="13"/>
      <c r="G45" s="13"/>
      <c r="H45" s="13"/>
      <c r="I45" s="13"/>
      <c r="J45" s="13"/>
      <c r="K45" s="13"/>
      <c r="L45" s="13"/>
      <c r="M45" s="13"/>
      <c r="N45" s="13"/>
      <c r="O45" s="13"/>
      <c r="P45" s="13"/>
      <c r="Q45" s="13"/>
      <c r="S45" s="17">
        <v>12</v>
      </c>
      <c r="T45" s="18"/>
      <c r="U45" s="17">
        <v>2</v>
      </c>
      <c r="V45" s="17" t="s">
        <v>55</v>
      </c>
      <c r="W45" s="18">
        <v>45</v>
      </c>
      <c r="X45" s="18" t="s">
        <v>342</v>
      </c>
      <c r="Y45" s="18">
        <v>30</v>
      </c>
      <c r="Z45" s="17" t="s">
        <v>51</v>
      </c>
      <c r="AA45" s="17">
        <v>1</v>
      </c>
      <c r="AB45" s="17" t="s">
        <v>165</v>
      </c>
      <c r="AC45" s="1">
        <f t="shared" si="0"/>
        <v>1</v>
      </c>
      <c r="AD45" s="1">
        <f t="shared" si="1"/>
        <v>0</v>
      </c>
      <c r="AE45" s="1">
        <f t="shared" si="2"/>
        <v>0</v>
      </c>
    </row>
    <row r="46" spans="1:41">
      <c r="B46" s="13"/>
      <c r="C46" s="13"/>
      <c r="D46" s="13"/>
      <c r="E46" s="13"/>
      <c r="F46" s="13"/>
      <c r="G46" s="13"/>
      <c r="H46" s="13"/>
      <c r="I46" s="13"/>
      <c r="J46" s="13"/>
      <c r="K46" s="13"/>
      <c r="L46" s="13"/>
      <c r="M46" s="13"/>
      <c r="N46" s="13"/>
      <c r="O46" s="13"/>
      <c r="P46" s="13"/>
      <c r="Q46" s="13"/>
      <c r="S46" s="17">
        <v>13</v>
      </c>
      <c r="T46" s="18"/>
      <c r="U46" s="17">
        <v>2</v>
      </c>
      <c r="V46" s="17" t="s">
        <v>55</v>
      </c>
      <c r="W46" s="18">
        <v>42</v>
      </c>
      <c r="X46" s="18" t="s">
        <v>342</v>
      </c>
      <c r="Y46" s="18">
        <v>33</v>
      </c>
      <c r="Z46" s="17" t="s">
        <v>63</v>
      </c>
      <c r="AA46" s="17">
        <v>1</v>
      </c>
      <c r="AB46" s="17" t="s">
        <v>177</v>
      </c>
      <c r="AC46" s="1">
        <f t="shared" si="0"/>
        <v>1</v>
      </c>
      <c r="AD46" s="1">
        <f t="shared" si="1"/>
        <v>0</v>
      </c>
      <c r="AE46" s="1">
        <f t="shared" si="2"/>
        <v>0</v>
      </c>
    </row>
    <row r="47" spans="1:41">
      <c r="S47" s="17">
        <v>14</v>
      </c>
      <c r="T47" s="18"/>
      <c r="U47" s="17">
        <v>1</v>
      </c>
      <c r="V47" s="17" t="s">
        <v>55</v>
      </c>
      <c r="W47" s="18">
        <v>25</v>
      </c>
      <c r="X47" s="18" t="s">
        <v>342</v>
      </c>
      <c r="Y47" s="18">
        <v>45</v>
      </c>
      <c r="Z47" s="17" t="s">
        <v>73</v>
      </c>
      <c r="AA47" s="17">
        <v>2</v>
      </c>
      <c r="AB47" s="17" t="s">
        <v>165</v>
      </c>
      <c r="AC47" s="1">
        <f t="shared" si="0"/>
        <v>0</v>
      </c>
      <c r="AD47" s="1">
        <f t="shared" si="1"/>
        <v>0</v>
      </c>
      <c r="AE47" s="1">
        <f t="shared" si="2"/>
        <v>1</v>
      </c>
    </row>
    <row r="48" spans="1:41">
      <c r="S48" s="17">
        <v>15</v>
      </c>
      <c r="T48" s="18"/>
      <c r="U48" s="17">
        <v>1</v>
      </c>
      <c r="V48" s="17" t="s">
        <v>55</v>
      </c>
      <c r="W48" s="18">
        <v>42</v>
      </c>
      <c r="X48" s="18" t="s">
        <v>342</v>
      </c>
      <c r="Y48" s="18">
        <v>33</v>
      </c>
      <c r="Z48" s="17" t="s">
        <v>27</v>
      </c>
      <c r="AA48" s="17">
        <v>2</v>
      </c>
      <c r="AB48" s="17" t="s">
        <v>173</v>
      </c>
      <c r="AC48" s="1">
        <f t="shared" si="0"/>
        <v>1</v>
      </c>
      <c r="AD48" s="1">
        <f t="shared" si="1"/>
        <v>0</v>
      </c>
      <c r="AE48" s="1">
        <f t="shared" si="2"/>
        <v>0</v>
      </c>
    </row>
    <row r="49" spans="19:31">
      <c r="S49" s="58" t="s">
        <v>339</v>
      </c>
      <c r="T49" s="58" t="s">
        <v>340</v>
      </c>
      <c r="U49" s="58" t="s">
        <v>341</v>
      </c>
      <c r="V49" s="58" t="s">
        <v>1</v>
      </c>
      <c r="W49" s="66" t="s">
        <v>220</v>
      </c>
      <c r="X49" s="66"/>
      <c r="Y49" s="66"/>
      <c r="Z49" s="58" t="s">
        <v>1</v>
      </c>
      <c r="AA49" s="58" t="s">
        <v>341</v>
      </c>
      <c r="AB49" s="58" t="s">
        <v>395</v>
      </c>
      <c r="AC49" s="1">
        <f t="shared" si="0"/>
        <v>1</v>
      </c>
      <c r="AD49" s="1">
        <f t="shared" si="1"/>
        <v>0</v>
      </c>
      <c r="AE49" s="1">
        <f t="shared" si="2"/>
        <v>0</v>
      </c>
    </row>
    <row r="50" spans="19:31">
      <c r="S50" s="17">
        <v>1</v>
      </c>
      <c r="T50" s="18"/>
      <c r="U50" s="17">
        <v>1</v>
      </c>
      <c r="V50" s="17" t="s">
        <v>27</v>
      </c>
      <c r="W50" s="18">
        <v>45</v>
      </c>
      <c r="X50" s="18" t="s">
        <v>342</v>
      </c>
      <c r="Y50" s="18">
        <v>0</v>
      </c>
      <c r="Z50" s="17" t="s">
        <v>85</v>
      </c>
      <c r="AA50" s="17">
        <v>2</v>
      </c>
      <c r="AB50" s="17" t="s">
        <v>177</v>
      </c>
      <c r="AC50" s="1">
        <f t="shared" si="0"/>
        <v>1</v>
      </c>
      <c r="AD50" s="1">
        <f t="shared" si="1"/>
        <v>0</v>
      </c>
      <c r="AE50" s="1">
        <f t="shared" si="2"/>
        <v>0</v>
      </c>
    </row>
    <row r="51" spans="19:31">
      <c r="S51" s="17">
        <v>2</v>
      </c>
      <c r="T51" s="18"/>
      <c r="U51" s="17">
        <v>2</v>
      </c>
      <c r="V51" s="17" t="s">
        <v>27</v>
      </c>
      <c r="W51" s="18">
        <v>45</v>
      </c>
      <c r="X51" s="18" t="s">
        <v>342</v>
      </c>
      <c r="Y51" s="18">
        <v>0</v>
      </c>
      <c r="Z51" s="17" t="s">
        <v>86</v>
      </c>
      <c r="AA51" s="17">
        <v>1</v>
      </c>
      <c r="AB51" s="17" t="s">
        <v>165</v>
      </c>
      <c r="AC51" s="1">
        <f t="shared" si="0"/>
        <v>1</v>
      </c>
      <c r="AD51" s="1">
        <f t="shared" si="1"/>
        <v>0</v>
      </c>
      <c r="AE51" s="1">
        <f t="shared" si="2"/>
        <v>0</v>
      </c>
    </row>
    <row r="52" spans="19:31">
      <c r="S52" s="17">
        <v>3</v>
      </c>
      <c r="T52" s="18"/>
      <c r="U52" s="17">
        <v>2</v>
      </c>
      <c r="V52" s="17" t="s">
        <v>27</v>
      </c>
      <c r="W52" s="18">
        <v>45</v>
      </c>
      <c r="X52" s="18" t="s">
        <v>342</v>
      </c>
      <c r="Y52" s="18">
        <v>0</v>
      </c>
      <c r="Z52" s="17" t="s">
        <v>343</v>
      </c>
      <c r="AA52" s="17">
        <v>1</v>
      </c>
      <c r="AB52" s="17" t="s">
        <v>181</v>
      </c>
      <c r="AC52" s="1">
        <f t="shared" si="0"/>
        <v>1</v>
      </c>
      <c r="AD52" s="1">
        <f t="shared" si="1"/>
        <v>0</v>
      </c>
      <c r="AE52" s="1">
        <f t="shared" si="2"/>
        <v>0</v>
      </c>
    </row>
    <row r="53" spans="19:31">
      <c r="S53" s="17">
        <v>4</v>
      </c>
      <c r="T53" s="18"/>
      <c r="U53" s="17">
        <v>1</v>
      </c>
      <c r="V53" s="17" t="s">
        <v>27</v>
      </c>
      <c r="W53" s="18">
        <v>45</v>
      </c>
      <c r="X53" s="18" t="s">
        <v>342</v>
      </c>
      <c r="Y53" s="18">
        <v>0</v>
      </c>
      <c r="Z53" s="17" t="s">
        <v>343</v>
      </c>
      <c r="AA53" s="17">
        <v>2</v>
      </c>
      <c r="AB53" s="17" t="s">
        <v>173</v>
      </c>
      <c r="AC53" s="1">
        <f t="shared" si="0"/>
        <v>1</v>
      </c>
      <c r="AD53" s="1">
        <f t="shared" si="1"/>
        <v>0</v>
      </c>
      <c r="AE53" s="1">
        <f t="shared" si="2"/>
        <v>0</v>
      </c>
    </row>
    <row r="54" spans="19:31">
      <c r="S54" s="17">
        <v>5</v>
      </c>
      <c r="T54" s="18"/>
      <c r="U54" s="17">
        <v>2</v>
      </c>
      <c r="V54" s="17" t="s">
        <v>27</v>
      </c>
      <c r="W54" s="18">
        <v>45</v>
      </c>
      <c r="X54" s="18" t="s">
        <v>342</v>
      </c>
      <c r="Y54" s="18">
        <v>10</v>
      </c>
      <c r="Z54" s="17" t="s">
        <v>101</v>
      </c>
      <c r="AA54" s="17">
        <v>1</v>
      </c>
      <c r="AB54" s="17" t="s">
        <v>177</v>
      </c>
      <c r="AC54" s="1">
        <f t="shared" si="0"/>
        <v>1</v>
      </c>
      <c r="AD54" s="1">
        <f t="shared" si="1"/>
        <v>0</v>
      </c>
      <c r="AE54" s="1">
        <f t="shared" si="2"/>
        <v>0</v>
      </c>
    </row>
    <row r="55" spans="19:31">
      <c r="S55" s="17">
        <v>6</v>
      </c>
      <c r="T55" s="18"/>
      <c r="U55" s="17">
        <v>2</v>
      </c>
      <c r="V55" s="17" t="s">
        <v>27</v>
      </c>
      <c r="W55" s="18">
        <v>45</v>
      </c>
      <c r="X55" s="18" t="s">
        <v>342</v>
      </c>
      <c r="Y55" s="18">
        <v>18</v>
      </c>
      <c r="Z55" s="17" t="s">
        <v>43</v>
      </c>
      <c r="AA55" s="17">
        <v>1</v>
      </c>
      <c r="AB55" s="17" t="s">
        <v>181</v>
      </c>
      <c r="AC55" s="1">
        <f t="shared" si="0"/>
        <v>1</v>
      </c>
      <c r="AD55" s="1">
        <f t="shared" si="1"/>
        <v>0</v>
      </c>
      <c r="AE55" s="1">
        <f t="shared" si="2"/>
        <v>0</v>
      </c>
    </row>
    <row r="56" spans="19:31">
      <c r="S56" s="17">
        <v>7</v>
      </c>
      <c r="T56" s="18"/>
      <c r="U56" s="17">
        <v>1</v>
      </c>
      <c r="V56" s="17" t="s">
        <v>27</v>
      </c>
      <c r="W56" s="18">
        <v>45</v>
      </c>
      <c r="X56" s="18" t="s">
        <v>342</v>
      </c>
      <c r="Y56" s="18">
        <v>16</v>
      </c>
      <c r="Z56" s="17" t="s">
        <v>127</v>
      </c>
      <c r="AA56" s="17">
        <v>2</v>
      </c>
      <c r="AB56" s="17" t="s">
        <v>165</v>
      </c>
      <c r="AC56" s="1">
        <f t="shared" si="0"/>
        <v>1</v>
      </c>
      <c r="AD56" s="1">
        <f t="shared" si="1"/>
        <v>0</v>
      </c>
      <c r="AE56" s="1">
        <f t="shared" si="2"/>
        <v>0</v>
      </c>
    </row>
    <row r="57" spans="19:31">
      <c r="S57" s="17">
        <v>8</v>
      </c>
      <c r="T57" s="18"/>
      <c r="U57" s="17">
        <v>2</v>
      </c>
      <c r="V57" s="17" t="s">
        <v>27</v>
      </c>
      <c r="W57" s="18">
        <v>45</v>
      </c>
      <c r="X57" s="18" t="s">
        <v>342</v>
      </c>
      <c r="Y57" s="18">
        <v>3</v>
      </c>
      <c r="Z57" s="17" t="s">
        <v>75</v>
      </c>
      <c r="AA57" s="17">
        <v>1</v>
      </c>
      <c r="AB57" s="17" t="s">
        <v>173</v>
      </c>
      <c r="AC57" s="1">
        <f t="shared" si="0"/>
        <v>1</v>
      </c>
      <c r="AD57" s="1">
        <f t="shared" si="1"/>
        <v>0</v>
      </c>
      <c r="AE57" s="1">
        <f t="shared" si="2"/>
        <v>0</v>
      </c>
    </row>
    <row r="58" spans="19:31">
      <c r="S58" s="17">
        <v>9</v>
      </c>
      <c r="T58" s="18"/>
      <c r="U58" s="17">
        <v>1</v>
      </c>
      <c r="V58" s="17" t="s">
        <v>27</v>
      </c>
      <c r="W58" s="18">
        <v>42</v>
      </c>
      <c r="X58" s="18" t="s">
        <v>342</v>
      </c>
      <c r="Y58" s="18">
        <v>28</v>
      </c>
      <c r="Z58" s="17" t="s">
        <v>47</v>
      </c>
      <c r="AA58" s="17">
        <v>2</v>
      </c>
      <c r="AB58" s="17" t="s">
        <v>181</v>
      </c>
      <c r="AC58" s="1">
        <f t="shared" si="0"/>
        <v>1</v>
      </c>
      <c r="AD58" s="1">
        <f t="shared" si="1"/>
        <v>0</v>
      </c>
      <c r="AE58" s="1">
        <f t="shared" si="2"/>
        <v>0</v>
      </c>
    </row>
    <row r="59" spans="19:31">
      <c r="S59" s="17">
        <v>10</v>
      </c>
      <c r="T59" s="18"/>
      <c r="U59" s="17">
        <v>2</v>
      </c>
      <c r="V59" s="17" t="s">
        <v>27</v>
      </c>
      <c r="W59" s="18">
        <v>42</v>
      </c>
      <c r="X59" s="18" t="s">
        <v>342</v>
      </c>
      <c r="Y59" s="18">
        <v>28</v>
      </c>
      <c r="Z59" s="17" t="s">
        <v>117</v>
      </c>
      <c r="AA59" s="17">
        <v>1</v>
      </c>
      <c r="AB59" s="17" t="s">
        <v>177</v>
      </c>
      <c r="AC59" s="1">
        <f t="shared" si="0"/>
        <v>1</v>
      </c>
      <c r="AD59" s="1">
        <f t="shared" si="1"/>
        <v>0</v>
      </c>
      <c r="AE59" s="1">
        <f t="shared" si="2"/>
        <v>0</v>
      </c>
    </row>
    <row r="60" spans="19:31">
      <c r="S60" s="17">
        <v>11</v>
      </c>
      <c r="T60" s="18"/>
      <c r="U60" s="17">
        <v>1</v>
      </c>
      <c r="V60" s="17" t="s">
        <v>27</v>
      </c>
      <c r="W60" s="18">
        <v>36</v>
      </c>
      <c r="X60" s="18" t="s">
        <v>342</v>
      </c>
      <c r="Y60" s="18">
        <v>39</v>
      </c>
      <c r="Z60" s="17" t="s">
        <v>51</v>
      </c>
      <c r="AA60" s="17">
        <v>2</v>
      </c>
      <c r="AB60" s="17" t="s">
        <v>173</v>
      </c>
      <c r="AC60" s="1">
        <f t="shared" si="0"/>
        <v>0</v>
      </c>
      <c r="AD60" s="1">
        <f t="shared" si="1"/>
        <v>0</v>
      </c>
      <c r="AE60" s="1">
        <f t="shared" si="2"/>
        <v>1</v>
      </c>
    </row>
    <row r="61" spans="19:31">
      <c r="S61" s="17">
        <v>12</v>
      </c>
      <c r="T61" s="18"/>
      <c r="U61" s="17">
        <v>2</v>
      </c>
      <c r="V61" s="17" t="s">
        <v>27</v>
      </c>
      <c r="W61" s="18">
        <v>45</v>
      </c>
      <c r="X61" s="18" t="s">
        <v>342</v>
      </c>
      <c r="Y61" s="18">
        <v>21</v>
      </c>
      <c r="Z61" s="17" t="s">
        <v>69</v>
      </c>
      <c r="AA61" s="17">
        <v>1</v>
      </c>
      <c r="AB61" s="17" t="s">
        <v>165</v>
      </c>
      <c r="AC61" s="1">
        <f t="shared" si="0"/>
        <v>1</v>
      </c>
      <c r="AD61" s="1">
        <f t="shared" si="1"/>
        <v>0</v>
      </c>
      <c r="AE61" s="1">
        <f t="shared" si="2"/>
        <v>0</v>
      </c>
    </row>
    <row r="62" spans="19:31">
      <c r="S62" s="17">
        <v>13</v>
      </c>
      <c r="T62" s="18"/>
      <c r="U62" s="17">
        <v>2</v>
      </c>
      <c r="V62" s="17" t="s">
        <v>27</v>
      </c>
      <c r="W62" s="18">
        <v>39</v>
      </c>
      <c r="X62" s="18" t="s">
        <v>342</v>
      </c>
      <c r="Y62" s="18">
        <v>36</v>
      </c>
      <c r="Z62" s="17" t="s">
        <v>73</v>
      </c>
      <c r="AA62" s="17">
        <v>1</v>
      </c>
      <c r="AB62" s="17" t="s">
        <v>177</v>
      </c>
      <c r="AC62" s="1">
        <f t="shared" si="0"/>
        <v>1</v>
      </c>
      <c r="AD62" s="1">
        <f t="shared" si="1"/>
        <v>0</v>
      </c>
      <c r="AE62" s="1">
        <f t="shared" si="2"/>
        <v>0</v>
      </c>
    </row>
    <row r="63" spans="19:31">
      <c r="S63" s="17">
        <v>14</v>
      </c>
      <c r="T63" s="18"/>
      <c r="U63" s="17">
        <v>2</v>
      </c>
      <c r="V63" s="17" t="s">
        <v>27</v>
      </c>
      <c r="W63" s="18">
        <v>24</v>
      </c>
      <c r="X63" s="18" t="s">
        <v>342</v>
      </c>
      <c r="Y63" s="18">
        <v>42</v>
      </c>
      <c r="Z63" s="17" t="s">
        <v>63</v>
      </c>
      <c r="AA63" s="17">
        <v>1</v>
      </c>
      <c r="AB63" s="17" t="s">
        <v>165</v>
      </c>
      <c r="AC63" s="1">
        <f t="shared" si="0"/>
        <v>0</v>
      </c>
      <c r="AD63" s="1">
        <f t="shared" si="1"/>
        <v>0</v>
      </c>
      <c r="AE63" s="1">
        <f t="shared" si="2"/>
        <v>1</v>
      </c>
    </row>
    <row r="64" spans="19:31">
      <c r="S64" s="17">
        <v>15</v>
      </c>
      <c r="T64" s="18"/>
      <c r="U64" s="17">
        <v>2</v>
      </c>
      <c r="V64" s="17" t="s">
        <v>27</v>
      </c>
      <c r="W64" s="18">
        <v>33</v>
      </c>
      <c r="X64" s="18" t="s">
        <v>342</v>
      </c>
      <c r="Y64" s="18">
        <v>42</v>
      </c>
      <c r="Z64" s="17" t="s">
        <v>55</v>
      </c>
      <c r="AA64" s="17">
        <v>1</v>
      </c>
      <c r="AB64" s="17" t="s">
        <v>173</v>
      </c>
      <c r="AC64" s="1">
        <f t="shared" si="0"/>
        <v>0</v>
      </c>
      <c r="AD64" s="1">
        <f t="shared" si="1"/>
        <v>0</v>
      </c>
      <c r="AE64" s="1">
        <f t="shared" si="2"/>
        <v>1</v>
      </c>
    </row>
    <row r="65" spans="19:31">
      <c r="S65" s="58" t="s">
        <v>339</v>
      </c>
      <c r="T65" s="58" t="s">
        <v>340</v>
      </c>
      <c r="U65" s="58" t="s">
        <v>341</v>
      </c>
      <c r="V65" s="58" t="s">
        <v>1</v>
      </c>
      <c r="W65" s="66" t="s">
        <v>220</v>
      </c>
      <c r="X65" s="66"/>
      <c r="Y65" s="66"/>
      <c r="Z65" s="58" t="s">
        <v>1</v>
      </c>
      <c r="AA65" s="58" t="s">
        <v>341</v>
      </c>
      <c r="AB65" s="58" t="s">
        <v>395</v>
      </c>
      <c r="AC65" s="1">
        <f t="shared" si="0"/>
        <v>1</v>
      </c>
      <c r="AD65" s="1">
        <f t="shared" si="1"/>
        <v>0</v>
      </c>
      <c r="AE65" s="1">
        <f t="shared" si="2"/>
        <v>0</v>
      </c>
    </row>
    <row r="66" spans="19:31">
      <c r="S66" s="17">
        <v>1</v>
      </c>
      <c r="T66" s="18"/>
      <c r="U66" s="17">
        <v>2</v>
      </c>
      <c r="V66" s="17" t="s">
        <v>47</v>
      </c>
      <c r="W66" s="18">
        <v>42</v>
      </c>
      <c r="X66" s="18" t="s">
        <v>342</v>
      </c>
      <c r="Y66" s="18">
        <v>7</v>
      </c>
      <c r="Z66" s="17" t="s">
        <v>75</v>
      </c>
      <c r="AA66" s="17">
        <v>1</v>
      </c>
      <c r="AB66" s="17" t="s">
        <v>177</v>
      </c>
      <c r="AC66" s="1">
        <f t="shared" si="0"/>
        <v>1</v>
      </c>
      <c r="AD66" s="1">
        <f t="shared" si="1"/>
        <v>0</v>
      </c>
      <c r="AE66" s="1">
        <f t="shared" si="2"/>
        <v>0</v>
      </c>
    </row>
    <row r="67" spans="19:31">
      <c r="S67" s="17">
        <v>2</v>
      </c>
      <c r="T67" s="18"/>
      <c r="U67" s="17">
        <v>2</v>
      </c>
      <c r="V67" s="17" t="s">
        <v>47</v>
      </c>
      <c r="W67" s="18">
        <v>45</v>
      </c>
      <c r="X67" s="18" t="s">
        <v>342</v>
      </c>
      <c r="Y67" s="18">
        <v>12</v>
      </c>
      <c r="Z67" s="17" t="s">
        <v>127</v>
      </c>
      <c r="AA67" s="17">
        <v>1</v>
      </c>
      <c r="AB67" s="17" t="s">
        <v>165</v>
      </c>
      <c r="AC67" s="1">
        <f t="shared" ref="AC67:AC130" si="3">IF(W67="",0,IF(W67&gt;Y67,1,0))</f>
        <v>1</v>
      </c>
      <c r="AD67" s="1">
        <f t="shared" ref="AD67:AD130" si="4">IF(W67="",0,IF(W67=Y67,1,0))</f>
        <v>0</v>
      </c>
      <c r="AE67" s="1">
        <f t="shared" ref="AE67:AE130" si="5">IF(W67="",0,IF(W67&lt;Y67,1,0))</f>
        <v>0</v>
      </c>
    </row>
    <row r="68" spans="19:31">
      <c r="S68" s="17">
        <v>3</v>
      </c>
      <c r="T68" s="18"/>
      <c r="U68" s="17">
        <v>2</v>
      </c>
      <c r="V68" s="17" t="s">
        <v>47</v>
      </c>
      <c r="W68" s="18">
        <v>45</v>
      </c>
      <c r="X68" s="18" t="s">
        <v>342</v>
      </c>
      <c r="Y68" s="18">
        <v>19</v>
      </c>
      <c r="Z68" s="17" t="s">
        <v>43</v>
      </c>
      <c r="AA68" s="17">
        <v>1</v>
      </c>
      <c r="AB68" s="17" t="s">
        <v>181</v>
      </c>
      <c r="AC68" s="1">
        <f t="shared" si="3"/>
        <v>1</v>
      </c>
      <c r="AD68" s="1">
        <f t="shared" si="4"/>
        <v>0</v>
      </c>
      <c r="AE68" s="1">
        <f t="shared" si="5"/>
        <v>0</v>
      </c>
    </row>
    <row r="69" spans="19:31">
      <c r="S69" s="17">
        <v>4</v>
      </c>
      <c r="T69" s="18"/>
      <c r="U69" s="17">
        <v>1</v>
      </c>
      <c r="V69" s="17" t="s">
        <v>47</v>
      </c>
      <c r="W69" s="18">
        <v>45</v>
      </c>
      <c r="X69" s="18" t="s">
        <v>342</v>
      </c>
      <c r="Y69" s="18">
        <v>24</v>
      </c>
      <c r="Z69" s="17" t="s">
        <v>101</v>
      </c>
      <c r="AA69" s="17">
        <v>2</v>
      </c>
      <c r="AB69" s="17" t="s">
        <v>173</v>
      </c>
      <c r="AC69" s="1">
        <f t="shared" si="3"/>
        <v>1</v>
      </c>
      <c r="AD69" s="1">
        <f t="shared" si="4"/>
        <v>0</v>
      </c>
      <c r="AE69" s="1">
        <f t="shared" si="5"/>
        <v>0</v>
      </c>
    </row>
    <row r="70" spans="19:31">
      <c r="S70" s="17">
        <v>5</v>
      </c>
      <c r="T70" s="18"/>
      <c r="U70" s="17">
        <v>2</v>
      </c>
      <c r="V70" s="17" t="s">
        <v>47</v>
      </c>
      <c r="W70" s="18">
        <v>45</v>
      </c>
      <c r="X70" s="18" t="s">
        <v>342</v>
      </c>
      <c r="Y70" s="18">
        <v>0</v>
      </c>
      <c r="Z70" s="17" t="s">
        <v>343</v>
      </c>
      <c r="AA70" s="17">
        <v>1</v>
      </c>
      <c r="AB70" s="17" t="s">
        <v>177</v>
      </c>
      <c r="AC70" s="1">
        <f t="shared" si="3"/>
        <v>1</v>
      </c>
      <c r="AD70" s="1">
        <f t="shared" si="4"/>
        <v>0</v>
      </c>
      <c r="AE70" s="1">
        <f t="shared" si="5"/>
        <v>0</v>
      </c>
    </row>
    <row r="71" spans="19:31">
      <c r="S71" s="17">
        <v>6</v>
      </c>
      <c r="T71" s="18"/>
      <c r="U71" s="17">
        <v>1</v>
      </c>
      <c r="V71" s="17" t="s">
        <v>47</v>
      </c>
      <c r="W71" s="18">
        <v>45</v>
      </c>
      <c r="X71" s="18" t="s">
        <v>342</v>
      </c>
      <c r="Y71" s="18">
        <v>0</v>
      </c>
      <c r="Z71" s="17" t="s">
        <v>343</v>
      </c>
      <c r="AA71" s="17">
        <v>2</v>
      </c>
      <c r="AB71" s="17" t="s">
        <v>181</v>
      </c>
      <c r="AC71" s="1">
        <f t="shared" si="3"/>
        <v>1</v>
      </c>
      <c r="AD71" s="1">
        <f t="shared" si="4"/>
        <v>0</v>
      </c>
      <c r="AE71" s="1">
        <f t="shared" si="5"/>
        <v>0</v>
      </c>
    </row>
    <row r="72" spans="19:31">
      <c r="S72" s="17">
        <v>7</v>
      </c>
      <c r="T72" s="18"/>
      <c r="U72" s="17">
        <v>2</v>
      </c>
      <c r="V72" s="17" t="s">
        <v>47</v>
      </c>
      <c r="W72" s="18">
        <v>45</v>
      </c>
      <c r="X72" s="18" t="s">
        <v>342</v>
      </c>
      <c r="Y72" s="18">
        <v>0</v>
      </c>
      <c r="Z72" s="17" t="s">
        <v>86</v>
      </c>
      <c r="AA72" s="17">
        <v>1</v>
      </c>
      <c r="AB72" s="17" t="s">
        <v>165</v>
      </c>
      <c r="AC72" s="1">
        <f t="shared" si="3"/>
        <v>1</v>
      </c>
      <c r="AD72" s="1">
        <f t="shared" si="4"/>
        <v>0</v>
      </c>
      <c r="AE72" s="1">
        <f t="shared" si="5"/>
        <v>0</v>
      </c>
    </row>
    <row r="73" spans="19:31">
      <c r="S73" s="17">
        <v>8</v>
      </c>
      <c r="T73" s="18"/>
      <c r="U73" s="17">
        <v>2</v>
      </c>
      <c r="V73" s="17" t="s">
        <v>47</v>
      </c>
      <c r="W73" s="18">
        <v>45</v>
      </c>
      <c r="X73" s="18" t="s">
        <v>342</v>
      </c>
      <c r="Y73" s="18">
        <v>0</v>
      </c>
      <c r="Z73" s="17" t="s">
        <v>85</v>
      </c>
      <c r="AA73" s="17">
        <v>1</v>
      </c>
      <c r="AB73" s="17" t="s">
        <v>173</v>
      </c>
      <c r="AC73" s="1">
        <f t="shared" si="3"/>
        <v>1</v>
      </c>
      <c r="AD73" s="1">
        <f t="shared" si="4"/>
        <v>0</v>
      </c>
      <c r="AE73" s="1">
        <f t="shared" si="5"/>
        <v>0</v>
      </c>
    </row>
    <row r="74" spans="19:31">
      <c r="S74" s="17">
        <v>9</v>
      </c>
      <c r="T74" s="18"/>
      <c r="U74" s="17">
        <v>2</v>
      </c>
      <c r="V74" s="17" t="s">
        <v>47</v>
      </c>
      <c r="W74" s="18">
        <v>28</v>
      </c>
      <c r="X74" s="18" t="s">
        <v>342</v>
      </c>
      <c r="Y74" s="18">
        <v>42</v>
      </c>
      <c r="Z74" s="17" t="s">
        <v>27</v>
      </c>
      <c r="AA74" s="17">
        <v>1</v>
      </c>
      <c r="AB74" s="17" t="s">
        <v>181</v>
      </c>
      <c r="AC74" s="1">
        <f t="shared" si="3"/>
        <v>0</v>
      </c>
      <c r="AD74" s="1">
        <f t="shared" si="4"/>
        <v>0</v>
      </c>
      <c r="AE74" s="1">
        <f t="shared" si="5"/>
        <v>1</v>
      </c>
    </row>
    <row r="75" spans="19:31">
      <c r="S75" s="17">
        <v>10</v>
      </c>
      <c r="T75" s="18"/>
      <c r="U75" s="17">
        <v>2</v>
      </c>
      <c r="V75" s="17" t="s">
        <v>47</v>
      </c>
      <c r="W75" s="18">
        <v>33</v>
      </c>
      <c r="X75" s="18" t="s">
        <v>342</v>
      </c>
      <c r="Y75" s="18">
        <v>42</v>
      </c>
      <c r="Z75" s="17" t="s">
        <v>55</v>
      </c>
      <c r="AA75" s="17">
        <v>1</v>
      </c>
      <c r="AB75" s="17" t="s">
        <v>177</v>
      </c>
      <c r="AC75" s="1">
        <f t="shared" si="3"/>
        <v>0</v>
      </c>
      <c r="AD75" s="1">
        <f t="shared" si="4"/>
        <v>0</v>
      </c>
      <c r="AE75" s="1">
        <f t="shared" si="5"/>
        <v>1</v>
      </c>
    </row>
    <row r="76" spans="19:31">
      <c r="S76" s="17">
        <v>11</v>
      </c>
      <c r="T76" s="18"/>
      <c r="U76" s="17">
        <v>2</v>
      </c>
      <c r="V76" s="17" t="s">
        <v>47</v>
      </c>
      <c r="W76" s="18">
        <v>33</v>
      </c>
      <c r="X76" s="18" t="s">
        <v>342</v>
      </c>
      <c r="Y76" s="18">
        <v>42</v>
      </c>
      <c r="Z76" s="17" t="s">
        <v>63</v>
      </c>
      <c r="AA76" s="17">
        <v>1</v>
      </c>
      <c r="AB76" s="17" t="s">
        <v>173</v>
      </c>
      <c r="AC76" s="1">
        <f t="shared" si="3"/>
        <v>0</v>
      </c>
      <c r="AD76" s="1">
        <f t="shared" si="4"/>
        <v>0</v>
      </c>
      <c r="AE76" s="1">
        <f t="shared" si="5"/>
        <v>1</v>
      </c>
    </row>
    <row r="77" spans="19:31">
      <c r="S77" s="17">
        <v>12</v>
      </c>
      <c r="T77" s="18"/>
      <c r="U77" s="17">
        <v>1</v>
      </c>
      <c r="V77" s="17" t="s">
        <v>47</v>
      </c>
      <c r="W77" s="18">
        <v>30</v>
      </c>
      <c r="X77" s="18" t="s">
        <v>342</v>
      </c>
      <c r="Y77" s="18">
        <v>45</v>
      </c>
      <c r="Z77" s="17" t="s">
        <v>73</v>
      </c>
      <c r="AA77" s="17">
        <v>2</v>
      </c>
      <c r="AB77" s="17" t="s">
        <v>165</v>
      </c>
      <c r="AC77" s="1">
        <f t="shared" si="3"/>
        <v>0</v>
      </c>
      <c r="AD77" s="1">
        <f t="shared" si="4"/>
        <v>0</v>
      </c>
      <c r="AE77" s="1">
        <f t="shared" si="5"/>
        <v>1</v>
      </c>
    </row>
    <row r="78" spans="19:31">
      <c r="S78" s="17">
        <v>13</v>
      </c>
      <c r="T78" s="18"/>
      <c r="U78" s="17">
        <v>1</v>
      </c>
      <c r="V78" s="17" t="s">
        <v>47</v>
      </c>
      <c r="W78" s="18">
        <v>45</v>
      </c>
      <c r="X78" s="18" t="s">
        <v>342</v>
      </c>
      <c r="Y78" s="18">
        <v>27</v>
      </c>
      <c r="Z78" s="17" t="s">
        <v>69</v>
      </c>
      <c r="AA78" s="17">
        <v>2</v>
      </c>
      <c r="AB78" s="17" t="s">
        <v>177</v>
      </c>
      <c r="AC78" s="1">
        <f t="shared" si="3"/>
        <v>1</v>
      </c>
      <c r="AD78" s="1">
        <f t="shared" si="4"/>
        <v>0</v>
      </c>
      <c r="AE78" s="1">
        <f t="shared" si="5"/>
        <v>0</v>
      </c>
    </row>
    <row r="79" spans="19:31">
      <c r="S79" s="17">
        <v>14</v>
      </c>
      <c r="T79" s="18"/>
      <c r="U79" s="17">
        <v>2</v>
      </c>
      <c r="V79" s="17" t="s">
        <v>47</v>
      </c>
      <c r="W79" s="18">
        <v>45</v>
      </c>
      <c r="X79" s="18" t="s">
        <v>342</v>
      </c>
      <c r="Y79" s="18">
        <v>30</v>
      </c>
      <c r="Z79" s="17" t="s">
        <v>51</v>
      </c>
      <c r="AA79" s="17">
        <v>1</v>
      </c>
      <c r="AB79" s="17" t="s">
        <v>165</v>
      </c>
      <c r="AC79" s="1">
        <f t="shared" si="3"/>
        <v>1</v>
      </c>
      <c r="AD79" s="1">
        <f t="shared" si="4"/>
        <v>0</v>
      </c>
      <c r="AE79" s="1">
        <f t="shared" si="5"/>
        <v>0</v>
      </c>
    </row>
    <row r="80" spans="19:31">
      <c r="S80" s="17">
        <v>15</v>
      </c>
      <c r="T80" s="18"/>
      <c r="U80" s="17">
        <v>2</v>
      </c>
      <c r="V80" s="17" t="s">
        <v>47</v>
      </c>
      <c r="W80" s="18">
        <v>39</v>
      </c>
      <c r="X80" s="18" t="s">
        <v>342</v>
      </c>
      <c r="Y80" s="18">
        <v>36</v>
      </c>
      <c r="Z80" s="17" t="s">
        <v>117</v>
      </c>
      <c r="AA80" s="17">
        <v>1</v>
      </c>
      <c r="AB80" s="17" t="s">
        <v>173</v>
      </c>
      <c r="AC80" s="1">
        <f t="shared" si="3"/>
        <v>1</v>
      </c>
      <c r="AD80" s="1">
        <f t="shared" si="4"/>
        <v>0</v>
      </c>
      <c r="AE80" s="1">
        <f t="shared" si="5"/>
        <v>0</v>
      </c>
    </row>
    <row r="81" spans="19:31">
      <c r="S81" s="58" t="s">
        <v>339</v>
      </c>
      <c r="T81" s="58" t="s">
        <v>340</v>
      </c>
      <c r="U81" s="58" t="s">
        <v>341</v>
      </c>
      <c r="V81" s="58" t="s">
        <v>1</v>
      </c>
      <c r="W81" s="66" t="s">
        <v>220</v>
      </c>
      <c r="X81" s="66"/>
      <c r="Y81" s="66"/>
      <c r="Z81" s="58" t="s">
        <v>1</v>
      </c>
      <c r="AA81" s="58" t="s">
        <v>341</v>
      </c>
      <c r="AB81" s="58" t="s">
        <v>395</v>
      </c>
      <c r="AC81" s="1">
        <f t="shared" si="3"/>
        <v>1</v>
      </c>
      <c r="AD81" s="1">
        <f t="shared" si="4"/>
        <v>0</v>
      </c>
      <c r="AE81" s="1">
        <f t="shared" si="5"/>
        <v>0</v>
      </c>
    </row>
    <row r="82" spans="19:31">
      <c r="S82" s="17">
        <v>1</v>
      </c>
      <c r="T82" s="18"/>
      <c r="U82" s="17">
        <v>1</v>
      </c>
      <c r="V82" s="17" t="s">
        <v>117</v>
      </c>
      <c r="W82" s="18">
        <v>45</v>
      </c>
      <c r="X82" s="18" t="s">
        <v>342</v>
      </c>
      <c r="Y82" s="18">
        <v>13</v>
      </c>
      <c r="Z82" s="17" t="s">
        <v>127</v>
      </c>
      <c r="AA82" s="17">
        <v>2</v>
      </c>
      <c r="AB82" s="17" t="s">
        <v>177</v>
      </c>
      <c r="AC82" s="1">
        <f t="shared" si="3"/>
        <v>1</v>
      </c>
      <c r="AD82" s="1">
        <f t="shared" si="4"/>
        <v>0</v>
      </c>
      <c r="AE82" s="1">
        <f t="shared" si="5"/>
        <v>0</v>
      </c>
    </row>
    <row r="83" spans="19:31">
      <c r="S83" s="17">
        <v>2</v>
      </c>
      <c r="T83" s="18"/>
      <c r="U83" s="17">
        <v>1</v>
      </c>
      <c r="V83" s="17" t="s">
        <v>117</v>
      </c>
      <c r="W83" s="18">
        <v>39</v>
      </c>
      <c r="X83" s="18" t="s">
        <v>342</v>
      </c>
      <c r="Y83" s="18">
        <v>6</v>
      </c>
      <c r="Z83" s="17" t="s">
        <v>75</v>
      </c>
      <c r="AA83" s="17">
        <v>2</v>
      </c>
      <c r="AB83" s="17" t="s">
        <v>165</v>
      </c>
      <c r="AC83" s="1">
        <f t="shared" si="3"/>
        <v>1</v>
      </c>
      <c r="AD83" s="1">
        <f t="shared" si="4"/>
        <v>0</v>
      </c>
      <c r="AE83" s="1">
        <f t="shared" si="5"/>
        <v>0</v>
      </c>
    </row>
    <row r="84" spans="19:31">
      <c r="S84" s="17">
        <v>3</v>
      </c>
      <c r="T84" s="18"/>
      <c r="U84" s="17">
        <v>2</v>
      </c>
      <c r="V84" s="17" t="s">
        <v>117</v>
      </c>
      <c r="W84" s="18">
        <v>34</v>
      </c>
      <c r="X84" s="18" t="s">
        <v>342</v>
      </c>
      <c r="Y84" s="18">
        <v>25</v>
      </c>
      <c r="Z84" s="17" t="s">
        <v>101</v>
      </c>
      <c r="AA84" s="17">
        <v>1</v>
      </c>
      <c r="AB84" s="17" t="s">
        <v>181</v>
      </c>
      <c r="AC84" s="1">
        <f t="shared" si="3"/>
        <v>1</v>
      </c>
      <c r="AD84" s="1">
        <f t="shared" si="4"/>
        <v>0</v>
      </c>
      <c r="AE84" s="1">
        <f t="shared" si="5"/>
        <v>0</v>
      </c>
    </row>
    <row r="85" spans="19:31">
      <c r="S85" s="17">
        <v>4</v>
      </c>
      <c r="T85" s="18"/>
      <c r="U85" s="17">
        <v>1</v>
      </c>
      <c r="V85" s="17" t="s">
        <v>117</v>
      </c>
      <c r="W85" s="18">
        <v>42</v>
      </c>
      <c r="X85" s="18" t="s">
        <v>342</v>
      </c>
      <c r="Y85" s="18">
        <v>27</v>
      </c>
      <c r="Z85" s="17" t="s">
        <v>43</v>
      </c>
      <c r="AA85" s="17">
        <v>2</v>
      </c>
      <c r="AB85" s="17" t="s">
        <v>173</v>
      </c>
      <c r="AC85" s="1">
        <f t="shared" si="3"/>
        <v>1</v>
      </c>
      <c r="AD85" s="1">
        <f t="shared" si="4"/>
        <v>0</v>
      </c>
      <c r="AE85" s="1">
        <f t="shared" si="5"/>
        <v>0</v>
      </c>
    </row>
    <row r="86" spans="19:31">
      <c r="S86" s="17">
        <v>5</v>
      </c>
      <c r="T86" s="18"/>
      <c r="U86" s="17">
        <v>2</v>
      </c>
      <c r="V86" s="17" t="s">
        <v>117</v>
      </c>
      <c r="W86" s="18">
        <v>45</v>
      </c>
      <c r="X86" s="18" t="s">
        <v>342</v>
      </c>
      <c r="Y86" s="18">
        <v>0</v>
      </c>
      <c r="Z86" s="17" t="s">
        <v>343</v>
      </c>
      <c r="AA86" s="17">
        <v>1</v>
      </c>
      <c r="AB86" s="17" t="s">
        <v>177</v>
      </c>
      <c r="AC86" s="1">
        <f t="shared" si="3"/>
        <v>1</v>
      </c>
      <c r="AD86" s="1">
        <f t="shared" si="4"/>
        <v>0</v>
      </c>
      <c r="AE86" s="1">
        <f t="shared" si="5"/>
        <v>0</v>
      </c>
    </row>
    <row r="87" spans="19:31">
      <c r="S87" s="17">
        <v>6</v>
      </c>
      <c r="T87" s="18"/>
      <c r="U87" s="17">
        <v>2</v>
      </c>
      <c r="V87" s="17" t="s">
        <v>117</v>
      </c>
      <c r="W87" s="18">
        <v>45</v>
      </c>
      <c r="X87" s="18" t="s">
        <v>342</v>
      </c>
      <c r="Y87" s="18">
        <v>0</v>
      </c>
      <c r="Z87" s="17" t="s">
        <v>343</v>
      </c>
      <c r="AA87" s="17">
        <v>1</v>
      </c>
      <c r="AB87" s="17" t="s">
        <v>181</v>
      </c>
      <c r="AC87" s="1">
        <f t="shared" si="3"/>
        <v>1</v>
      </c>
      <c r="AD87" s="1">
        <f t="shared" si="4"/>
        <v>0</v>
      </c>
      <c r="AE87" s="1">
        <f t="shared" si="5"/>
        <v>0</v>
      </c>
    </row>
    <row r="88" spans="19:31">
      <c r="S88" s="17">
        <v>7</v>
      </c>
      <c r="T88" s="18"/>
      <c r="U88" s="17">
        <v>2</v>
      </c>
      <c r="V88" s="17" t="s">
        <v>117</v>
      </c>
      <c r="W88" s="18">
        <v>42</v>
      </c>
      <c r="X88" s="18" t="s">
        <v>342</v>
      </c>
      <c r="Y88" s="18">
        <v>1</v>
      </c>
      <c r="Z88" s="17" t="s">
        <v>85</v>
      </c>
      <c r="AA88" s="17">
        <v>1</v>
      </c>
      <c r="AB88" s="17" t="s">
        <v>165</v>
      </c>
      <c r="AC88" s="1">
        <f t="shared" si="3"/>
        <v>1</v>
      </c>
      <c r="AD88" s="1">
        <f t="shared" si="4"/>
        <v>0</v>
      </c>
      <c r="AE88" s="1">
        <f t="shared" si="5"/>
        <v>0</v>
      </c>
    </row>
    <row r="89" spans="19:31">
      <c r="S89" s="17">
        <v>8</v>
      </c>
      <c r="T89" s="18"/>
      <c r="U89" s="17">
        <v>1</v>
      </c>
      <c r="V89" s="17" t="s">
        <v>117</v>
      </c>
      <c r="W89" s="18">
        <v>45</v>
      </c>
      <c r="X89" s="18" t="s">
        <v>342</v>
      </c>
      <c r="Y89" s="18">
        <v>0</v>
      </c>
      <c r="Z89" s="17" t="s">
        <v>86</v>
      </c>
      <c r="AA89" s="17">
        <v>2</v>
      </c>
      <c r="AB89" s="17" t="s">
        <v>173</v>
      </c>
      <c r="AC89" s="1">
        <f t="shared" si="3"/>
        <v>1</v>
      </c>
      <c r="AD89" s="1">
        <f t="shared" si="4"/>
        <v>0</v>
      </c>
      <c r="AE89" s="1">
        <f t="shared" si="5"/>
        <v>0</v>
      </c>
    </row>
    <row r="90" spans="19:31">
      <c r="S90" s="17">
        <v>9</v>
      </c>
      <c r="T90" s="18"/>
      <c r="U90" s="17">
        <v>1</v>
      </c>
      <c r="V90" s="17" t="s">
        <v>117</v>
      </c>
      <c r="W90" s="18">
        <v>24</v>
      </c>
      <c r="X90" s="18" t="s">
        <v>342</v>
      </c>
      <c r="Y90" s="18">
        <v>45</v>
      </c>
      <c r="Z90" s="17" t="s">
        <v>55</v>
      </c>
      <c r="AA90" s="17">
        <v>2</v>
      </c>
      <c r="AB90" s="17" t="s">
        <v>181</v>
      </c>
      <c r="AC90" s="1">
        <f t="shared" si="3"/>
        <v>0</v>
      </c>
      <c r="AD90" s="1">
        <f t="shared" si="4"/>
        <v>0</v>
      </c>
      <c r="AE90" s="1">
        <f t="shared" si="5"/>
        <v>1</v>
      </c>
    </row>
    <row r="91" spans="19:31">
      <c r="S91" s="17">
        <v>10</v>
      </c>
      <c r="T91" s="18"/>
      <c r="U91" s="17">
        <v>1</v>
      </c>
      <c r="V91" s="17" t="s">
        <v>117</v>
      </c>
      <c r="W91" s="18">
        <v>28</v>
      </c>
      <c r="X91" s="18" t="s">
        <v>342</v>
      </c>
      <c r="Y91" s="18">
        <v>42</v>
      </c>
      <c r="Z91" s="17" t="s">
        <v>27</v>
      </c>
      <c r="AA91" s="17">
        <v>2</v>
      </c>
      <c r="AB91" s="17" t="s">
        <v>177</v>
      </c>
      <c r="AC91" s="1">
        <f t="shared" si="3"/>
        <v>0</v>
      </c>
      <c r="AD91" s="1">
        <f t="shared" si="4"/>
        <v>0</v>
      </c>
      <c r="AE91" s="1">
        <f t="shared" si="5"/>
        <v>1</v>
      </c>
    </row>
    <row r="92" spans="19:31">
      <c r="S92" s="17">
        <v>11</v>
      </c>
      <c r="T92" s="18"/>
      <c r="U92" s="17">
        <v>1</v>
      </c>
      <c r="V92" s="17" t="s">
        <v>117</v>
      </c>
      <c r="W92" s="18">
        <v>33</v>
      </c>
      <c r="X92" s="18" t="s">
        <v>342</v>
      </c>
      <c r="Y92" s="18">
        <v>42</v>
      </c>
      <c r="Z92" s="17" t="s">
        <v>73</v>
      </c>
      <c r="AA92" s="17">
        <v>2</v>
      </c>
      <c r="AB92" s="17" t="s">
        <v>173</v>
      </c>
      <c r="AC92" s="1">
        <f t="shared" si="3"/>
        <v>0</v>
      </c>
      <c r="AD92" s="1">
        <f t="shared" si="4"/>
        <v>0</v>
      </c>
      <c r="AE92" s="1">
        <f t="shared" si="5"/>
        <v>1</v>
      </c>
    </row>
    <row r="93" spans="19:31">
      <c r="S93" s="17">
        <v>12</v>
      </c>
      <c r="T93" s="18"/>
      <c r="U93" s="17">
        <v>1</v>
      </c>
      <c r="V93" s="17" t="s">
        <v>117</v>
      </c>
      <c r="W93" s="18">
        <v>33</v>
      </c>
      <c r="X93" s="18" t="s">
        <v>342</v>
      </c>
      <c r="Y93" s="18">
        <v>42</v>
      </c>
      <c r="Z93" s="17" t="s">
        <v>63</v>
      </c>
      <c r="AA93" s="17">
        <v>2</v>
      </c>
      <c r="AB93" s="17" t="s">
        <v>165</v>
      </c>
      <c r="AC93" s="1">
        <f t="shared" si="3"/>
        <v>0</v>
      </c>
      <c r="AD93" s="1">
        <f t="shared" si="4"/>
        <v>0</v>
      </c>
      <c r="AE93" s="1">
        <f t="shared" si="5"/>
        <v>1</v>
      </c>
    </row>
    <row r="94" spans="19:31">
      <c r="S94" s="17">
        <v>13</v>
      </c>
      <c r="T94" s="18"/>
      <c r="U94" s="17">
        <v>1</v>
      </c>
      <c r="V94" s="17" t="s">
        <v>117</v>
      </c>
      <c r="W94" s="18">
        <v>33</v>
      </c>
      <c r="X94" s="18" t="s">
        <v>342</v>
      </c>
      <c r="Y94" s="18">
        <v>42</v>
      </c>
      <c r="Z94" s="17" t="s">
        <v>51</v>
      </c>
      <c r="AA94" s="17">
        <v>2</v>
      </c>
      <c r="AB94" s="17" t="s">
        <v>177</v>
      </c>
      <c r="AC94" s="1">
        <f t="shared" si="3"/>
        <v>0</v>
      </c>
      <c r="AD94" s="1">
        <f t="shared" si="4"/>
        <v>0</v>
      </c>
      <c r="AE94" s="1">
        <f t="shared" si="5"/>
        <v>1</v>
      </c>
    </row>
    <row r="95" spans="19:31">
      <c r="S95" s="17">
        <v>14</v>
      </c>
      <c r="T95" s="18"/>
      <c r="U95" s="17">
        <v>1</v>
      </c>
      <c r="V95" s="17" t="s">
        <v>117</v>
      </c>
      <c r="W95" s="18">
        <v>42</v>
      </c>
      <c r="X95" s="18" t="s">
        <v>342</v>
      </c>
      <c r="Y95" s="18">
        <v>18</v>
      </c>
      <c r="Z95" s="17" t="s">
        <v>69</v>
      </c>
      <c r="AA95" s="17">
        <v>2</v>
      </c>
      <c r="AB95" s="17" t="s">
        <v>165</v>
      </c>
      <c r="AC95" s="1">
        <f t="shared" si="3"/>
        <v>1</v>
      </c>
      <c r="AD95" s="1">
        <f t="shared" si="4"/>
        <v>0</v>
      </c>
      <c r="AE95" s="1">
        <f t="shared" si="5"/>
        <v>0</v>
      </c>
    </row>
    <row r="96" spans="19:31">
      <c r="S96" s="17">
        <v>15</v>
      </c>
      <c r="T96" s="18"/>
      <c r="U96" s="17">
        <v>1</v>
      </c>
      <c r="V96" s="17" t="s">
        <v>117</v>
      </c>
      <c r="W96" s="18">
        <v>36</v>
      </c>
      <c r="X96" s="18" t="s">
        <v>342</v>
      </c>
      <c r="Y96" s="18">
        <v>39</v>
      </c>
      <c r="Z96" s="17" t="s">
        <v>47</v>
      </c>
      <c r="AA96" s="17">
        <v>2</v>
      </c>
      <c r="AB96" s="17" t="s">
        <v>173</v>
      </c>
      <c r="AC96" s="1">
        <f t="shared" si="3"/>
        <v>0</v>
      </c>
      <c r="AD96" s="1">
        <f t="shared" si="4"/>
        <v>0</v>
      </c>
      <c r="AE96" s="1">
        <f t="shared" si="5"/>
        <v>1</v>
      </c>
    </row>
    <row r="97" spans="19:31">
      <c r="S97" s="58" t="s">
        <v>339</v>
      </c>
      <c r="T97" s="58" t="s">
        <v>340</v>
      </c>
      <c r="U97" s="58" t="s">
        <v>341</v>
      </c>
      <c r="V97" s="58" t="s">
        <v>1</v>
      </c>
      <c r="W97" s="66" t="s">
        <v>220</v>
      </c>
      <c r="X97" s="66"/>
      <c r="Y97" s="66"/>
      <c r="Z97" s="58" t="s">
        <v>1</v>
      </c>
      <c r="AA97" s="58" t="s">
        <v>341</v>
      </c>
      <c r="AB97" s="58" t="s">
        <v>395</v>
      </c>
      <c r="AC97" s="1">
        <f t="shared" si="3"/>
        <v>1</v>
      </c>
      <c r="AD97" s="1">
        <f t="shared" si="4"/>
        <v>0</v>
      </c>
      <c r="AE97" s="1">
        <f t="shared" si="5"/>
        <v>0</v>
      </c>
    </row>
    <row r="98" spans="19:31">
      <c r="S98" s="17">
        <v>1</v>
      </c>
      <c r="T98" s="18"/>
      <c r="U98" s="17">
        <v>1</v>
      </c>
      <c r="V98" s="17" t="s">
        <v>51</v>
      </c>
      <c r="W98" s="18">
        <v>36</v>
      </c>
      <c r="X98" s="18" t="s">
        <v>342</v>
      </c>
      <c r="Y98" s="18">
        <v>0</v>
      </c>
      <c r="Z98" s="17" t="s">
        <v>43</v>
      </c>
      <c r="AA98" s="17">
        <v>2</v>
      </c>
      <c r="AB98" s="17" t="s">
        <v>177</v>
      </c>
      <c r="AC98" s="1">
        <f t="shared" si="3"/>
        <v>1</v>
      </c>
      <c r="AD98" s="1">
        <f t="shared" si="4"/>
        <v>0</v>
      </c>
      <c r="AE98" s="1">
        <f t="shared" si="5"/>
        <v>0</v>
      </c>
    </row>
    <row r="99" spans="19:31">
      <c r="S99" s="17">
        <v>2</v>
      </c>
      <c r="T99" s="18"/>
      <c r="U99" s="17">
        <v>1</v>
      </c>
      <c r="V99" s="17" t="s">
        <v>51</v>
      </c>
      <c r="W99" s="18">
        <v>42</v>
      </c>
      <c r="X99" s="18" t="s">
        <v>342</v>
      </c>
      <c r="Y99" s="18">
        <v>16</v>
      </c>
      <c r="Z99" s="17" t="s">
        <v>101</v>
      </c>
      <c r="AA99" s="17">
        <v>2</v>
      </c>
      <c r="AB99" s="17" t="s">
        <v>165</v>
      </c>
      <c r="AC99" s="1">
        <f t="shared" si="3"/>
        <v>1</v>
      </c>
      <c r="AD99" s="1">
        <f t="shared" si="4"/>
        <v>0</v>
      </c>
      <c r="AE99" s="1">
        <f t="shared" si="5"/>
        <v>0</v>
      </c>
    </row>
    <row r="100" spans="19:31">
      <c r="S100" s="17">
        <v>3</v>
      </c>
      <c r="T100" s="18"/>
      <c r="U100" s="17">
        <v>1</v>
      </c>
      <c r="V100" s="17" t="s">
        <v>51</v>
      </c>
      <c r="W100" s="18">
        <v>45</v>
      </c>
      <c r="X100" s="18" t="s">
        <v>342</v>
      </c>
      <c r="Y100" s="18">
        <v>9</v>
      </c>
      <c r="Z100" s="17" t="s">
        <v>75</v>
      </c>
      <c r="AA100" s="17">
        <v>2</v>
      </c>
      <c r="AB100" s="17" t="s">
        <v>181</v>
      </c>
      <c r="AC100" s="1">
        <f t="shared" si="3"/>
        <v>1</v>
      </c>
      <c r="AD100" s="1">
        <f t="shared" si="4"/>
        <v>0</v>
      </c>
      <c r="AE100" s="1">
        <f t="shared" si="5"/>
        <v>0</v>
      </c>
    </row>
    <row r="101" spans="19:31">
      <c r="S101" s="17">
        <v>4</v>
      </c>
      <c r="T101" s="18"/>
      <c r="U101" s="17">
        <v>1</v>
      </c>
      <c r="V101" s="17" t="s">
        <v>51</v>
      </c>
      <c r="W101" s="18">
        <v>45</v>
      </c>
      <c r="X101" s="18" t="s">
        <v>342</v>
      </c>
      <c r="Y101" s="18">
        <v>30</v>
      </c>
      <c r="Z101" s="17" t="s">
        <v>127</v>
      </c>
      <c r="AA101" s="17">
        <v>2</v>
      </c>
      <c r="AB101" s="17" t="s">
        <v>173</v>
      </c>
      <c r="AC101" s="1">
        <f t="shared" si="3"/>
        <v>1</v>
      </c>
      <c r="AD101" s="1">
        <f t="shared" si="4"/>
        <v>0</v>
      </c>
      <c r="AE101" s="1">
        <f t="shared" si="5"/>
        <v>0</v>
      </c>
    </row>
    <row r="102" spans="19:31">
      <c r="S102" s="17">
        <v>5</v>
      </c>
      <c r="T102" s="18"/>
      <c r="U102" s="17">
        <v>2</v>
      </c>
      <c r="V102" s="17" t="s">
        <v>51</v>
      </c>
      <c r="W102" s="18">
        <v>37</v>
      </c>
      <c r="X102" s="18" t="s">
        <v>342</v>
      </c>
      <c r="Y102" s="18">
        <v>0</v>
      </c>
      <c r="Z102" s="17" t="s">
        <v>86</v>
      </c>
      <c r="AA102" s="17">
        <v>1</v>
      </c>
      <c r="AB102" s="17" t="s">
        <v>177</v>
      </c>
      <c r="AC102" s="1">
        <f t="shared" si="3"/>
        <v>1</v>
      </c>
      <c r="AD102" s="1">
        <f t="shared" si="4"/>
        <v>0</v>
      </c>
      <c r="AE102" s="1">
        <f t="shared" si="5"/>
        <v>0</v>
      </c>
    </row>
    <row r="103" spans="19:31">
      <c r="S103" s="17">
        <v>6</v>
      </c>
      <c r="T103" s="18"/>
      <c r="U103" s="17">
        <v>2</v>
      </c>
      <c r="V103" s="17" t="s">
        <v>51</v>
      </c>
      <c r="W103" s="18">
        <v>45</v>
      </c>
      <c r="X103" s="18" t="s">
        <v>342</v>
      </c>
      <c r="Y103" s="18">
        <v>7</v>
      </c>
      <c r="Z103" s="17" t="s">
        <v>85</v>
      </c>
      <c r="AA103" s="17">
        <v>1</v>
      </c>
      <c r="AB103" s="17" t="s">
        <v>181</v>
      </c>
      <c r="AC103" s="1">
        <f t="shared" si="3"/>
        <v>1</v>
      </c>
      <c r="AD103" s="1">
        <f t="shared" si="4"/>
        <v>0</v>
      </c>
      <c r="AE103" s="1">
        <f t="shared" si="5"/>
        <v>0</v>
      </c>
    </row>
    <row r="104" spans="19:31">
      <c r="S104" s="17">
        <v>7</v>
      </c>
      <c r="T104" s="18"/>
      <c r="U104" s="17">
        <v>1</v>
      </c>
      <c r="V104" s="17" t="s">
        <v>51</v>
      </c>
      <c r="W104" s="18">
        <v>45</v>
      </c>
      <c r="X104" s="18" t="s">
        <v>342</v>
      </c>
      <c r="Y104" s="18">
        <v>0</v>
      </c>
      <c r="Z104" s="17" t="s">
        <v>343</v>
      </c>
      <c r="AA104" s="17">
        <v>2</v>
      </c>
      <c r="AB104" s="17" t="s">
        <v>165</v>
      </c>
      <c r="AC104" s="1">
        <f t="shared" si="3"/>
        <v>1</v>
      </c>
      <c r="AD104" s="1">
        <f t="shared" si="4"/>
        <v>0</v>
      </c>
      <c r="AE104" s="1">
        <f t="shared" si="5"/>
        <v>0</v>
      </c>
    </row>
    <row r="105" spans="19:31">
      <c r="S105" s="17">
        <v>8</v>
      </c>
      <c r="T105" s="18"/>
      <c r="U105" s="17">
        <v>2</v>
      </c>
      <c r="V105" s="17" t="s">
        <v>51</v>
      </c>
      <c r="W105" s="18">
        <v>45</v>
      </c>
      <c r="X105" s="18" t="s">
        <v>342</v>
      </c>
      <c r="Y105" s="18">
        <v>0</v>
      </c>
      <c r="Z105" s="17" t="s">
        <v>343</v>
      </c>
      <c r="AA105" s="17">
        <v>1</v>
      </c>
      <c r="AB105" s="17" t="s">
        <v>173</v>
      </c>
      <c r="AC105" s="1">
        <f t="shared" si="3"/>
        <v>1</v>
      </c>
      <c r="AD105" s="1">
        <f t="shared" si="4"/>
        <v>0</v>
      </c>
      <c r="AE105" s="1">
        <f t="shared" si="5"/>
        <v>0</v>
      </c>
    </row>
    <row r="106" spans="19:31">
      <c r="S106" s="17">
        <v>9</v>
      </c>
      <c r="T106" s="18"/>
      <c r="U106" s="17">
        <v>1</v>
      </c>
      <c r="V106" s="17" t="s">
        <v>51</v>
      </c>
      <c r="W106" s="18">
        <v>24</v>
      </c>
      <c r="X106" s="18" t="s">
        <v>342</v>
      </c>
      <c r="Y106" s="18">
        <v>45</v>
      </c>
      <c r="Z106" s="17" t="s">
        <v>63</v>
      </c>
      <c r="AA106" s="17">
        <v>2</v>
      </c>
      <c r="AB106" s="17" t="s">
        <v>181</v>
      </c>
      <c r="AC106" s="1">
        <f t="shared" si="3"/>
        <v>0</v>
      </c>
      <c r="AD106" s="1">
        <f t="shared" si="4"/>
        <v>0</v>
      </c>
      <c r="AE106" s="1">
        <f t="shared" si="5"/>
        <v>1</v>
      </c>
    </row>
    <row r="107" spans="19:31">
      <c r="S107" s="17">
        <v>10</v>
      </c>
      <c r="T107" s="18"/>
      <c r="U107" s="17">
        <v>1</v>
      </c>
      <c r="V107" s="17" t="s">
        <v>51</v>
      </c>
      <c r="W107" s="18">
        <v>24</v>
      </c>
      <c r="X107" s="18" t="s">
        <v>342</v>
      </c>
      <c r="Y107" s="18">
        <v>45</v>
      </c>
      <c r="Z107" s="17" t="s">
        <v>73</v>
      </c>
      <c r="AA107" s="17">
        <v>2</v>
      </c>
      <c r="AB107" s="17" t="s">
        <v>177</v>
      </c>
      <c r="AC107" s="1">
        <f t="shared" si="3"/>
        <v>0</v>
      </c>
      <c r="AD107" s="1">
        <f t="shared" si="4"/>
        <v>0</v>
      </c>
      <c r="AE107" s="1">
        <f t="shared" si="5"/>
        <v>1</v>
      </c>
    </row>
    <row r="108" spans="19:31">
      <c r="S108" s="17">
        <v>11</v>
      </c>
      <c r="T108" s="18"/>
      <c r="U108" s="17">
        <v>2</v>
      </c>
      <c r="V108" s="17" t="s">
        <v>51</v>
      </c>
      <c r="W108" s="18">
        <v>39</v>
      </c>
      <c r="X108" s="18" t="s">
        <v>342</v>
      </c>
      <c r="Y108" s="18">
        <v>36</v>
      </c>
      <c r="Z108" s="17" t="s">
        <v>27</v>
      </c>
      <c r="AA108" s="17">
        <v>1</v>
      </c>
      <c r="AB108" s="17" t="s">
        <v>173</v>
      </c>
      <c r="AC108" s="1">
        <f t="shared" si="3"/>
        <v>1</v>
      </c>
      <c r="AD108" s="1">
        <f t="shared" si="4"/>
        <v>0</v>
      </c>
      <c r="AE108" s="1">
        <f t="shared" si="5"/>
        <v>0</v>
      </c>
    </row>
    <row r="109" spans="19:31">
      <c r="S109" s="17">
        <v>12</v>
      </c>
      <c r="T109" s="18"/>
      <c r="U109" s="17">
        <v>1</v>
      </c>
      <c r="V109" s="17" t="s">
        <v>51</v>
      </c>
      <c r="W109" s="18">
        <v>30</v>
      </c>
      <c r="X109" s="18" t="s">
        <v>342</v>
      </c>
      <c r="Y109" s="18">
        <v>45</v>
      </c>
      <c r="Z109" s="17" t="s">
        <v>55</v>
      </c>
      <c r="AA109" s="17">
        <v>2</v>
      </c>
      <c r="AB109" s="17" t="s">
        <v>165</v>
      </c>
      <c r="AC109" s="1">
        <f t="shared" si="3"/>
        <v>0</v>
      </c>
      <c r="AD109" s="1">
        <f t="shared" si="4"/>
        <v>0</v>
      </c>
      <c r="AE109" s="1">
        <f t="shared" si="5"/>
        <v>1</v>
      </c>
    </row>
    <row r="110" spans="19:31">
      <c r="S110" s="17">
        <v>13</v>
      </c>
      <c r="T110" s="18"/>
      <c r="U110" s="17">
        <v>2</v>
      </c>
      <c r="V110" s="17" t="s">
        <v>51</v>
      </c>
      <c r="W110" s="18">
        <v>42</v>
      </c>
      <c r="X110" s="18" t="s">
        <v>342</v>
      </c>
      <c r="Y110" s="18">
        <v>33</v>
      </c>
      <c r="Z110" s="17" t="s">
        <v>117</v>
      </c>
      <c r="AA110" s="17">
        <v>1</v>
      </c>
      <c r="AB110" s="17" t="s">
        <v>177</v>
      </c>
      <c r="AC110" s="1">
        <f t="shared" si="3"/>
        <v>1</v>
      </c>
      <c r="AD110" s="1">
        <f t="shared" si="4"/>
        <v>0</v>
      </c>
      <c r="AE110" s="1">
        <f t="shared" si="5"/>
        <v>0</v>
      </c>
    </row>
    <row r="111" spans="19:31">
      <c r="S111" s="17">
        <v>14</v>
      </c>
      <c r="T111" s="18"/>
      <c r="U111" s="17">
        <v>1</v>
      </c>
      <c r="V111" s="17" t="s">
        <v>51</v>
      </c>
      <c r="W111" s="18">
        <v>30</v>
      </c>
      <c r="X111" s="18" t="s">
        <v>342</v>
      </c>
      <c r="Y111" s="18">
        <v>45</v>
      </c>
      <c r="Z111" s="17" t="s">
        <v>47</v>
      </c>
      <c r="AA111" s="17">
        <v>2</v>
      </c>
      <c r="AB111" s="17" t="s">
        <v>165</v>
      </c>
      <c r="AC111" s="1">
        <f t="shared" si="3"/>
        <v>0</v>
      </c>
      <c r="AD111" s="1">
        <f t="shared" si="4"/>
        <v>0</v>
      </c>
      <c r="AE111" s="1">
        <f t="shared" si="5"/>
        <v>1</v>
      </c>
    </row>
    <row r="112" spans="19:31">
      <c r="S112" s="17">
        <v>15</v>
      </c>
      <c r="T112" s="18"/>
      <c r="U112" s="17">
        <v>2</v>
      </c>
      <c r="V112" s="17" t="s">
        <v>51</v>
      </c>
      <c r="W112" s="18">
        <v>42</v>
      </c>
      <c r="X112" s="18" t="s">
        <v>342</v>
      </c>
      <c r="Y112" s="18">
        <v>28</v>
      </c>
      <c r="Z112" s="17" t="s">
        <v>69</v>
      </c>
      <c r="AA112" s="17">
        <v>1</v>
      </c>
      <c r="AB112" s="17" t="s">
        <v>173</v>
      </c>
      <c r="AC112" s="1">
        <f t="shared" si="3"/>
        <v>1</v>
      </c>
      <c r="AD112" s="1">
        <f t="shared" si="4"/>
        <v>0</v>
      </c>
      <c r="AE112" s="1">
        <f t="shared" si="5"/>
        <v>0</v>
      </c>
    </row>
    <row r="113" spans="19:31">
      <c r="S113" s="58" t="s">
        <v>339</v>
      </c>
      <c r="T113" s="58" t="s">
        <v>340</v>
      </c>
      <c r="U113" s="58" t="s">
        <v>341</v>
      </c>
      <c r="V113" s="58" t="s">
        <v>1</v>
      </c>
      <c r="W113" s="66" t="s">
        <v>220</v>
      </c>
      <c r="X113" s="66"/>
      <c r="Y113" s="66"/>
      <c r="Z113" s="58" t="s">
        <v>1</v>
      </c>
      <c r="AA113" s="58" t="s">
        <v>341</v>
      </c>
      <c r="AB113" s="58" t="s">
        <v>395</v>
      </c>
      <c r="AC113" s="1">
        <f t="shared" si="3"/>
        <v>1</v>
      </c>
      <c r="AD113" s="1">
        <f t="shared" si="4"/>
        <v>0</v>
      </c>
      <c r="AE113" s="1">
        <f t="shared" si="5"/>
        <v>0</v>
      </c>
    </row>
    <row r="114" spans="19:31">
      <c r="S114" s="17">
        <v>1</v>
      </c>
      <c r="T114" s="18"/>
      <c r="U114" s="17">
        <v>1</v>
      </c>
      <c r="V114" s="17" t="s">
        <v>69</v>
      </c>
      <c r="W114" s="18">
        <v>39</v>
      </c>
      <c r="X114" s="18" t="s">
        <v>342</v>
      </c>
      <c r="Y114" s="18">
        <v>15</v>
      </c>
      <c r="Z114" s="17" t="s">
        <v>101</v>
      </c>
      <c r="AA114" s="17">
        <v>2</v>
      </c>
      <c r="AB114" s="17" t="s">
        <v>177</v>
      </c>
      <c r="AC114" s="1">
        <f t="shared" si="3"/>
        <v>1</v>
      </c>
      <c r="AD114" s="1">
        <f t="shared" si="4"/>
        <v>0</v>
      </c>
      <c r="AE114" s="1">
        <f t="shared" si="5"/>
        <v>0</v>
      </c>
    </row>
    <row r="115" spans="19:31">
      <c r="S115" s="17">
        <v>2</v>
      </c>
      <c r="T115" s="18"/>
      <c r="U115" s="17">
        <v>1</v>
      </c>
      <c r="V115" s="17" t="s">
        <v>69</v>
      </c>
      <c r="W115" s="18">
        <v>30</v>
      </c>
      <c r="X115" s="18" t="s">
        <v>342</v>
      </c>
      <c r="Y115" s="18">
        <v>21</v>
      </c>
      <c r="Z115" s="17" t="s">
        <v>43</v>
      </c>
      <c r="AA115" s="17">
        <v>2</v>
      </c>
      <c r="AB115" s="17" t="s">
        <v>165</v>
      </c>
      <c r="AC115" s="1">
        <f t="shared" si="3"/>
        <v>1</v>
      </c>
      <c r="AD115" s="1">
        <f t="shared" si="4"/>
        <v>0</v>
      </c>
      <c r="AE115" s="1">
        <f t="shared" si="5"/>
        <v>0</v>
      </c>
    </row>
    <row r="116" spans="19:31">
      <c r="S116" s="17">
        <v>3</v>
      </c>
      <c r="T116" s="18"/>
      <c r="U116" s="17">
        <v>1</v>
      </c>
      <c r="V116" s="17" t="s">
        <v>69</v>
      </c>
      <c r="W116" s="18">
        <v>45</v>
      </c>
      <c r="X116" s="18" t="s">
        <v>342</v>
      </c>
      <c r="Y116" s="18">
        <v>21</v>
      </c>
      <c r="Z116" s="17" t="s">
        <v>127</v>
      </c>
      <c r="AA116" s="17">
        <v>2</v>
      </c>
      <c r="AB116" s="17" t="s">
        <v>181</v>
      </c>
      <c r="AC116" s="1">
        <f t="shared" si="3"/>
        <v>1</v>
      </c>
      <c r="AD116" s="1">
        <f t="shared" si="4"/>
        <v>0</v>
      </c>
      <c r="AE116" s="1">
        <f t="shared" si="5"/>
        <v>0</v>
      </c>
    </row>
    <row r="117" spans="19:31">
      <c r="S117" s="17">
        <v>4</v>
      </c>
      <c r="T117" s="18"/>
      <c r="U117" s="17">
        <v>1</v>
      </c>
      <c r="V117" s="17" t="s">
        <v>69</v>
      </c>
      <c r="W117" s="18">
        <v>45</v>
      </c>
      <c r="X117" s="18" t="s">
        <v>342</v>
      </c>
      <c r="Y117" s="18">
        <v>2</v>
      </c>
      <c r="Z117" s="17" t="s">
        <v>75</v>
      </c>
      <c r="AA117" s="17">
        <v>2</v>
      </c>
      <c r="AB117" s="17" t="s">
        <v>173</v>
      </c>
      <c r="AC117" s="1">
        <f t="shared" si="3"/>
        <v>1</v>
      </c>
      <c r="AD117" s="1">
        <f t="shared" si="4"/>
        <v>0</v>
      </c>
      <c r="AE117" s="1">
        <f t="shared" si="5"/>
        <v>0</v>
      </c>
    </row>
    <row r="118" spans="19:31">
      <c r="S118" s="17">
        <v>5</v>
      </c>
      <c r="T118" s="18"/>
      <c r="U118" s="17">
        <v>2</v>
      </c>
      <c r="V118" s="17" t="s">
        <v>69</v>
      </c>
      <c r="W118" s="18">
        <v>45</v>
      </c>
      <c r="X118" s="18" t="s">
        <v>342</v>
      </c>
      <c r="Y118" s="18">
        <v>0</v>
      </c>
      <c r="Z118" s="17" t="s">
        <v>85</v>
      </c>
      <c r="AA118" s="17">
        <v>1</v>
      </c>
      <c r="AB118" s="17" t="s">
        <v>177</v>
      </c>
      <c r="AC118" s="1">
        <f t="shared" si="3"/>
        <v>1</v>
      </c>
      <c r="AD118" s="1">
        <f t="shared" si="4"/>
        <v>0</v>
      </c>
      <c r="AE118" s="1">
        <f t="shared" si="5"/>
        <v>0</v>
      </c>
    </row>
    <row r="119" spans="19:31">
      <c r="S119" s="17">
        <v>6</v>
      </c>
      <c r="T119" s="18"/>
      <c r="U119" s="17">
        <v>1</v>
      </c>
      <c r="V119" s="17" t="s">
        <v>69</v>
      </c>
      <c r="W119" s="18">
        <v>45</v>
      </c>
      <c r="X119" s="18" t="s">
        <v>342</v>
      </c>
      <c r="Y119" s="18">
        <v>0</v>
      </c>
      <c r="Z119" s="17" t="s">
        <v>86</v>
      </c>
      <c r="AA119" s="17">
        <v>2</v>
      </c>
      <c r="AB119" s="17" t="s">
        <v>181</v>
      </c>
      <c r="AC119" s="1">
        <f t="shared" si="3"/>
        <v>1</v>
      </c>
      <c r="AD119" s="1">
        <f t="shared" si="4"/>
        <v>0</v>
      </c>
      <c r="AE119" s="1">
        <f t="shared" si="5"/>
        <v>0</v>
      </c>
    </row>
    <row r="120" spans="19:31">
      <c r="S120" s="17">
        <v>7</v>
      </c>
      <c r="T120" s="18"/>
      <c r="U120" s="17">
        <v>2</v>
      </c>
      <c r="V120" s="17" t="s">
        <v>69</v>
      </c>
      <c r="W120" s="18">
        <v>45</v>
      </c>
      <c r="X120" s="18" t="s">
        <v>342</v>
      </c>
      <c r="Y120" s="18">
        <v>0</v>
      </c>
      <c r="Z120" s="17" t="s">
        <v>343</v>
      </c>
      <c r="AA120" s="17">
        <v>1</v>
      </c>
      <c r="AB120" s="17" t="s">
        <v>165</v>
      </c>
      <c r="AC120" s="1">
        <f t="shared" si="3"/>
        <v>1</v>
      </c>
      <c r="AD120" s="1">
        <f t="shared" si="4"/>
        <v>0</v>
      </c>
      <c r="AE120" s="1">
        <f t="shared" si="5"/>
        <v>0</v>
      </c>
    </row>
    <row r="121" spans="19:31">
      <c r="S121" s="17">
        <v>8</v>
      </c>
      <c r="T121" s="18"/>
      <c r="U121" s="17">
        <v>1</v>
      </c>
      <c r="V121" s="17" t="s">
        <v>69</v>
      </c>
      <c r="W121" s="18">
        <v>45</v>
      </c>
      <c r="X121" s="18" t="s">
        <v>342</v>
      </c>
      <c r="Y121" s="18">
        <v>0</v>
      </c>
      <c r="Z121" s="17" t="s">
        <v>343</v>
      </c>
      <c r="AA121" s="17">
        <v>2</v>
      </c>
      <c r="AB121" s="17" t="s">
        <v>173</v>
      </c>
      <c r="AC121" s="1">
        <f t="shared" si="3"/>
        <v>1</v>
      </c>
      <c r="AD121" s="1">
        <f t="shared" si="4"/>
        <v>0</v>
      </c>
      <c r="AE121" s="1">
        <f t="shared" si="5"/>
        <v>0</v>
      </c>
    </row>
    <row r="122" spans="19:31">
      <c r="S122" s="17">
        <v>9</v>
      </c>
      <c r="T122" s="18"/>
      <c r="U122" s="17">
        <v>2</v>
      </c>
      <c r="V122" s="17" t="s">
        <v>69</v>
      </c>
      <c r="W122" s="18">
        <v>27</v>
      </c>
      <c r="X122" s="18" t="s">
        <v>342</v>
      </c>
      <c r="Y122" s="18">
        <v>45</v>
      </c>
      <c r="Z122" s="17" t="s">
        <v>73</v>
      </c>
      <c r="AA122" s="17">
        <v>1</v>
      </c>
      <c r="AB122" s="17" t="s">
        <v>181</v>
      </c>
      <c r="AC122" s="1">
        <f t="shared" si="3"/>
        <v>0</v>
      </c>
      <c r="AD122" s="1">
        <f t="shared" si="4"/>
        <v>0</v>
      </c>
      <c r="AE122" s="1">
        <f t="shared" si="5"/>
        <v>1</v>
      </c>
    </row>
    <row r="123" spans="19:31">
      <c r="S123" s="17">
        <v>10</v>
      </c>
      <c r="T123" s="18"/>
      <c r="U123" s="17">
        <v>1</v>
      </c>
      <c r="V123" s="17" t="s">
        <v>69</v>
      </c>
      <c r="W123" s="18">
        <v>21</v>
      </c>
      <c r="X123" s="18" t="s">
        <v>342</v>
      </c>
      <c r="Y123" s="18">
        <v>45</v>
      </c>
      <c r="Z123" s="17" t="s">
        <v>63</v>
      </c>
      <c r="AA123" s="17">
        <v>2</v>
      </c>
      <c r="AB123" s="17" t="s">
        <v>177</v>
      </c>
      <c r="AC123" s="1">
        <f t="shared" si="3"/>
        <v>0</v>
      </c>
      <c r="AD123" s="1">
        <f t="shared" si="4"/>
        <v>0</v>
      </c>
      <c r="AE123" s="1">
        <f t="shared" si="5"/>
        <v>1</v>
      </c>
    </row>
    <row r="124" spans="19:31">
      <c r="S124" s="17">
        <v>11</v>
      </c>
      <c r="T124" s="18"/>
      <c r="U124" s="17">
        <v>1</v>
      </c>
      <c r="V124" s="17" t="s">
        <v>69</v>
      </c>
      <c r="W124" s="18">
        <v>33</v>
      </c>
      <c r="X124" s="18" t="s">
        <v>342</v>
      </c>
      <c r="Y124" s="18">
        <v>42</v>
      </c>
      <c r="Z124" s="17" t="s">
        <v>55</v>
      </c>
      <c r="AA124" s="17">
        <v>2</v>
      </c>
      <c r="AB124" s="17" t="s">
        <v>173</v>
      </c>
      <c r="AC124" s="1">
        <f t="shared" si="3"/>
        <v>0</v>
      </c>
      <c r="AD124" s="1">
        <f t="shared" si="4"/>
        <v>0</v>
      </c>
      <c r="AE124" s="1">
        <f t="shared" si="5"/>
        <v>1</v>
      </c>
    </row>
    <row r="125" spans="19:31">
      <c r="S125" s="17">
        <v>12</v>
      </c>
      <c r="T125" s="18"/>
      <c r="U125" s="17">
        <v>1</v>
      </c>
      <c r="V125" s="17" t="s">
        <v>69</v>
      </c>
      <c r="W125" s="18">
        <v>21</v>
      </c>
      <c r="X125" s="18" t="s">
        <v>342</v>
      </c>
      <c r="Y125" s="18">
        <v>45</v>
      </c>
      <c r="Z125" s="17" t="s">
        <v>27</v>
      </c>
      <c r="AA125" s="17">
        <v>2</v>
      </c>
      <c r="AB125" s="17" t="s">
        <v>165</v>
      </c>
      <c r="AC125" s="1">
        <f t="shared" si="3"/>
        <v>0</v>
      </c>
      <c r="AD125" s="1">
        <f t="shared" si="4"/>
        <v>0</v>
      </c>
      <c r="AE125" s="1">
        <f t="shared" si="5"/>
        <v>1</v>
      </c>
    </row>
    <row r="126" spans="19:31">
      <c r="S126" s="17">
        <v>13</v>
      </c>
      <c r="T126" s="18"/>
      <c r="U126" s="17">
        <v>2</v>
      </c>
      <c r="V126" s="17" t="s">
        <v>69</v>
      </c>
      <c r="W126" s="18">
        <v>27</v>
      </c>
      <c r="X126" s="18" t="s">
        <v>342</v>
      </c>
      <c r="Y126" s="18">
        <v>45</v>
      </c>
      <c r="Z126" s="17" t="s">
        <v>47</v>
      </c>
      <c r="AA126" s="17">
        <v>1</v>
      </c>
      <c r="AB126" s="17" t="s">
        <v>177</v>
      </c>
      <c r="AC126" s="1">
        <f t="shared" si="3"/>
        <v>0</v>
      </c>
      <c r="AD126" s="1">
        <f t="shared" si="4"/>
        <v>0</v>
      </c>
      <c r="AE126" s="1">
        <f t="shared" si="5"/>
        <v>1</v>
      </c>
    </row>
    <row r="127" spans="19:31">
      <c r="S127" s="17">
        <v>14</v>
      </c>
      <c r="T127" s="18"/>
      <c r="U127" s="17">
        <v>2</v>
      </c>
      <c r="V127" s="17" t="s">
        <v>69</v>
      </c>
      <c r="W127" s="18">
        <v>18</v>
      </c>
      <c r="X127" s="18" t="s">
        <v>342</v>
      </c>
      <c r="Y127" s="18">
        <v>42</v>
      </c>
      <c r="Z127" s="17" t="s">
        <v>117</v>
      </c>
      <c r="AA127" s="17">
        <v>1</v>
      </c>
      <c r="AB127" s="17" t="s">
        <v>165</v>
      </c>
      <c r="AC127" s="1">
        <f t="shared" si="3"/>
        <v>0</v>
      </c>
      <c r="AD127" s="1">
        <f t="shared" si="4"/>
        <v>0</v>
      </c>
      <c r="AE127" s="1">
        <f t="shared" si="5"/>
        <v>1</v>
      </c>
    </row>
    <row r="128" spans="19:31">
      <c r="S128" s="17">
        <v>15</v>
      </c>
      <c r="T128" s="18"/>
      <c r="U128" s="17">
        <v>1</v>
      </c>
      <c r="V128" s="17" t="s">
        <v>69</v>
      </c>
      <c r="W128" s="18">
        <v>28</v>
      </c>
      <c r="X128" s="18" t="s">
        <v>342</v>
      </c>
      <c r="Y128" s="18">
        <v>42</v>
      </c>
      <c r="Z128" s="17" t="s">
        <v>51</v>
      </c>
      <c r="AA128" s="17">
        <v>2</v>
      </c>
      <c r="AB128" s="17" t="s">
        <v>173</v>
      </c>
      <c r="AC128" s="1">
        <f t="shared" si="3"/>
        <v>0</v>
      </c>
      <c r="AD128" s="1">
        <f t="shared" si="4"/>
        <v>0</v>
      </c>
      <c r="AE128" s="1">
        <f t="shared" si="5"/>
        <v>1</v>
      </c>
    </row>
    <row r="129" spans="19:31">
      <c r="S129" s="58" t="s">
        <v>339</v>
      </c>
      <c r="T129" s="58" t="s">
        <v>340</v>
      </c>
      <c r="U129" s="58" t="s">
        <v>341</v>
      </c>
      <c r="V129" s="58" t="s">
        <v>1</v>
      </c>
      <c r="W129" s="66" t="s">
        <v>220</v>
      </c>
      <c r="X129" s="66"/>
      <c r="Y129" s="66"/>
      <c r="Z129" s="58" t="s">
        <v>1</v>
      </c>
      <c r="AA129" s="58" t="s">
        <v>341</v>
      </c>
      <c r="AB129" s="58" t="s">
        <v>395</v>
      </c>
      <c r="AC129" s="1">
        <f t="shared" si="3"/>
        <v>1</v>
      </c>
      <c r="AD129" s="1">
        <f t="shared" si="4"/>
        <v>0</v>
      </c>
      <c r="AE129" s="1">
        <f t="shared" si="5"/>
        <v>0</v>
      </c>
    </row>
    <row r="130" spans="19:31">
      <c r="S130" s="17">
        <v>1</v>
      </c>
      <c r="T130" s="18"/>
      <c r="U130" s="17">
        <v>2</v>
      </c>
      <c r="V130" s="17" t="s">
        <v>101</v>
      </c>
      <c r="W130" s="18">
        <v>15</v>
      </c>
      <c r="X130" s="18" t="s">
        <v>342</v>
      </c>
      <c r="Y130" s="18">
        <v>39</v>
      </c>
      <c r="Z130" s="17" t="s">
        <v>69</v>
      </c>
      <c r="AA130" s="17">
        <v>1</v>
      </c>
      <c r="AB130" s="17" t="s">
        <v>177</v>
      </c>
      <c r="AC130" s="1">
        <f t="shared" si="3"/>
        <v>0</v>
      </c>
      <c r="AD130" s="1">
        <f t="shared" si="4"/>
        <v>0</v>
      </c>
      <c r="AE130" s="1">
        <f t="shared" si="5"/>
        <v>1</v>
      </c>
    </row>
    <row r="131" spans="19:31">
      <c r="S131" s="17">
        <v>2</v>
      </c>
      <c r="T131" s="18"/>
      <c r="U131" s="17">
        <v>2</v>
      </c>
      <c r="V131" s="17" t="s">
        <v>101</v>
      </c>
      <c r="W131" s="18">
        <v>16</v>
      </c>
      <c r="X131" s="18" t="s">
        <v>342</v>
      </c>
      <c r="Y131" s="18">
        <v>42</v>
      </c>
      <c r="Z131" s="17" t="s">
        <v>51</v>
      </c>
      <c r="AA131" s="17">
        <v>1</v>
      </c>
      <c r="AB131" s="17" t="s">
        <v>165</v>
      </c>
      <c r="AC131" s="1">
        <f t="shared" ref="AC131:AC194" si="6">IF(W131="",0,IF(W131&gt;Y131,1,0))</f>
        <v>0</v>
      </c>
      <c r="AD131" s="1">
        <f t="shared" ref="AD131:AD194" si="7">IF(W131="",0,IF(W131=Y131,1,0))</f>
        <v>0</v>
      </c>
      <c r="AE131" s="1">
        <f t="shared" ref="AE131:AE194" si="8">IF(W131="",0,IF(W131&lt;Y131,1,0))</f>
        <v>1</v>
      </c>
    </row>
    <row r="132" spans="19:31">
      <c r="S132" s="17">
        <v>3</v>
      </c>
      <c r="T132" s="18"/>
      <c r="U132" s="17">
        <v>1</v>
      </c>
      <c r="V132" s="17" t="s">
        <v>101</v>
      </c>
      <c r="W132" s="18">
        <v>25</v>
      </c>
      <c r="X132" s="18" t="s">
        <v>342</v>
      </c>
      <c r="Y132" s="18">
        <v>34</v>
      </c>
      <c r="Z132" s="17" t="s">
        <v>117</v>
      </c>
      <c r="AA132" s="17">
        <v>2</v>
      </c>
      <c r="AB132" s="17" t="s">
        <v>181</v>
      </c>
      <c r="AC132" s="1">
        <f t="shared" si="6"/>
        <v>0</v>
      </c>
      <c r="AD132" s="1">
        <f t="shared" si="7"/>
        <v>0</v>
      </c>
      <c r="AE132" s="1">
        <f t="shared" si="8"/>
        <v>1</v>
      </c>
    </row>
    <row r="133" spans="19:31">
      <c r="S133" s="17">
        <v>4</v>
      </c>
      <c r="T133" s="18"/>
      <c r="U133" s="17">
        <v>2</v>
      </c>
      <c r="V133" s="17" t="s">
        <v>101</v>
      </c>
      <c r="W133" s="18">
        <v>24</v>
      </c>
      <c r="X133" s="18" t="s">
        <v>342</v>
      </c>
      <c r="Y133" s="18">
        <v>45</v>
      </c>
      <c r="Z133" s="17" t="s">
        <v>47</v>
      </c>
      <c r="AA133" s="17">
        <v>1</v>
      </c>
      <c r="AB133" s="17" t="s">
        <v>173</v>
      </c>
      <c r="AC133" s="1">
        <f t="shared" si="6"/>
        <v>0</v>
      </c>
      <c r="AD133" s="1">
        <f t="shared" si="7"/>
        <v>0</v>
      </c>
      <c r="AE133" s="1">
        <f t="shared" si="8"/>
        <v>1</v>
      </c>
    </row>
    <row r="134" spans="19:31">
      <c r="S134" s="17">
        <v>5</v>
      </c>
      <c r="T134" s="18"/>
      <c r="U134" s="17">
        <v>1</v>
      </c>
      <c r="V134" s="17" t="s">
        <v>101</v>
      </c>
      <c r="W134" s="18">
        <v>10</v>
      </c>
      <c r="X134" s="18" t="s">
        <v>342</v>
      </c>
      <c r="Y134" s="18">
        <v>45</v>
      </c>
      <c r="Z134" s="17" t="s">
        <v>27</v>
      </c>
      <c r="AA134" s="17">
        <v>2</v>
      </c>
      <c r="AB134" s="17" t="s">
        <v>177</v>
      </c>
      <c r="AC134" s="1">
        <f t="shared" si="6"/>
        <v>0</v>
      </c>
      <c r="AD134" s="1">
        <f t="shared" si="7"/>
        <v>0</v>
      </c>
      <c r="AE134" s="1">
        <f t="shared" si="8"/>
        <v>1</v>
      </c>
    </row>
    <row r="135" spans="19:31">
      <c r="S135" s="17">
        <v>6</v>
      </c>
      <c r="T135" s="18"/>
      <c r="U135" s="17">
        <v>1</v>
      </c>
      <c r="V135" s="17" t="s">
        <v>101</v>
      </c>
      <c r="W135" s="18">
        <v>30</v>
      </c>
      <c r="X135" s="18" t="s">
        <v>342</v>
      </c>
      <c r="Y135" s="18">
        <v>45</v>
      </c>
      <c r="Z135" s="17" t="s">
        <v>55</v>
      </c>
      <c r="AA135" s="17">
        <v>2</v>
      </c>
      <c r="AB135" s="17" t="s">
        <v>181</v>
      </c>
      <c r="AC135" s="1">
        <f t="shared" si="6"/>
        <v>0</v>
      </c>
      <c r="AD135" s="1">
        <f t="shared" si="7"/>
        <v>0</v>
      </c>
      <c r="AE135" s="1">
        <f t="shared" si="8"/>
        <v>1</v>
      </c>
    </row>
    <row r="136" spans="19:31">
      <c r="S136" s="17">
        <v>7</v>
      </c>
      <c r="T136" s="18"/>
      <c r="U136" s="17">
        <v>2</v>
      </c>
      <c r="V136" s="17" t="s">
        <v>101</v>
      </c>
      <c r="W136" s="18">
        <v>14</v>
      </c>
      <c r="X136" s="18" t="s">
        <v>342</v>
      </c>
      <c r="Y136" s="18">
        <v>45</v>
      </c>
      <c r="Z136" s="17" t="s">
        <v>63</v>
      </c>
      <c r="AA136" s="17">
        <v>1</v>
      </c>
      <c r="AB136" s="17" t="s">
        <v>165</v>
      </c>
      <c r="AC136" s="1">
        <f t="shared" si="6"/>
        <v>0</v>
      </c>
      <c r="AD136" s="1">
        <f t="shared" si="7"/>
        <v>0</v>
      </c>
      <c r="AE136" s="1">
        <f t="shared" si="8"/>
        <v>1</v>
      </c>
    </row>
    <row r="137" spans="19:31">
      <c r="S137" s="17">
        <v>8</v>
      </c>
      <c r="T137" s="18"/>
      <c r="U137" s="17">
        <v>2</v>
      </c>
      <c r="V137" s="17" t="s">
        <v>101</v>
      </c>
      <c r="W137" s="18">
        <v>22</v>
      </c>
      <c r="X137" s="18" t="s">
        <v>342</v>
      </c>
      <c r="Y137" s="18">
        <v>45</v>
      </c>
      <c r="Z137" s="17" t="s">
        <v>73</v>
      </c>
      <c r="AA137" s="17">
        <v>1</v>
      </c>
      <c r="AB137" s="17" t="s">
        <v>173</v>
      </c>
      <c r="AC137" s="1">
        <f t="shared" si="6"/>
        <v>0</v>
      </c>
      <c r="AD137" s="1">
        <f t="shared" si="7"/>
        <v>0</v>
      </c>
      <c r="AE137" s="1">
        <f t="shared" si="8"/>
        <v>1</v>
      </c>
    </row>
    <row r="138" spans="19:31">
      <c r="S138" s="17">
        <v>9</v>
      </c>
      <c r="T138" s="18"/>
      <c r="U138" s="17">
        <v>1</v>
      </c>
      <c r="V138" s="17" t="s">
        <v>101</v>
      </c>
      <c r="W138" s="18">
        <v>45</v>
      </c>
      <c r="X138" s="18" t="s">
        <v>342</v>
      </c>
      <c r="Y138" s="18">
        <v>0</v>
      </c>
      <c r="Z138" s="17" t="s">
        <v>343</v>
      </c>
      <c r="AA138" s="17">
        <v>2</v>
      </c>
      <c r="AB138" s="17" t="s">
        <v>181</v>
      </c>
      <c r="AC138" s="1">
        <f t="shared" si="6"/>
        <v>1</v>
      </c>
      <c r="AD138" s="1">
        <f t="shared" si="7"/>
        <v>0</v>
      </c>
      <c r="AE138" s="1">
        <f t="shared" si="8"/>
        <v>0</v>
      </c>
    </row>
    <row r="139" spans="19:31">
      <c r="S139" s="17">
        <v>10</v>
      </c>
      <c r="T139" s="18"/>
      <c r="U139" s="17">
        <v>2</v>
      </c>
      <c r="V139" s="17" t="s">
        <v>101</v>
      </c>
      <c r="W139" s="18">
        <v>45</v>
      </c>
      <c r="X139" s="18" t="s">
        <v>342</v>
      </c>
      <c r="Y139" s="18">
        <v>0</v>
      </c>
      <c r="Z139" s="17" t="s">
        <v>343</v>
      </c>
      <c r="AA139" s="17">
        <v>1</v>
      </c>
      <c r="AB139" s="17" t="s">
        <v>177</v>
      </c>
      <c r="AC139" s="1">
        <f t="shared" si="6"/>
        <v>1</v>
      </c>
      <c r="AD139" s="1">
        <f t="shared" si="7"/>
        <v>0</v>
      </c>
      <c r="AE139" s="1">
        <f t="shared" si="8"/>
        <v>0</v>
      </c>
    </row>
    <row r="140" spans="19:31">
      <c r="S140" s="17">
        <v>11</v>
      </c>
      <c r="T140" s="18"/>
      <c r="U140" s="17">
        <v>2</v>
      </c>
      <c r="V140" s="17" t="s">
        <v>101</v>
      </c>
      <c r="W140" s="18">
        <v>45</v>
      </c>
      <c r="X140" s="18" t="s">
        <v>342</v>
      </c>
      <c r="Y140" s="18">
        <v>0</v>
      </c>
      <c r="Z140" s="17" t="s">
        <v>86</v>
      </c>
      <c r="AA140" s="17">
        <v>1</v>
      </c>
      <c r="AB140" s="17" t="s">
        <v>173</v>
      </c>
      <c r="AC140" s="1">
        <f t="shared" si="6"/>
        <v>1</v>
      </c>
      <c r="AD140" s="1">
        <f t="shared" si="7"/>
        <v>0</v>
      </c>
      <c r="AE140" s="1">
        <f t="shared" si="8"/>
        <v>0</v>
      </c>
    </row>
    <row r="141" spans="19:31">
      <c r="S141" s="17">
        <v>12</v>
      </c>
      <c r="T141" s="18"/>
      <c r="U141" s="17">
        <v>2</v>
      </c>
      <c r="V141" s="17" t="s">
        <v>101</v>
      </c>
      <c r="W141" s="18">
        <v>45</v>
      </c>
      <c r="X141" s="18" t="s">
        <v>342</v>
      </c>
      <c r="Y141" s="18">
        <v>3</v>
      </c>
      <c r="Z141" s="17" t="s">
        <v>85</v>
      </c>
      <c r="AA141" s="17">
        <v>1</v>
      </c>
      <c r="AB141" s="17" t="s">
        <v>165</v>
      </c>
      <c r="AC141" s="1">
        <f t="shared" si="6"/>
        <v>1</v>
      </c>
      <c r="AD141" s="1">
        <f t="shared" si="7"/>
        <v>0</v>
      </c>
      <c r="AE141" s="1">
        <f t="shared" si="8"/>
        <v>0</v>
      </c>
    </row>
    <row r="142" spans="19:31">
      <c r="S142" s="17">
        <v>13</v>
      </c>
      <c r="T142" s="18"/>
      <c r="U142" s="17">
        <v>2</v>
      </c>
      <c r="V142" s="17" t="s">
        <v>101</v>
      </c>
      <c r="W142" s="18">
        <v>42</v>
      </c>
      <c r="X142" s="18" t="s">
        <v>342</v>
      </c>
      <c r="Y142" s="18">
        <v>13</v>
      </c>
      <c r="Z142" s="17" t="s">
        <v>75</v>
      </c>
      <c r="AA142" s="17">
        <v>1</v>
      </c>
      <c r="AB142" s="17" t="s">
        <v>177</v>
      </c>
      <c r="AC142" s="1">
        <f t="shared" si="6"/>
        <v>1</v>
      </c>
      <c r="AD142" s="1">
        <f t="shared" si="7"/>
        <v>0</v>
      </c>
      <c r="AE142" s="1">
        <f t="shared" si="8"/>
        <v>0</v>
      </c>
    </row>
    <row r="143" spans="19:31">
      <c r="S143" s="17">
        <v>14</v>
      </c>
      <c r="T143" s="18"/>
      <c r="U143" s="17">
        <v>2</v>
      </c>
      <c r="V143" s="17" t="s">
        <v>101</v>
      </c>
      <c r="W143" s="18">
        <v>30</v>
      </c>
      <c r="X143" s="18" t="s">
        <v>342</v>
      </c>
      <c r="Y143" s="18">
        <v>21</v>
      </c>
      <c r="Z143" s="17" t="s">
        <v>127</v>
      </c>
      <c r="AA143" s="17">
        <v>1</v>
      </c>
      <c r="AB143" s="17" t="s">
        <v>165</v>
      </c>
      <c r="AC143" s="1">
        <f t="shared" si="6"/>
        <v>1</v>
      </c>
      <c r="AD143" s="1">
        <f t="shared" si="7"/>
        <v>0</v>
      </c>
      <c r="AE143" s="1">
        <f t="shared" si="8"/>
        <v>0</v>
      </c>
    </row>
    <row r="144" spans="19:31">
      <c r="S144" s="17">
        <v>15</v>
      </c>
      <c r="T144" s="18"/>
      <c r="U144" s="17">
        <v>2</v>
      </c>
      <c r="V144" s="17" t="s">
        <v>101</v>
      </c>
      <c r="W144" s="18">
        <v>42</v>
      </c>
      <c r="X144" s="18" t="s">
        <v>342</v>
      </c>
      <c r="Y144" s="18">
        <v>27</v>
      </c>
      <c r="Z144" s="17" t="s">
        <v>43</v>
      </c>
      <c r="AA144" s="17">
        <v>1</v>
      </c>
      <c r="AB144" s="17" t="s">
        <v>173</v>
      </c>
      <c r="AC144" s="1">
        <f t="shared" si="6"/>
        <v>1</v>
      </c>
      <c r="AD144" s="1">
        <f t="shared" si="7"/>
        <v>0</v>
      </c>
      <c r="AE144" s="1">
        <f t="shared" si="8"/>
        <v>0</v>
      </c>
    </row>
    <row r="145" spans="19:31">
      <c r="S145" s="58" t="s">
        <v>339</v>
      </c>
      <c r="T145" s="58" t="s">
        <v>340</v>
      </c>
      <c r="U145" s="58" t="s">
        <v>341</v>
      </c>
      <c r="V145" s="58" t="s">
        <v>1</v>
      </c>
      <c r="W145" s="66" t="s">
        <v>220</v>
      </c>
      <c r="X145" s="66"/>
      <c r="Y145" s="66"/>
      <c r="Z145" s="58" t="s">
        <v>1</v>
      </c>
      <c r="AA145" s="58" t="s">
        <v>341</v>
      </c>
      <c r="AB145" s="58" t="s">
        <v>395</v>
      </c>
      <c r="AC145" s="1">
        <f t="shared" si="6"/>
        <v>1</v>
      </c>
      <c r="AD145" s="1">
        <f t="shared" si="7"/>
        <v>0</v>
      </c>
      <c r="AE145" s="1">
        <f t="shared" si="8"/>
        <v>0</v>
      </c>
    </row>
    <row r="146" spans="19:31">
      <c r="S146" s="17">
        <v>1</v>
      </c>
      <c r="T146" s="18"/>
      <c r="U146" s="17">
        <v>2</v>
      </c>
      <c r="V146" s="17" t="s">
        <v>43</v>
      </c>
      <c r="W146" s="18">
        <v>0</v>
      </c>
      <c r="X146" s="18" t="s">
        <v>342</v>
      </c>
      <c r="Y146" s="18">
        <v>36</v>
      </c>
      <c r="Z146" s="17" t="s">
        <v>51</v>
      </c>
      <c r="AA146" s="17">
        <v>1</v>
      </c>
      <c r="AB146" s="17" t="s">
        <v>177</v>
      </c>
      <c r="AC146" s="1">
        <f t="shared" si="6"/>
        <v>0</v>
      </c>
      <c r="AD146" s="1">
        <f t="shared" si="7"/>
        <v>0</v>
      </c>
      <c r="AE146" s="1">
        <f t="shared" si="8"/>
        <v>1</v>
      </c>
    </row>
    <row r="147" spans="19:31">
      <c r="S147" s="17">
        <v>2</v>
      </c>
      <c r="T147" s="18"/>
      <c r="U147" s="17">
        <v>2</v>
      </c>
      <c r="V147" s="17" t="s">
        <v>43</v>
      </c>
      <c r="W147" s="18">
        <v>21</v>
      </c>
      <c r="X147" s="18" t="s">
        <v>342</v>
      </c>
      <c r="Y147" s="18">
        <v>30</v>
      </c>
      <c r="Z147" s="17" t="s">
        <v>69</v>
      </c>
      <c r="AA147" s="17">
        <v>1</v>
      </c>
      <c r="AB147" s="17" t="s">
        <v>165</v>
      </c>
      <c r="AC147" s="1">
        <f t="shared" si="6"/>
        <v>0</v>
      </c>
      <c r="AD147" s="1">
        <f t="shared" si="7"/>
        <v>0</v>
      </c>
      <c r="AE147" s="1">
        <f t="shared" si="8"/>
        <v>1</v>
      </c>
    </row>
    <row r="148" spans="19:31">
      <c r="S148" s="17">
        <v>3</v>
      </c>
      <c r="T148" s="18"/>
      <c r="U148" s="17">
        <v>1</v>
      </c>
      <c r="V148" s="17" t="s">
        <v>43</v>
      </c>
      <c r="W148" s="18">
        <v>19</v>
      </c>
      <c r="X148" s="18" t="s">
        <v>342</v>
      </c>
      <c r="Y148" s="18">
        <v>45</v>
      </c>
      <c r="Z148" s="17" t="s">
        <v>47</v>
      </c>
      <c r="AA148" s="17">
        <v>2</v>
      </c>
      <c r="AB148" s="17" t="s">
        <v>181</v>
      </c>
      <c r="AC148" s="1">
        <f t="shared" si="6"/>
        <v>0</v>
      </c>
      <c r="AD148" s="1">
        <f t="shared" si="7"/>
        <v>0</v>
      </c>
      <c r="AE148" s="1">
        <f t="shared" si="8"/>
        <v>1</v>
      </c>
    </row>
    <row r="149" spans="19:31">
      <c r="S149" s="17">
        <v>4</v>
      </c>
      <c r="T149" s="18"/>
      <c r="U149" s="17">
        <v>2</v>
      </c>
      <c r="V149" s="17" t="s">
        <v>43</v>
      </c>
      <c r="W149" s="18">
        <v>27</v>
      </c>
      <c r="X149" s="18" t="s">
        <v>342</v>
      </c>
      <c r="Y149" s="18">
        <v>42</v>
      </c>
      <c r="Z149" s="17" t="s">
        <v>117</v>
      </c>
      <c r="AA149" s="17">
        <v>1</v>
      </c>
      <c r="AB149" s="17" t="s">
        <v>173</v>
      </c>
      <c r="AC149" s="1">
        <f t="shared" si="6"/>
        <v>0</v>
      </c>
      <c r="AD149" s="1">
        <f t="shared" si="7"/>
        <v>0</v>
      </c>
      <c r="AE149" s="1">
        <f t="shared" si="8"/>
        <v>1</v>
      </c>
    </row>
    <row r="150" spans="19:31">
      <c r="S150" s="17">
        <v>5</v>
      </c>
      <c r="T150" s="18"/>
      <c r="U150" s="17">
        <v>2</v>
      </c>
      <c r="V150" s="17" t="s">
        <v>43</v>
      </c>
      <c r="W150" s="18">
        <v>0</v>
      </c>
      <c r="X150" s="18" t="s">
        <v>342</v>
      </c>
      <c r="Y150" s="18">
        <v>45</v>
      </c>
      <c r="Z150" s="17" t="s">
        <v>55</v>
      </c>
      <c r="AA150" s="17">
        <v>1</v>
      </c>
      <c r="AB150" s="17" t="s">
        <v>177</v>
      </c>
      <c r="AC150" s="1">
        <f t="shared" si="6"/>
        <v>0</v>
      </c>
      <c r="AD150" s="1">
        <f t="shared" si="7"/>
        <v>0</v>
      </c>
      <c r="AE150" s="1">
        <f t="shared" si="8"/>
        <v>1</v>
      </c>
    </row>
    <row r="151" spans="19:31">
      <c r="S151" s="17">
        <v>6</v>
      </c>
      <c r="T151" s="18"/>
      <c r="U151" s="17">
        <v>1</v>
      </c>
      <c r="V151" s="17" t="s">
        <v>43</v>
      </c>
      <c r="W151" s="18">
        <v>18</v>
      </c>
      <c r="X151" s="18" t="s">
        <v>342</v>
      </c>
      <c r="Y151" s="18">
        <v>45</v>
      </c>
      <c r="Z151" s="17" t="s">
        <v>27</v>
      </c>
      <c r="AA151" s="17">
        <v>2</v>
      </c>
      <c r="AB151" s="17" t="s">
        <v>181</v>
      </c>
      <c r="AC151" s="1">
        <f t="shared" si="6"/>
        <v>0</v>
      </c>
      <c r="AD151" s="1">
        <f t="shared" si="7"/>
        <v>0</v>
      </c>
      <c r="AE151" s="1">
        <f t="shared" si="8"/>
        <v>1</v>
      </c>
    </row>
    <row r="152" spans="19:31">
      <c r="S152" s="17">
        <v>7</v>
      </c>
      <c r="T152" s="18"/>
      <c r="U152" s="17">
        <v>2</v>
      </c>
      <c r="V152" s="17" t="s">
        <v>43</v>
      </c>
      <c r="W152" s="18">
        <v>14</v>
      </c>
      <c r="X152" s="18" t="s">
        <v>342</v>
      </c>
      <c r="Y152" s="18">
        <v>45</v>
      </c>
      <c r="Z152" s="17" t="s">
        <v>73</v>
      </c>
      <c r="AA152" s="17">
        <v>1</v>
      </c>
      <c r="AB152" s="17" t="s">
        <v>165</v>
      </c>
      <c r="AC152" s="1">
        <f t="shared" si="6"/>
        <v>0</v>
      </c>
      <c r="AD152" s="1">
        <f t="shared" si="7"/>
        <v>0</v>
      </c>
      <c r="AE152" s="1">
        <f t="shared" si="8"/>
        <v>1</v>
      </c>
    </row>
    <row r="153" spans="19:31">
      <c r="S153" s="17">
        <v>8</v>
      </c>
      <c r="T153" s="18"/>
      <c r="U153" s="17">
        <v>2</v>
      </c>
      <c r="V153" s="17" t="s">
        <v>43</v>
      </c>
      <c r="W153" s="18">
        <v>9</v>
      </c>
      <c r="X153" s="18" t="s">
        <v>342</v>
      </c>
      <c r="Y153" s="18">
        <v>45</v>
      </c>
      <c r="Z153" s="17" t="s">
        <v>63</v>
      </c>
      <c r="AA153" s="17">
        <v>1</v>
      </c>
      <c r="AB153" s="17" t="s">
        <v>173</v>
      </c>
      <c r="AC153" s="1">
        <f t="shared" si="6"/>
        <v>0</v>
      </c>
      <c r="AD153" s="1">
        <f t="shared" si="7"/>
        <v>0</v>
      </c>
      <c r="AE153" s="1">
        <f t="shared" si="8"/>
        <v>1</v>
      </c>
    </row>
    <row r="154" spans="19:31">
      <c r="S154" s="17">
        <v>9</v>
      </c>
      <c r="T154" s="18"/>
      <c r="U154" s="17">
        <v>1</v>
      </c>
      <c r="V154" s="17" t="s">
        <v>43</v>
      </c>
      <c r="W154" s="18">
        <v>45</v>
      </c>
      <c r="X154" s="18" t="s">
        <v>342</v>
      </c>
      <c r="Y154" s="18">
        <v>0</v>
      </c>
      <c r="Z154" s="17" t="s">
        <v>343</v>
      </c>
      <c r="AA154" s="17">
        <v>2</v>
      </c>
      <c r="AB154" s="17" t="s">
        <v>181</v>
      </c>
      <c r="AC154" s="1">
        <f t="shared" si="6"/>
        <v>1</v>
      </c>
      <c r="AD154" s="1">
        <f t="shared" si="7"/>
        <v>0</v>
      </c>
      <c r="AE154" s="1">
        <f t="shared" si="8"/>
        <v>0</v>
      </c>
    </row>
    <row r="155" spans="19:31">
      <c r="S155" s="17">
        <v>10</v>
      </c>
      <c r="T155" s="18"/>
      <c r="U155" s="17">
        <v>2</v>
      </c>
      <c r="V155" s="17" t="s">
        <v>43</v>
      </c>
      <c r="W155" s="18">
        <v>45</v>
      </c>
      <c r="X155" s="18" t="s">
        <v>342</v>
      </c>
      <c r="Y155" s="18">
        <v>0</v>
      </c>
      <c r="Z155" s="17" t="s">
        <v>343</v>
      </c>
      <c r="AA155" s="17">
        <v>1</v>
      </c>
      <c r="AB155" s="17" t="s">
        <v>177</v>
      </c>
      <c r="AC155" s="1">
        <f t="shared" si="6"/>
        <v>1</v>
      </c>
      <c r="AD155" s="1">
        <f t="shared" si="7"/>
        <v>0</v>
      </c>
      <c r="AE155" s="1">
        <f t="shared" si="8"/>
        <v>0</v>
      </c>
    </row>
    <row r="156" spans="19:31">
      <c r="S156" s="17">
        <v>11</v>
      </c>
      <c r="T156" s="18"/>
      <c r="U156" s="17">
        <v>2</v>
      </c>
      <c r="V156" s="17" t="s">
        <v>43</v>
      </c>
      <c r="W156" s="18">
        <v>45</v>
      </c>
      <c r="X156" s="18" t="s">
        <v>342</v>
      </c>
      <c r="Y156" s="18">
        <v>7</v>
      </c>
      <c r="Z156" s="17" t="s">
        <v>85</v>
      </c>
      <c r="AA156" s="17">
        <v>1</v>
      </c>
      <c r="AB156" s="17" t="s">
        <v>173</v>
      </c>
      <c r="AC156" s="1">
        <f t="shared" si="6"/>
        <v>1</v>
      </c>
      <c r="AD156" s="1">
        <f t="shared" si="7"/>
        <v>0</v>
      </c>
      <c r="AE156" s="1">
        <f t="shared" si="8"/>
        <v>0</v>
      </c>
    </row>
    <row r="157" spans="19:31">
      <c r="S157" s="17">
        <v>12</v>
      </c>
      <c r="T157" s="18"/>
      <c r="U157" s="17">
        <v>1</v>
      </c>
      <c r="V157" s="17" t="s">
        <v>43</v>
      </c>
      <c r="W157" s="18">
        <v>33</v>
      </c>
      <c r="X157" s="18" t="s">
        <v>342</v>
      </c>
      <c r="Y157" s="18">
        <v>0</v>
      </c>
      <c r="Z157" s="17" t="s">
        <v>86</v>
      </c>
      <c r="AA157" s="17">
        <v>2</v>
      </c>
      <c r="AB157" s="17" t="s">
        <v>165</v>
      </c>
      <c r="AC157" s="1">
        <f t="shared" si="6"/>
        <v>1</v>
      </c>
      <c r="AD157" s="1">
        <f t="shared" si="7"/>
        <v>0</v>
      </c>
      <c r="AE157" s="1">
        <f t="shared" si="8"/>
        <v>0</v>
      </c>
    </row>
    <row r="158" spans="19:31">
      <c r="S158" s="17">
        <v>13</v>
      </c>
      <c r="T158" s="18"/>
      <c r="U158" s="17">
        <v>1</v>
      </c>
      <c r="V158" s="17" t="s">
        <v>43</v>
      </c>
      <c r="W158" s="18">
        <v>34</v>
      </c>
      <c r="X158" s="18" t="s">
        <v>342</v>
      </c>
      <c r="Y158" s="18">
        <v>31</v>
      </c>
      <c r="Z158" s="17" t="s">
        <v>127</v>
      </c>
      <c r="AA158" s="17">
        <v>2</v>
      </c>
      <c r="AB158" s="17" t="s">
        <v>177</v>
      </c>
      <c r="AC158" s="1">
        <f t="shared" si="6"/>
        <v>1</v>
      </c>
      <c r="AD158" s="1">
        <f t="shared" si="7"/>
        <v>0</v>
      </c>
      <c r="AE158" s="1">
        <f t="shared" si="8"/>
        <v>0</v>
      </c>
    </row>
    <row r="159" spans="19:31">
      <c r="S159" s="17">
        <v>14</v>
      </c>
      <c r="T159" s="18"/>
      <c r="U159" s="17">
        <v>1</v>
      </c>
      <c r="V159" s="17" t="s">
        <v>43</v>
      </c>
      <c r="W159" s="18">
        <v>36</v>
      </c>
      <c r="X159" s="18" t="s">
        <v>342</v>
      </c>
      <c r="Y159" s="18">
        <v>9</v>
      </c>
      <c r="Z159" s="17" t="s">
        <v>75</v>
      </c>
      <c r="AA159" s="17">
        <v>2</v>
      </c>
      <c r="AB159" s="17" t="s">
        <v>165</v>
      </c>
      <c r="AC159" s="1">
        <f t="shared" si="6"/>
        <v>1</v>
      </c>
      <c r="AD159" s="1">
        <f t="shared" si="7"/>
        <v>0</v>
      </c>
      <c r="AE159" s="1">
        <f t="shared" si="8"/>
        <v>0</v>
      </c>
    </row>
    <row r="160" spans="19:31">
      <c r="S160" s="17">
        <v>15</v>
      </c>
      <c r="T160" s="18"/>
      <c r="U160" s="17">
        <v>1</v>
      </c>
      <c r="V160" s="17" t="s">
        <v>43</v>
      </c>
      <c r="W160" s="18">
        <v>27</v>
      </c>
      <c r="X160" s="18" t="s">
        <v>342</v>
      </c>
      <c r="Y160" s="18">
        <v>42</v>
      </c>
      <c r="Z160" s="17" t="s">
        <v>101</v>
      </c>
      <c r="AA160" s="17">
        <v>2</v>
      </c>
      <c r="AB160" s="17" t="s">
        <v>173</v>
      </c>
      <c r="AC160" s="1">
        <f t="shared" si="6"/>
        <v>0</v>
      </c>
      <c r="AD160" s="1">
        <f t="shared" si="7"/>
        <v>0</v>
      </c>
      <c r="AE160" s="1">
        <f t="shared" si="8"/>
        <v>1</v>
      </c>
    </row>
    <row r="161" spans="19:31">
      <c r="S161" s="58" t="s">
        <v>339</v>
      </c>
      <c r="T161" s="58" t="s">
        <v>340</v>
      </c>
      <c r="U161" s="58" t="s">
        <v>341</v>
      </c>
      <c r="V161" s="58" t="s">
        <v>1</v>
      </c>
      <c r="W161" s="66" t="s">
        <v>220</v>
      </c>
      <c r="X161" s="66"/>
      <c r="Y161" s="66"/>
      <c r="Z161" s="58" t="s">
        <v>1</v>
      </c>
      <c r="AA161" s="58" t="s">
        <v>341</v>
      </c>
      <c r="AB161" s="58" t="s">
        <v>395</v>
      </c>
      <c r="AC161" s="1">
        <f t="shared" si="6"/>
        <v>1</v>
      </c>
      <c r="AD161" s="1">
        <f t="shared" si="7"/>
        <v>0</v>
      </c>
      <c r="AE161" s="1">
        <f t="shared" si="8"/>
        <v>0</v>
      </c>
    </row>
    <row r="162" spans="19:31">
      <c r="S162" s="17">
        <v>1</v>
      </c>
      <c r="T162" s="18"/>
      <c r="U162" s="17">
        <v>2</v>
      </c>
      <c r="V162" s="17" t="s">
        <v>127</v>
      </c>
      <c r="W162" s="18">
        <v>13</v>
      </c>
      <c r="X162" s="18" t="s">
        <v>342</v>
      </c>
      <c r="Y162" s="18">
        <v>45</v>
      </c>
      <c r="Z162" s="17" t="s">
        <v>117</v>
      </c>
      <c r="AA162" s="17">
        <v>1</v>
      </c>
      <c r="AB162" s="17" t="s">
        <v>177</v>
      </c>
      <c r="AC162" s="1">
        <f t="shared" si="6"/>
        <v>0</v>
      </c>
      <c r="AD162" s="1">
        <f t="shared" si="7"/>
        <v>0</v>
      </c>
      <c r="AE162" s="1">
        <f t="shared" si="8"/>
        <v>1</v>
      </c>
    </row>
    <row r="163" spans="19:31">
      <c r="S163" s="17">
        <v>2</v>
      </c>
      <c r="T163" s="18"/>
      <c r="U163" s="17">
        <v>1</v>
      </c>
      <c r="V163" s="17" t="s">
        <v>127</v>
      </c>
      <c r="W163" s="18">
        <v>12</v>
      </c>
      <c r="X163" s="18" t="s">
        <v>342</v>
      </c>
      <c r="Y163" s="18">
        <v>45</v>
      </c>
      <c r="Z163" s="17" t="s">
        <v>47</v>
      </c>
      <c r="AA163" s="17">
        <v>2</v>
      </c>
      <c r="AB163" s="17" t="s">
        <v>165</v>
      </c>
      <c r="AC163" s="1">
        <f t="shared" si="6"/>
        <v>0</v>
      </c>
      <c r="AD163" s="1">
        <f t="shared" si="7"/>
        <v>0</v>
      </c>
      <c r="AE163" s="1">
        <f t="shared" si="8"/>
        <v>1</v>
      </c>
    </row>
    <row r="164" spans="19:31">
      <c r="S164" s="17">
        <v>3</v>
      </c>
      <c r="T164" s="18"/>
      <c r="U164" s="17">
        <v>2</v>
      </c>
      <c r="V164" s="17" t="s">
        <v>127</v>
      </c>
      <c r="W164" s="18">
        <v>21</v>
      </c>
      <c r="X164" s="18" t="s">
        <v>342</v>
      </c>
      <c r="Y164" s="18">
        <v>45</v>
      </c>
      <c r="Z164" s="17" t="s">
        <v>69</v>
      </c>
      <c r="AA164" s="17">
        <v>1</v>
      </c>
      <c r="AB164" s="17" t="s">
        <v>181</v>
      </c>
      <c r="AC164" s="1">
        <f t="shared" si="6"/>
        <v>0</v>
      </c>
      <c r="AD164" s="1">
        <f t="shared" si="7"/>
        <v>0</v>
      </c>
      <c r="AE164" s="1">
        <f t="shared" si="8"/>
        <v>1</v>
      </c>
    </row>
    <row r="165" spans="19:31">
      <c r="S165" s="17">
        <v>4</v>
      </c>
      <c r="T165" s="18"/>
      <c r="U165" s="17">
        <v>2</v>
      </c>
      <c r="V165" s="17" t="s">
        <v>127</v>
      </c>
      <c r="W165" s="18">
        <v>30</v>
      </c>
      <c r="X165" s="18" t="s">
        <v>342</v>
      </c>
      <c r="Y165" s="18">
        <v>45</v>
      </c>
      <c r="Z165" s="17" t="s">
        <v>51</v>
      </c>
      <c r="AA165" s="17">
        <v>1</v>
      </c>
      <c r="AB165" s="17" t="s">
        <v>173</v>
      </c>
      <c r="AC165" s="1">
        <f t="shared" si="6"/>
        <v>0</v>
      </c>
      <c r="AD165" s="1">
        <f t="shared" si="7"/>
        <v>0</v>
      </c>
      <c r="AE165" s="1">
        <f t="shared" si="8"/>
        <v>1</v>
      </c>
    </row>
    <row r="166" spans="19:31">
      <c r="S166" s="17">
        <v>5</v>
      </c>
      <c r="T166" s="18"/>
      <c r="U166" s="17">
        <v>2</v>
      </c>
      <c r="V166" s="17" t="s">
        <v>127</v>
      </c>
      <c r="W166" s="18">
        <v>16</v>
      </c>
      <c r="X166" s="18" t="s">
        <v>342</v>
      </c>
      <c r="Y166" s="18">
        <v>42</v>
      </c>
      <c r="Z166" s="17" t="s">
        <v>63</v>
      </c>
      <c r="AA166" s="17">
        <v>1</v>
      </c>
      <c r="AB166" s="17" t="s">
        <v>177</v>
      </c>
      <c r="AC166" s="1">
        <f t="shared" si="6"/>
        <v>0</v>
      </c>
      <c r="AD166" s="1">
        <f t="shared" si="7"/>
        <v>0</v>
      </c>
      <c r="AE166" s="1">
        <f t="shared" si="8"/>
        <v>1</v>
      </c>
    </row>
    <row r="167" spans="19:31">
      <c r="S167" s="17">
        <v>6</v>
      </c>
      <c r="T167" s="18"/>
      <c r="U167" s="17">
        <v>2</v>
      </c>
      <c r="V167" s="17" t="s">
        <v>127</v>
      </c>
      <c r="W167" s="18">
        <v>18</v>
      </c>
      <c r="X167" s="18" t="s">
        <v>342</v>
      </c>
      <c r="Y167" s="18">
        <v>45</v>
      </c>
      <c r="Z167" s="17" t="s">
        <v>73</v>
      </c>
      <c r="AA167" s="17">
        <v>1</v>
      </c>
      <c r="AB167" s="17" t="s">
        <v>181</v>
      </c>
      <c r="AC167" s="1">
        <f t="shared" si="6"/>
        <v>0</v>
      </c>
      <c r="AD167" s="1">
        <f t="shared" si="7"/>
        <v>0</v>
      </c>
      <c r="AE167" s="1">
        <f t="shared" si="8"/>
        <v>1</v>
      </c>
    </row>
    <row r="168" spans="19:31">
      <c r="S168" s="17">
        <v>7</v>
      </c>
      <c r="T168" s="18"/>
      <c r="U168" s="17">
        <v>2</v>
      </c>
      <c r="V168" s="17" t="s">
        <v>127</v>
      </c>
      <c r="W168" s="18">
        <v>16</v>
      </c>
      <c r="X168" s="18" t="s">
        <v>342</v>
      </c>
      <c r="Y168" s="18">
        <v>45</v>
      </c>
      <c r="Z168" s="17" t="s">
        <v>27</v>
      </c>
      <c r="AA168" s="17">
        <v>1</v>
      </c>
      <c r="AB168" s="17" t="s">
        <v>165</v>
      </c>
      <c r="AC168" s="1">
        <f t="shared" si="6"/>
        <v>0</v>
      </c>
      <c r="AD168" s="1">
        <f t="shared" si="7"/>
        <v>0</v>
      </c>
      <c r="AE168" s="1">
        <f t="shared" si="8"/>
        <v>1</v>
      </c>
    </row>
    <row r="169" spans="19:31">
      <c r="S169" s="17">
        <v>8</v>
      </c>
      <c r="T169" s="18"/>
      <c r="U169" s="17">
        <v>1</v>
      </c>
      <c r="V169" s="17" t="s">
        <v>127</v>
      </c>
      <c r="W169" s="18">
        <v>12</v>
      </c>
      <c r="X169" s="18" t="s">
        <v>342</v>
      </c>
      <c r="Y169" s="18">
        <v>45</v>
      </c>
      <c r="Z169" s="17" t="s">
        <v>55</v>
      </c>
      <c r="AA169" s="17">
        <v>2</v>
      </c>
      <c r="AB169" s="17" t="s">
        <v>173</v>
      </c>
      <c r="AC169" s="1">
        <f t="shared" si="6"/>
        <v>0</v>
      </c>
      <c r="AD169" s="1">
        <f t="shared" si="7"/>
        <v>0</v>
      </c>
      <c r="AE169" s="1">
        <f t="shared" si="8"/>
        <v>1</v>
      </c>
    </row>
    <row r="170" spans="19:31">
      <c r="S170" s="17">
        <v>9</v>
      </c>
      <c r="T170" s="18"/>
      <c r="U170" s="17">
        <v>2</v>
      </c>
      <c r="V170" s="17" t="s">
        <v>127</v>
      </c>
      <c r="W170" s="18">
        <v>36</v>
      </c>
      <c r="X170" s="18" t="s">
        <v>342</v>
      </c>
      <c r="Y170" s="18">
        <v>0</v>
      </c>
      <c r="Z170" s="17" t="s">
        <v>86</v>
      </c>
      <c r="AA170" s="17">
        <v>1</v>
      </c>
      <c r="AB170" s="17" t="s">
        <v>181</v>
      </c>
      <c r="AC170" s="1">
        <f t="shared" si="6"/>
        <v>1</v>
      </c>
      <c r="AD170" s="1">
        <f t="shared" si="7"/>
        <v>0</v>
      </c>
      <c r="AE170" s="1">
        <f t="shared" si="8"/>
        <v>0</v>
      </c>
    </row>
    <row r="171" spans="19:31">
      <c r="S171" s="17">
        <v>10</v>
      </c>
      <c r="T171" s="18"/>
      <c r="U171" s="17">
        <v>1</v>
      </c>
      <c r="V171" s="17" t="s">
        <v>127</v>
      </c>
      <c r="W171" s="18">
        <v>42</v>
      </c>
      <c r="X171" s="18" t="s">
        <v>342</v>
      </c>
      <c r="Y171" s="18">
        <v>0</v>
      </c>
      <c r="Z171" s="17" t="s">
        <v>85</v>
      </c>
      <c r="AA171" s="17">
        <v>2</v>
      </c>
      <c r="AB171" s="17" t="s">
        <v>177</v>
      </c>
      <c r="AC171" s="1">
        <f t="shared" si="6"/>
        <v>1</v>
      </c>
      <c r="AD171" s="1">
        <f t="shared" si="7"/>
        <v>0</v>
      </c>
      <c r="AE171" s="1">
        <f t="shared" si="8"/>
        <v>0</v>
      </c>
    </row>
    <row r="172" spans="19:31">
      <c r="S172" s="17">
        <v>11</v>
      </c>
      <c r="T172" s="18"/>
      <c r="U172" s="17">
        <v>1</v>
      </c>
      <c r="V172" s="17" t="s">
        <v>127</v>
      </c>
      <c r="W172" s="18">
        <v>45</v>
      </c>
      <c r="X172" s="18" t="s">
        <v>342</v>
      </c>
      <c r="Y172" s="18">
        <v>0</v>
      </c>
      <c r="Z172" s="17" t="s">
        <v>343</v>
      </c>
      <c r="AA172" s="17">
        <v>2</v>
      </c>
      <c r="AB172" s="17" t="s">
        <v>173</v>
      </c>
      <c r="AC172" s="1">
        <f t="shared" si="6"/>
        <v>1</v>
      </c>
      <c r="AD172" s="1">
        <f t="shared" si="7"/>
        <v>0</v>
      </c>
      <c r="AE172" s="1">
        <f t="shared" si="8"/>
        <v>0</v>
      </c>
    </row>
    <row r="173" spans="19:31">
      <c r="S173" s="17">
        <v>12</v>
      </c>
      <c r="T173" s="18"/>
      <c r="U173" s="17">
        <v>1</v>
      </c>
      <c r="V173" s="17" t="s">
        <v>127</v>
      </c>
      <c r="W173" s="18">
        <v>45</v>
      </c>
      <c r="X173" s="18" t="s">
        <v>342</v>
      </c>
      <c r="Y173" s="18">
        <v>0</v>
      </c>
      <c r="Z173" s="17" t="s">
        <v>343</v>
      </c>
      <c r="AA173" s="17">
        <v>2</v>
      </c>
      <c r="AB173" s="17" t="s">
        <v>165</v>
      </c>
      <c r="AC173" s="1">
        <f t="shared" si="6"/>
        <v>1</v>
      </c>
      <c r="AD173" s="1">
        <f t="shared" si="7"/>
        <v>0</v>
      </c>
      <c r="AE173" s="1">
        <f t="shared" si="8"/>
        <v>0</v>
      </c>
    </row>
    <row r="174" spans="19:31">
      <c r="S174" s="17">
        <v>13</v>
      </c>
      <c r="T174" s="18"/>
      <c r="U174" s="17">
        <v>2</v>
      </c>
      <c r="V174" s="17" t="s">
        <v>127</v>
      </c>
      <c r="W174" s="18">
        <v>31</v>
      </c>
      <c r="X174" s="18" t="s">
        <v>342</v>
      </c>
      <c r="Y174" s="18">
        <v>34</v>
      </c>
      <c r="Z174" s="17" t="s">
        <v>43</v>
      </c>
      <c r="AA174" s="17">
        <v>1</v>
      </c>
      <c r="AB174" s="17" t="s">
        <v>177</v>
      </c>
      <c r="AC174" s="1">
        <f t="shared" si="6"/>
        <v>0</v>
      </c>
      <c r="AD174" s="1">
        <f t="shared" si="7"/>
        <v>0</v>
      </c>
      <c r="AE174" s="1">
        <f t="shared" si="8"/>
        <v>1</v>
      </c>
    </row>
    <row r="175" spans="19:31">
      <c r="S175" s="17">
        <v>14</v>
      </c>
      <c r="T175" s="18"/>
      <c r="U175" s="17">
        <v>1</v>
      </c>
      <c r="V175" s="17" t="s">
        <v>127</v>
      </c>
      <c r="W175" s="18">
        <v>21</v>
      </c>
      <c r="X175" s="18" t="s">
        <v>342</v>
      </c>
      <c r="Y175" s="18">
        <v>30</v>
      </c>
      <c r="Z175" s="17" t="s">
        <v>101</v>
      </c>
      <c r="AA175" s="17">
        <v>2</v>
      </c>
      <c r="AB175" s="17" t="s">
        <v>165</v>
      </c>
      <c r="AC175" s="1">
        <f t="shared" si="6"/>
        <v>0</v>
      </c>
      <c r="AD175" s="1">
        <f t="shared" si="7"/>
        <v>0</v>
      </c>
      <c r="AE175" s="1">
        <f t="shared" si="8"/>
        <v>1</v>
      </c>
    </row>
    <row r="176" spans="19:31">
      <c r="S176" s="17">
        <v>15</v>
      </c>
      <c r="T176" s="18"/>
      <c r="U176" s="17">
        <v>2</v>
      </c>
      <c r="V176" s="17" t="s">
        <v>127</v>
      </c>
      <c r="W176" s="18">
        <v>33</v>
      </c>
      <c r="X176" s="18" t="s">
        <v>342</v>
      </c>
      <c r="Y176" s="18">
        <v>21</v>
      </c>
      <c r="Z176" s="17" t="s">
        <v>75</v>
      </c>
      <c r="AA176" s="17">
        <v>1</v>
      </c>
      <c r="AB176" s="17" t="s">
        <v>173</v>
      </c>
      <c r="AC176" s="1">
        <f t="shared" si="6"/>
        <v>1</v>
      </c>
      <c r="AD176" s="1">
        <f t="shared" si="7"/>
        <v>0</v>
      </c>
      <c r="AE176" s="1">
        <f t="shared" si="8"/>
        <v>0</v>
      </c>
    </row>
    <row r="177" spans="19:31">
      <c r="S177" s="58" t="s">
        <v>339</v>
      </c>
      <c r="T177" s="58" t="s">
        <v>340</v>
      </c>
      <c r="U177" s="58" t="s">
        <v>341</v>
      </c>
      <c r="V177" s="58" t="s">
        <v>1</v>
      </c>
      <c r="W177" s="66" t="s">
        <v>220</v>
      </c>
      <c r="X177" s="66"/>
      <c r="Y177" s="66"/>
      <c r="Z177" s="58" t="s">
        <v>1</v>
      </c>
      <c r="AA177" s="58" t="s">
        <v>341</v>
      </c>
      <c r="AB177" s="58" t="s">
        <v>395</v>
      </c>
      <c r="AC177" s="1">
        <f t="shared" si="6"/>
        <v>1</v>
      </c>
      <c r="AD177" s="1">
        <f t="shared" si="7"/>
        <v>0</v>
      </c>
      <c r="AE177" s="1">
        <f t="shared" si="8"/>
        <v>0</v>
      </c>
    </row>
    <row r="178" spans="19:31">
      <c r="S178" s="17">
        <v>1</v>
      </c>
      <c r="T178" s="18"/>
      <c r="U178" s="17">
        <v>1</v>
      </c>
      <c r="V178" s="17" t="s">
        <v>75</v>
      </c>
      <c r="W178" s="18">
        <v>7</v>
      </c>
      <c r="X178" s="18" t="s">
        <v>342</v>
      </c>
      <c r="Y178" s="18">
        <v>42</v>
      </c>
      <c r="Z178" s="17" t="s">
        <v>47</v>
      </c>
      <c r="AA178" s="17">
        <v>2</v>
      </c>
      <c r="AB178" s="17" t="s">
        <v>177</v>
      </c>
      <c r="AC178" s="1">
        <f t="shared" si="6"/>
        <v>0</v>
      </c>
      <c r="AD178" s="1">
        <f t="shared" si="7"/>
        <v>0</v>
      </c>
      <c r="AE178" s="1">
        <f t="shared" si="8"/>
        <v>1</v>
      </c>
    </row>
    <row r="179" spans="19:31">
      <c r="S179" s="17">
        <v>2</v>
      </c>
      <c r="T179" s="18"/>
      <c r="U179" s="17">
        <v>2</v>
      </c>
      <c r="V179" s="17" t="s">
        <v>75</v>
      </c>
      <c r="W179" s="18">
        <v>6</v>
      </c>
      <c r="X179" s="18" t="s">
        <v>342</v>
      </c>
      <c r="Y179" s="18">
        <v>39</v>
      </c>
      <c r="Z179" s="17" t="s">
        <v>117</v>
      </c>
      <c r="AA179" s="17">
        <v>1</v>
      </c>
      <c r="AB179" s="17" t="s">
        <v>165</v>
      </c>
      <c r="AC179" s="1">
        <f t="shared" si="6"/>
        <v>0</v>
      </c>
      <c r="AD179" s="1">
        <f t="shared" si="7"/>
        <v>0</v>
      </c>
      <c r="AE179" s="1">
        <f t="shared" si="8"/>
        <v>1</v>
      </c>
    </row>
    <row r="180" spans="19:31">
      <c r="S180" s="17">
        <v>3</v>
      </c>
      <c r="T180" s="18"/>
      <c r="U180" s="17">
        <v>2</v>
      </c>
      <c r="V180" s="17" t="s">
        <v>75</v>
      </c>
      <c r="W180" s="18">
        <v>9</v>
      </c>
      <c r="X180" s="18" t="s">
        <v>342</v>
      </c>
      <c r="Y180" s="18">
        <v>45</v>
      </c>
      <c r="Z180" s="17" t="s">
        <v>51</v>
      </c>
      <c r="AA180" s="17">
        <v>1</v>
      </c>
      <c r="AB180" s="17" t="s">
        <v>181</v>
      </c>
      <c r="AC180" s="1">
        <f t="shared" si="6"/>
        <v>0</v>
      </c>
      <c r="AD180" s="1">
        <f t="shared" si="7"/>
        <v>0</v>
      </c>
      <c r="AE180" s="1">
        <f t="shared" si="8"/>
        <v>1</v>
      </c>
    </row>
    <row r="181" spans="19:31">
      <c r="S181" s="17">
        <v>4</v>
      </c>
      <c r="T181" s="18"/>
      <c r="U181" s="17">
        <v>2</v>
      </c>
      <c r="V181" s="17" t="s">
        <v>75</v>
      </c>
      <c r="W181" s="18">
        <v>2</v>
      </c>
      <c r="X181" s="18" t="s">
        <v>342</v>
      </c>
      <c r="Y181" s="18">
        <v>45</v>
      </c>
      <c r="Z181" s="17" t="s">
        <v>69</v>
      </c>
      <c r="AA181" s="17">
        <v>1</v>
      </c>
      <c r="AB181" s="17" t="s">
        <v>173</v>
      </c>
      <c r="AC181" s="1">
        <f t="shared" si="6"/>
        <v>0</v>
      </c>
      <c r="AD181" s="1">
        <f t="shared" si="7"/>
        <v>0</v>
      </c>
      <c r="AE181" s="1">
        <f t="shared" si="8"/>
        <v>1</v>
      </c>
    </row>
    <row r="182" spans="19:31">
      <c r="S182" s="17">
        <v>5</v>
      </c>
      <c r="T182" s="18"/>
      <c r="U182" s="17">
        <v>2</v>
      </c>
      <c r="V182" s="17" t="s">
        <v>75</v>
      </c>
      <c r="W182" s="18">
        <v>1</v>
      </c>
      <c r="X182" s="18" t="s">
        <v>342</v>
      </c>
      <c r="Y182" s="18">
        <v>45</v>
      </c>
      <c r="Z182" s="17" t="s">
        <v>73</v>
      </c>
      <c r="AA182" s="17">
        <v>1</v>
      </c>
      <c r="AB182" s="17" t="s">
        <v>177</v>
      </c>
      <c r="AC182" s="1">
        <f t="shared" si="6"/>
        <v>0</v>
      </c>
      <c r="AD182" s="1">
        <f t="shared" si="7"/>
        <v>0</v>
      </c>
      <c r="AE182" s="1">
        <f t="shared" si="8"/>
        <v>1</v>
      </c>
    </row>
    <row r="183" spans="19:31">
      <c r="S183" s="17">
        <v>6</v>
      </c>
      <c r="T183" s="18"/>
      <c r="U183" s="17">
        <v>1</v>
      </c>
      <c r="V183" s="17" t="s">
        <v>75</v>
      </c>
      <c r="W183" s="18">
        <v>10</v>
      </c>
      <c r="X183" s="18" t="s">
        <v>342</v>
      </c>
      <c r="Y183" s="18">
        <v>45</v>
      </c>
      <c r="Z183" s="17" t="s">
        <v>63</v>
      </c>
      <c r="AA183" s="17">
        <v>2</v>
      </c>
      <c r="AB183" s="17" t="s">
        <v>181</v>
      </c>
      <c r="AC183" s="1">
        <f t="shared" si="6"/>
        <v>0</v>
      </c>
      <c r="AD183" s="1">
        <f t="shared" si="7"/>
        <v>0</v>
      </c>
      <c r="AE183" s="1">
        <f t="shared" si="8"/>
        <v>1</v>
      </c>
    </row>
    <row r="184" spans="19:31">
      <c r="S184" s="17">
        <v>7</v>
      </c>
      <c r="T184" s="18"/>
      <c r="U184" s="17">
        <v>1</v>
      </c>
      <c r="V184" s="17" t="s">
        <v>75</v>
      </c>
      <c r="W184" s="18">
        <v>0</v>
      </c>
      <c r="X184" s="18" t="s">
        <v>342</v>
      </c>
      <c r="Y184" s="18">
        <v>45</v>
      </c>
      <c r="Z184" s="17" t="s">
        <v>55</v>
      </c>
      <c r="AA184" s="17">
        <v>2</v>
      </c>
      <c r="AB184" s="17" t="s">
        <v>165</v>
      </c>
      <c r="AC184" s="1">
        <f t="shared" si="6"/>
        <v>0</v>
      </c>
      <c r="AD184" s="1">
        <f t="shared" si="7"/>
        <v>0</v>
      </c>
      <c r="AE184" s="1">
        <f t="shared" si="8"/>
        <v>1</v>
      </c>
    </row>
    <row r="185" spans="19:31">
      <c r="S185" s="17">
        <v>8</v>
      </c>
      <c r="T185" s="18"/>
      <c r="U185" s="17">
        <v>1</v>
      </c>
      <c r="V185" s="17" t="s">
        <v>75</v>
      </c>
      <c r="W185" s="18">
        <v>3</v>
      </c>
      <c r="X185" s="18" t="s">
        <v>342</v>
      </c>
      <c r="Y185" s="18">
        <v>45</v>
      </c>
      <c r="Z185" s="17" t="s">
        <v>27</v>
      </c>
      <c r="AA185" s="17">
        <v>2</v>
      </c>
      <c r="AB185" s="17" t="s">
        <v>173</v>
      </c>
      <c r="AC185" s="1">
        <f t="shared" si="6"/>
        <v>0</v>
      </c>
      <c r="AD185" s="1">
        <f t="shared" si="7"/>
        <v>0</v>
      </c>
      <c r="AE185" s="1">
        <f t="shared" si="8"/>
        <v>1</v>
      </c>
    </row>
    <row r="186" spans="19:31">
      <c r="S186" s="17">
        <v>9</v>
      </c>
      <c r="T186" s="18"/>
      <c r="U186" s="17">
        <v>2</v>
      </c>
      <c r="V186" s="17" t="s">
        <v>75</v>
      </c>
      <c r="W186" s="18">
        <v>13</v>
      </c>
      <c r="X186" s="18" t="s">
        <v>342</v>
      </c>
      <c r="Y186" s="18">
        <v>3</v>
      </c>
      <c r="Z186" s="17" t="s">
        <v>85</v>
      </c>
      <c r="AA186" s="17">
        <v>1</v>
      </c>
      <c r="AB186" s="17" t="s">
        <v>181</v>
      </c>
      <c r="AC186" s="1">
        <f t="shared" si="6"/>
        <v>1</v>
      </c>
      <c r="AD186" s="1">
        <f t="shared" si="7"/>
        <v>0</v>
      </c>
      <c r="AE186" s="1">
        <f t="shared" si="8"/>
        <v>0</v>
      </c>
    </row>
    <row r="187" spans="19:31">
      <c r="S187" s="17">
        <v>10</v>
      </c>
      <c r="T187" s="18"/>
      <c r="U187" s="17">
        <v>2</v>
      </c>
      <c r="V187" s="17" t="s">
        <v>75</v>
      </c>
      <c r="W187" s="18">
        <v>19</v>
      </c>
      <c r="X187" s="18" t="s">
        <v>342</v>
      </c>
      <c r="Y187" s="18">
        <v>0</v>
      </c>
      <c r="Z187" s="17" t="s">
        <v>86</v>
      </c>
      <c r="AA187" s="17">
        <v>1</v>
      </c>
      <c r="AB187" s="17" t="s">
        <v>177</v>
      </c>
      <c r="AC187" s="1">
        <f t="shared" si="6"/>
        <v>1</v>
      </c>
      <c r="AD187" s="1">
        <f t="shared" si="7"/>
        <v>0</v>
      </c>
      <c r="AE187" s="1">
        <f t="shared" si="8"/>
        <v>0</v>
      </c>
    </row>
    <row r="188" spans="19:31">
      <c r="S188" s="17">
        <v>11</v>
      </c>
      <c r="T188" s="18"/>
      <c r="U188" s="17">
        <v>1</v>
      </c>
      <c r="V188" s="17" t="s">
        <v>75</v>
      </c>
      <c r="W188" s="18">
        <v>45</v>
      </c>
      <c r="X188" s="18" t="s">
        <v>342</v>
      </c>
      <c r="Y188" s="18">
        <v>0</v>
      </c>
      <c r="Z188" s="17" t="s">
        <v>343</v>
      </c>
      <c r="AA188" s="17">
        <v>2</v>
      </c>
      <c r="AB188" s="17" t="s">
        <v>173</v>
      </c>
      <c r="AC188" s="1">
        <f t="shared" si="6"/>
        <v>1</v>
      </c>
      <c r="AD188" s="1">
        <f t="shared" si="7"/>
        <v>0</v>
      </c>
      <c r="AE188" s="1">
        <f t="shared" si="8"/>
        <v>0</v>
      </c>
    </row>
    <row r="189" spans="19:31">
      <c r="S189" s="17">
        <v>12</v>
      </c>
      <c r="T189" s="18"/>
      <c r="U189" s="17">
        <v>1</v>
      </c>
      <c r="V189" s="17" t="s">
        <v>75</v>
      </c>
      <c r="W189" s="18">
        <v>45</v>
      </c>
      <c r="X189" s="18" t="s">
        <v>342</v>
      </c>
      <c r="Y189" s="18">
        <v>0</v>
      </c>
      <c r="Z189" s="17" t="s">
        <v>343</v>
      </c>
      <c r="AA189" s="17">
        <v>2</v>
      </c>
      <c r="AB189" s="17" t="s">
        <v>165</v>
      </c>
      <c r="AC189" s="1">
        <f t="shared" si="6"/>
        <v>1</v>
      </c>
      <c r="AD189" s="1">
        <f t="shared" si="7"/>
        <v>0</v>
      </c>
      <c r="AE189" s="1">
        <f t="shared" si="8"/>
        <v>0</v>
      </c>
    </row>
    <row r="190" spans="19:31">
      <c r="S190" s="17">
        <v>13</v>
      </c>
      <c r="T190" s="18"/>
      <c r="U190" s="17">
        <v>1</v>
      </c>
      <c r="V190" s="17" t="s">
        <v>75</v>
      </c>
      <c r="W190" s="18">
        <v>13</v>
      </c>
      <c r="X190" s="18" t="s">
        <v>342</v>
      </c>
      <c r="Y190" s="18">
        <v>42</v>
      </c>
      <c r="Z190" s="17" t="s">
        <v>101</v>
      </c>
      <c r="AA190" s="17">
        <v>2</v>
      </c>
      <c r="AB190" s="17" t="s">
        <v>177</v>
      </c>
      <c r="AC190" s="1">
        <f t="shared" si="6"/>
        <v>0</v>
      </c>
      <c r="AD190" s="1">
        <f t="shared" si="7"/>
        <v>0</v>
      </c>
      <c r="AE190" s="1">
        <f t="shared" si="8"/>
        <v>1</v>
      </c>
    </row>
    <row r="191" spans="19:31">
      <c r="S191" s="17">
        <v>14</v>
      </c>
      <c r="T191" s="18"/>
      <c r="U191" s="17">
        <v>2</v>
      </c>
      <c r="V191" s="17" t="s">
        <v>75</v>
      </c>
      <c r="W191" s="18">
        <v>9</v>
      </c>
      <c r="X191" s="18" t="s">
        <v>342</v>
      </c>
      <c r="Y191" s="18">
        <v>36</v>
      </c>
      <c r="Z191" s="17" t="s">
        <v>43</v>
      </c>
      <c r="AA191" s="17">
        <v>1</v>
      </c>
      <c r="AB191" s="17" t="s">
        <v>165</v>
      </c>
      <c r="AC191" s="1">
        <f t="shared" si="6"/>
        <v>0</v>
      </c>
      <c r="AD191" s="1">
        <f t="shared" si="7"/>
        <v>0</v>
      </c>
      <c r="AE191" s="1">
        <f t="shared" si="8"/>
        <v>1</v>
      </c>
    </row>
    <row r="192" spans="19:31">
      <c r="S192" s="17">
        <v>15</v>
      </c>
      <c r="T192" s="18"/>
      <c r="U192" s="17">
        <v>1</v>
      </c>
      <c r="V192" s="17" t="s">
        <v>75</v>
      </c>
      <c r="W192" s="18">
        <v>21</v>
      </c>
      <c r="X192" s="18" t="s">
        <v>342</v>
      </c>
      <c r="Y192" s="18">
        <v>33</v>
      </c>
      <c r="Z192" s="17" t="s">
        <v>127</v>
      </c>
      <c r="AA192" s="17">
        <v>2</v>
      </c>
      <c r="AB192" s="17" t="s">
        <v>173</v>
      </c>
      <c r="AC192" s="1">
        <f t="shared" si="6"/>
        <v>0</v>
      </c>
      <c r="AD192" s="1">
        <f t="shared" si="7"/>
        <v>0</v>
      </c>
      <c r="AE192" s="1">
        <f t="shared" si="8"/>
        <v>1</v>
      </c>
    </row>
    <row r="193" spans="19:31">
      <c r="S193" s="58" t="s">
        <v>339</v>
      </c>
      <c r="T193" s="58" t="s">
        <v>340</v>
      </c>
      <c r="U193" s="58" t="s">
        <v>341</v>
      </c>
      <c r="V193" s="58" t="s">
        <v>1</v>
      </c>
      <c r="W193" s="66" t="s">
        <v>220</v>
      </c>
      <c r="X193" s="66"/>
      <c r="Y193" s="66"/>
      <c r="Z193" s="58" t="s">
        <v>1</v>
      </c>
      <c r="AA193" s="58" t="s">
        <v>341</v>
      </c>
      <c r="AB193" s="58" t="s">
        <v>395</v>
      </c>
      <c r="AC193" s="1">
        <f t="shared" si="6"/>
        <v>1</v>
      </c>
      <c r="AD193" s="1">
        <f t="shared" si="7"/>
        <v>0</v>
      </c>
      <c r="AE193" s="1">
        <f t="shared" si="8"/>
        <v>0</v>
      </c>
    </row>
    <row r="194" spans="19:31">
      <c r="S194" s="17">
        <v>1</v>
      </c>
      <c r="T194" s="18"/>
      <c r="U194" s="17">
        <v>2</v>
      </c>
      <c r="V194" s="17" t="s">
        <v>85</v>
      </c>
      <c r="W194" s="18">
        <v>0</v>
      </c>
      <c r="X194" s="18" t="s">
        <v>342</v>
      </c>
      <c r="Y194" s="18">
        <v>45</v>
      </c>
      <c r="Z194" s="17" t="s">
        <v>27</v>
      </c>
      <c r="AA194" s="17">
        <v>1</v>
      </c>
      <c r="AB194" s="17" t="s">
        <v>177</v>
      </c>
      <c r="AC194" s="1">
        <f t="shared" si="6"/>
        <v>0</v>
      </c>
      <c r="AD194" s="1">
        <f t="shared" si="7"/>
        <v>0</v>
      </c>
      <c r="AE194" s="1">
        <f t="shared" si="8"/>
        <v>1</v>
      </c>
    </row>
    <row r="195" spans="19:31">
      <c r="S195" s="17">
        <v>2</v>
      </c>
      <c r="T195" s="18"/>
      <c r="U195" s="17">
        <v>2</v>
      </c>
      <c r="V195" s="17" t="s">
        <v>85</v>
      </c>
      <c r="W195" s="18">
        <v>0</v>
      </c>
      <c r="X195" s="18" t="s">
        <v>342</v>
      </c>
      <c r="Y195" s="18">
        <v>45</v>
      </c>
      <c r="Z195" s="17" t="s">
        <v>55</v>
      </c>
      <c r="AA195" s="17">
        <v>1</v>
      </c>
      <c r="AB195" s="17" t="s">
        <v>165</v>
      </c>
      <c r="AC195" s="1">
        <f t="shared" ref="AC195:AC256" si="9">IF(W195="",0,IF(W195&gt;Y195,1,0))</f>
        <v>0</v>
      </c>
      <c r="AD195" s="1">
        <f t="shared" ref="AD195:AD256" si="10">IF(W195="",0,IF(W195=Y195,1,0))</f>
        <v>0</v>
      </c>
      <c r="AE195" s="1">
        <f t="shared" ref="AE195:AE256" si="11">IF(W195="",0,IF(W195&lt;Y195,1,0))</f>
        <v>1</v>
      </c>
    </row>
    <row r="196" spans="19:31">
      <c r="S196" s="17">
        <v>3</v>
      </c>
      <c r="T196" s="18"/>
      <c r="U196" s="17">
        <v>1</v>
      </c>
      <c r="V196" s="17" t="s">
        <v>85</v>
      </c>
      <c r="W196" s="18">
        <v>0</v>
      </c>
      <c r="X196" s="18" t="s">
        <v>342</v>
      </c>
      <c r="Y196" s="18">
        <v>45</v>
      </c>
      <c r="Z196" s="17" t="s">
        <v>63</v>
      </c>
      <c r="AA196" s="17">
        <v>2</v>
      </c>
      <c r="AB196" s="17" t="s">
        <v>181</v>
      </c>
      <c r="AC196" s="1">
        <f t="shared" si="9"/>
        <v>0</v>
      </c>
      <c r="AD196" s="1">
        <f t="shared" si="10"/>
        <v>0</v>
      </c>
      <c r="AE196" s="1">
        <f t="shared" si="11"/>
        <v>1</v>
      </c>
    </row>
    <row r="197" spans="19:31">
      <c r="S197" s="17">
        <v>4</v>
      </c>
      <c r="T197" s="18"/>
      <c r="U197" s="17">
        <v>2</v>
      </c>
      <c r="V197" s="17" t="s">
        <v>85</v>
      </c>
      <c r="W197" s="18">
        <v>6</v>
      </c>
      <c r="X197" s="18" t="s">
        <v>342</v>
      </c>
      <c r="Y197" s="18">
        <v>45</v>
      </c>
      <c r="Z197" s="17" t="s">
        <v>73</v>
      </c>
      <c r="AA197" s="17">
        <v>1</v>
      </c>
      <c r="AB197" s="17" t="s">
        <v>173</v>
      </c>
      <c r="AC197" s="1">
        <f t="shared" si="9"/>
        <v>0</v>
      </c>
      <c r="AD197" s="1">
        <f t="shared" si="10"/>
        <v>0</v>
      </c>
      <c r="AE197" s="1">
        <f t="shared" si="11"/>
        <v>1</v>
      </c>
    </row>
    <row r="198" spans="19:31">
      <c r="S198" s="17">
        <v>5</v>
      </c>
      <c r="T198" s="18"/>
      <c r="U198" s="17">
        <v>1</v>
      </c>
      <c r="V198" s="17" t="s">
        <v>85</v>
      </c>
      <c r="W198" s="18">
        <v>0</v>
      </c>
      <c r="X198" s="18" t="s">
        <v>342</v>
      </c>
      <c r="Y198" s="18">
        <v>45</v>
      </c>
      <c r="Z198" s="17" t="s">
        <v>69</v>
      </c>
      <c r="AA198" s="17">
        <v>2</v>
      </c>
      <c r="AB198" s="17" t="s">
        <v>177</v>
      </c>
      <c r="AC198" s="1">
        <f t="shared" si="9"/>
        <v>0</v>
      </c>
      <c r="AD198" s="1">
        <f t="shared" si="10"/>
        <v>0</v>
      </c>
      <c r="AE198" s="1">
        <f t="shared" si="11"/>
        <v>1</v>
      </c>
    </row>
    <row r="199" spans="19:31">
      <c r="S199" s="17">
        <v>6</v>
      </c>
      <c r="T199" s="18"/>
      <c r="U199" s="17">
        <v>1</v>
      </c>
      <c r="V199" s="17" t="s">
        <v>85</v>
      </c>
      <c r="W199" s="18">
        <v>7</v>
      </c>
      <c r="X199" s="18" t="s">
        <v>342</v>
      </c>
      <c r="Y199" s="18">
        <v>45</v>
      </c>
      <c r="Z199" s="17" t="s">
        <v>51</v>
      </c>
      <c r="AA199" s="17">
        <v>2</v>
      </c>
      <c r="AB199" s="17" t="s">
        <v>181</v>
      </c>
      <c r="AC199" s="1">
        <f t="shared" si="9"/>
        <v>0</v>
      </c>
      <c r="AD199" s="1">
        <f t="shared" si="10"/>
        <v>0</v>
      </c>
      <c r="AE199" s="1">
        <f t="shared" si="11"/>
        <v>1</v>
      </c>
    </row>
    <row r="200" spans="19:31">
      <c r="S200" s="17">
        <v>7</v>
      </c>
      <c r="T200" s="18"/>
      <c r="U200" s="17">
        <v>1</v>
      </c>
      <c r="V200" s="17" t="s">
        <v>85</v>
      </c>
      <c r="W200" s="18">
        <v>1</v>
      </c>
      <c r="X200" s="18" t="s">
        <v>342</v>
      </c>
      <c r="Y200" s="18">
        <v>42</v>
      </c>
      <c r="Z200" s="17" t="s">
        <v>117</v>
      </c>
      <c r="AA200" s="17">
        <v>2</v>
      </c>
      <c r="AB200" s="17" t="s">
        <v>165</v>
      </c>
      <c r="AC200" s="1">
        <f t="shared" si="9"/>
        <v>0</v>
      </c>
      <c r="AD200" s="1">
        <f t="shared" si="10"/>
        <v>0</v>
      </c>
      <c r="AE200" s="1">
        <f t="shared" si="11"/>
        <v>1</v>
      </c>
    </row>
    <row r="201" spans="19:31">
      <c r="S201" s="17">
        <v>8</v>
      </c>
      <c r="T201" s="18"/>
      <c r="U201" s="17">
        <v>1</v>
      </c>
      <c r="V201" s="17" t="s">
        <v>85</v>
      </c>
      <c r="W201" s="18">
        <v>0</v>
      </c>
      <c r="X201" s="18" t="s">
        <v>342</v>
      </c>
      <c r="Y201" s="18">
        <v>45</v>
      </c>
      <c r="Z201" s="17" t="s">
        <v>47</v>
      </c>
      <c r="AA201" s="17">
        <v>2</v>
      </c>
      <c r="AB201" s="17" t="s">
        <v>173</v>
      </c>
      <c r="AC201" s="1">
        <f t="shared" si="9"/>
        <v>0</v>
      </c>
      <c r="AD201" s="1">
        <f t="shared" si="10"/>
        <v>0</v>
      </c>
      <c r="AE201" s="1">
        <f t="shared" si="11"/>
        <v>1</v>
      </c>
    </row>
    <row r="202" spans="19:31">
      <c r="S202" s="17">
        <v>9</v>
      </c>
      <c r="T202" s="18"/>
      <c r="U202" s="17">
        <v>1</v>
      </c>
      <c r="V202" s="17" t="s">
        <v>85</v>
      </c>
      <c r="W202" s="18">
        <v>3</v>
      </c>
      <c r="X202" s="18" t="s">
        <v>342</v>
      </c>
      <c r="Y202" s="18">
        <v>13</v>
      </c>
      <c r="Z202" s="17" t="s">
        <v>75</v>
      </c>
      <c r="AA202" s="17">
        <v>2</v>
      </c>
      <c r="AB202" s="17" t="s">
        <v>181</v>
      </c>
      <c r="AC202" s="1">
        <f t="shared" si="9"/>
        <v>0</v>
      </c>
      <c r="AD202" s="1">
        <f t="shared" si="10"/>
        <v>0</v>
      </c>
      <c r="AE202" s="1">
        <f t="shared" si="11"/>
        <v>1</v>
      </c>
    </row>
    <row r="203" spans="19:31">
      <c r="S203" s="17">
        <v>10</v>
      </c>
      <c r="T203" s="18"/>
      <c r="U203" s="17">
        <v>2</v>
      </c>
      <c r="V203" s="17" t="s">
        <v>85</v>
      </c>
      <c r="W203" s="18">
        <v>0</v>
      </c>
      <c r="X203" s="18" t="s">
        <v>342</v>
      </c>
      <c r="Y203" s="18">
        <v>42</v>
      </c>
      <c r="Z203" s="17" t="s">
        <v>127</v>
      </c>
      <c r="AA203" s="17">
        <v>1</v>
      </c>
      <c r="AB203" s="17" t="s">
        <v>177</v>
      </c>
      <c r="AC203" s="1">
        <f t="shared" si="9"/>
        <v>0</v>
      </c>
      <c r="AD203" s="1">
        <f t="shared" si="10"/>
        <v>0</v>
      </c>
      <c r="AE203" s="1">
        <f t="shared" si="11"/>
        <v>1</v>
      </c>
    </row>
    <row r="204" spans="19:31">
      <c r="S204" s="17">
        <v>11</v>
      </c>
      <c r="T204" s="18"/>
      <c r="U204" s="17">
        <v>1</v>
      </c>
      <c r="V204" s="17" t="s">
        <v>85</v>
      </c>
      <c r="W204" s="18">
        <v>7</v>
      </c>
      <c r="X204" s="18" t="s">
        <v>342</v>
      </c>
      <c r="Y204" s="18">
        <v>45</v>
      </c>
      <c r="Z204" s="17" t="s">
        <v>43</v>
      </c>
      <c r="AA204" s="17">
        <v>2</v>
      </c>
      <c r="AB204" s="17" t="s">
        <v>173</v>
      </c>
      <c r="AC204" s="1">
        <f t="shared" si="9"/>
        <v>0</v>
      </c>
      <c r="AD204" s="1">
        <f t="shared" si="10"/>
        <v>0</v>
      </c>
      <c r="AE204" s="1">
        <f t="shared" si="11"/>
        <v>1</v>
      </c>
    </row>
    <row r="205" spans="19:31">
      <c r="S205" s="17">
        <v>12</v>
      </c>
      <c r="T205" s="18"/>
      <c r="U205" s="17">
        <v>1</v>
      </c>
      <c r="V205" s="17" t="s">
        <v>85</v>
      </c>
      <c r="W205" s="18">
        <v>3</v>
      </c>
      <c r="X205" s="18" t="s">
        <v>342</v>
      </c>
      <c r="Y205" s="18">
        <v>45</v>
      </c>
      <c r="Z205" s="17" t="s">
        <v>101</v>
      </c>
      <c r="AA205" s="17">
        <v>2</v>
      </c>
      <c r="AB205" s="17" t="s">
        <v>165</v>
      </c>
      <c r="AC205" s="1">
        <f t="shared" si="9"/>
        <v>0</v>
      </c>
      <c r="AD205" s="1">
        <f t="shared" si="10"/>
        <v>0</v>
      </c>
      <c r="AE205" s="1">
        <f t="shared" si="11"/>
        <v>1</v>
      </c>
    </row>
    <row r="206" spans="19:31">
      <c r="S206" s="17">
        <v>13</v>
      </c>
      <c r="T206" s="18"/>
      <c r="U206" s="17">
        <v>2</v>
      </c>
      <c r="V206" s="17" t="s">
        <v>85</v>
      </c>
      <c r="W206" s="18">
        <v>45</v>
      </c>
      <c r="X206" s="18" t="s">
        <v>342</v>
      </c>
      <c r="Y206" s="18">
        <v>0</v>
      </c>
      <c r="Z206" s="17" t="s">
        <v>343</v>
      </c>
      <c r="AA206" s="17">
        <v>1</v>
      </c>
      <c r="AB206" s="17" t="s">
        <v>177</v>
      </c>
      <c r="AC206" s="1">
        <f t="shared" si="9"/>
        <v>1</v>
      </c>
      <c r="AD206" s="1">
        <f t="shared" si="10"/>
        <v>0</v>
      </c>
      <c r="AE206" s="1">
        <f t="shared" si="11"/>
        <v>0</v>
      </c>
    </row>
    <row r="207" spans="19:31">
      <c r="S207" s="17">
        <v>14</v>
      </c>
      <c r="T207" s="18"/>
      <c r="U207" s="17">
        <v>1</v>
      </c>
      <c r="V207" s="17" t="s">
        <v>85</v>
      </c>
      <c r="W207" s="18">
        <v>45</v>
      </c>
      <c r="X207" s="18" t="s">
        <v>342</v>
      </c>
      <c r="Y207" s="18">
        <v>0</v>
      </c>
      <c r="Z207" s="17" t="s">
        <v>343</v>
      </c>
      <c r="AA207" s="17">
        <v>2</v>
      </c>
      <c r="AB207" s="17" t="s">
        <v>165</v>
      </c>
      <c r="AC207" s="1">
        <f t="shared" si="9"/>
        <v>1</v>
      </c>
      <c r="AD207" s="1">
        <f t="shared" si="10"/>
        <v>0</v>
      </c>
      <c r="AE207" s="1">
        <f t="shared" si="11"/>
        <v>0</v>
      </c>
    </row>
    <row r="208" spans="19:31">
      <c r="S208" s="17">
        <v>15</v>
      </c>
      <c r="T208" s="18"/>
      <c r="U208" s="17">
        <v>1</v>
      </c>
      <c r="V208" s="17" t="s">
        <v>85</v>
      </c>
      <c r="W208" s="18">
        <v>1</v>
      </c>
      <c r="X208" s="18" t="s">
        <v>342</v>
      </c>
      <c r="Y208" s="18">
        <v>0</v>
      </c>
      <c r="Z208" s="17" t="s">
        <v>86</v>
      </c>
      <c r="AA208" s="17">
        <v>2</v>
      </c>
      <c r="AB208" s="17" t="s">
        <v>173</v>
      </c>
      <c r="AC208" s="1">
        <f t="shared" si="9"/>
        <v>1</v>
      </c>
      <c r="AD208" s="1">
        <f t="shared" si="10"/>
        <v>0</v>
      </c>
      <c r="AE208" s="1">
        <f t="shared" si="11"/>
        <v>0</v>
      </c>
    </row>
    <row r="209" spans="19:31">
      <c r="S209" s="58" t="s">
        <v>339</v>
      </c>
      <c r="T209" s="58" t="s">
        <v>340</v>
      </c>
      <c r="U209" s="58" t="s">
        <v>341</v>
      </c>
      <c r="V209" s="58" t="s">
        <v>1</v>
      </c>
      <c r="W209" s="66" t="s">
        <v>220</v>
      </c>
      <c r="X209" s="66"/>
      <c r="Y209" s="66"/>
      <c r="Z209" s="58" t="s">
        <v>1</v>
      </c>
      <c r="AA209" s="58" t="s">
        <v>341</v>
      </c>
      <c r="AB209" s="58" t="s">
        <v>395</v>
      </c>
      <c r="AC209" s="1">
        <f t="shared" si="9"/>
        <v>1</v>
      </c>
      <c r="AD209" s="1">
        <f t="shared" si="10"/>
        <v>0</v>
      </c>
      <c r="AE209" s="1">
        <f t="shared" si="11"/>
        <v>0</v>
      </c>
    </row>
    <row r="210" spans="19:31">
      <c r="S210" s="17">
        <v>1</v>
      </c>
      <c r="T210" s="18"/>
      <c r="U210" s="17">
        <v>1</v>
      </c>
      <c r="V210" s="17" t="s">
        <v>86</v>
      </c>
      <c r="W210" s="18"/>
      <c r="X210" s="18" t="s">
        <v>342</v>
      </c>
      <c r="Y210" s="18" t="s">
        <v>396</v>
      </c>
      <c r="Z210" s="17" t="s">
        <v>55</v>
      </c>
      <c r="AA210" s="17">
        <v>2</v>
      </c>
      <c r="AB210" s="17" t="s">
        <v>177</v>
      </c>
      <c r="AC210" s="1">
        <f t="shared" si="9"/>
        <v>0</v>
      </c>
      <c r="AD210" s="1">
        <f t="shared" si="10"/>
        <v>0</v>
      </c>
      <c r="AE210" s="1">
        <f t="shared" si="11"/>
        <v>0</v>
      </c>
    </row>
    <row r="211" spans="19:31">
      <c r="S211" s="17">
        <v>2</v>
      </c>
      <c r="T211" s="18"/>
      <c r="U211" s="17">
        <v>1</v>
      </c>
      <c r="V211" s="17" t="s">
        <v>86</v>
      </c>
      <c r="W211" s="18"/>
      <c r="X211" s="18" t="s">
        <v>342</v>
      </c>
      <c r="Y211" s="18" t="s">
        <v>396</v>
      </c>
      <c r="Z211" s="17" t="s">
        <v>27</v>
      </c>
      <c r="AA211" s="17">
        <v>2</v>
      </c>
      <c r="AB211" s="17" t="s">
        <v>165</v>
      </c>
      <c r="AC211" s="1">
        <f t="shared" si="9"/>
        <v>0</v>
      </c>
      <c r="AD211" s="1">
        <f t="shared" si="10"/>
        <v>0</v>
      </c>
      <c r="AE211" s="1">
        <f t="shared" si="11"/>
        <v>0</v>
      </c>
    </row>
    <row r="212" spans="19:31">
      <c r="S212" s="17">
        <v>3</v>
      </c>
      <c r="T212" s="18"/>
      <c r="U212" s="17">
        <v>1</v>
      </c>
      <c r="V212" s="17" t="s">
        <v>86</v>
      </c>
      <c r="W212" s="18"/>
      <c r="X212" s="18" t="s">
        <v>342</v>
      </c>
      <c r="Y212" s="18" t="s">
        <v>396</v>
      </c>
      <c r="Z212" s="17" t="s">
        <v>73</v>
      </c>
      <c r="AA212" s="17">
        <v>2</v>
      </c>
      <c r="AB212" s="17" t="s">
        <v>181</v>
      </c>
      <c r="AC212" s="1">
        <f t="shared" si="9"/>
        <v>0</v>
      </c>
      <c r="AD212" s="1">
        <f t="shared" si="10"/>
        <v>0</v>
      </c>
      <c r="AE212" s="1">
        <f t="shared" si="11"/>
        <v>0</v>
      </c>
    </row>
    <row r="213" spans="19:31">
      <c r="S213" s="17">
        <v>4</v>
      </c>
      <c r="T213" s="18"/>
      <c r="U213" s="17">
        <v>1</v>
      </c>
      <c r="V213" s="17" t="s">
        <v>86</v>
      </c>
      <c r="W213" s="18"/>
      <c r="X213" s="18" t="s">
        <v>342</v>
      </c>
      <c r="Y213" s="18" t="s">
        <v>396</v>
      </c>
      <c r="Z213" s="17" t="s">
        <v>63</v>
      </c>
      <c r="AA213" s="17">
        <v>2</v>
      </c>
      <c r="AB213" s="17" t="s">
        <v>173</v>
      </c>
      <c r="AC213" s="1">
        <f t="shared" si="9"/>
        <v>0</v>
      </c>
      <c r="AD213" s="1">
        <f t="shared" si="10"/>
        <v>0</v>
      </c>
      <c r="AE213" s="1">
        <f t="shared" si="11"/>
        <v>0</v>
      </c>
    </row>
    <row r="214" spans="19:31">
      <c r="S214" s="17">
        <v>5</v>
      </c>
      <c r="T214" s="18"/>
      <c r="U214" s="17">
        <v>1</v>
      </c>
      <c r="V214" s="17" t="s">
        <v>86</v>
      </c>
      <c r="W214" s="18"/>
      <c r="X214" s="18" t="s">
        <v>342</v>
      </c>
      <c r="Y214" s="18" t="s">
        <v>396</v>
      </c>
      <c r="Z214" s="17" t="s">
        <v>51</v>
      </c>
      <c r="AA214" s="17">
        <v>2</v>
      </c>
      <c r="AB214" s="17" t="s">
        <v>177</v>
      </c>
      <c r="AC214" s="1">
        <f t="shared" si="9"/>
        <v>0</v>
      </c>
      <c r="AD214" s="1">
        <f t="shared" si="10"/>
        <v>0</v>
      </c>
      <c r="AE214" s="1">
        <f t="shared" si="11"/>
        <v>0</v>
      </c>
    </row>
    <row r="215" spans="19:31">
      <c r="S215" s="17">
        <v>6</v>
      </c>
      <c r="T215" s="18"/>
      <c r="U215" s="17">
        <v>2</v>
      </c>
      <c r="V215" s="17" t="s">
        <v>86</v>
      </c>
      <c r="W215" s="18"/>
      <c r="X215" s="18" t="s">
        <v>342</v>
      </c>
      <c r="Y215" s="18" t="s">
        <v>396</v>
      </c>
      <c r="Z215" s="17" t="s">
        <v>69</v>
      </c>
      <c r="AA215" s="17">
        <v>1</v>
      </c>
      <c r="AB215" s="17" t="s">
        <v>181</v>
      </c>
      <c r="AC215" s="1">
        <f t="shared" si="9"/>
        <v>0</v>
      </c>
      <c r="AD215" s="1">
        <f t="shared" si="10"/>
        <v>0</v>
      </c>
      <c r="AE215" s="1">
        <f t="shared" si="11"/>
        <v>0</v>
      </c>
    </row>
    <row r="216" spans="19:31">
      <c r="S216" s="17">
        <v>7</v>
      </c>
      <c r="T216" s="18"/>
      <c r="U216" s="17">
        <v>1</v>
      </c>
      <c r="V216" s="17" t="s">
        <v>86</v>
      </c>
      <c r="W216" s="18"/>
      <c r="X216" s="18" t="s">
        <v>342</v>
      </c>
      <c r="Y216" s="18" t="s">
        <v>396</v>
      </c>
      <c r="Z216" s="17" t="s">
        <v>47</v>
      </c>
      <c r="AA216" s="17">
        <v>2</v>
      </c>
      <c r="AB216" s="17" t="s">
        <v>165</v>
      </c>
      <c r="AC216" s="1">
        <f t="shared" si="9"/>
        <v>0</v>
      </c>
      <c r="AD216" s="1">
        <f t="shared" si="10"/>
        <v>0</v>
      </c>
      <c r="AE216" s="1">
        <f t="shared" si="11"/>
        <v>0</v>
      </c>
    </row>
    <row r="217" spans="19:31">
      <c r="S217" s="17">
        <v>8</v>
      </c>
      <c r="T217" s="18"/>
      <c r="U217" s="17">
        <v>2</v>
      </c>
      <c r="V217" s="17" t="s">
        <v>86</v>
      </c>
      <c r="W217" s="18"/>
      <c r="X217" s="18" t="s">
        <v>342</v>
      </c>
      <c r="Y217" s="18" t="s">
        <v>396</v>
      </c>
      <c r="Z217" s="17" t="s">
        <v>117</v>
      </c>
      <c r="AA217" s="17">
        <v>1</v>
      </c>
      <c r="AB217" s="17" t="s">
        <v>173</v>
      </c>
      <c r="AC217" s="1">
        <f t="shared" si="9"/>
        <v>0</v>
      </c>
      <c r="AD217" s="1">
        <f t="shared" si="10"/>
        <v>0</v>
      </c>
      <c r="AE217" s="1">
        <f t="shared" si="11"/>
        <v>0</v>
      </c>
    </row>
    <row r="218" spans="19:31">
      <c r="S218" s="17">
        <v>9</v>
      </c>
      <c r="T218" s="18"/>
      <c r="U218" s="17">
        <v>1</v>
      </c>
      <c r="V218" s="17" t="s">
        <v>86</v>
      </c>
      <c r="W218" s="18"/>
      <c r="X218" s="18" t="s">
        <v>342</v>
      </c>
      <c r="Y218" s="18" t="s">
        <v>396</v>
      </c>
      <c r="Z218" s="17" t="s">
        <v>127</v>
      </c>
      <c r="AA218" s="17">
        <v>2</v>
      </c>
      <c r="AB218" s="17" t="s">
        <v>181</v>
      </c>
      <c r="AC218" s="1">
        <f t="shared" si="9"/>
        <v>0</v>
      </c>
      <c r="AD218" s="1">
        <f t="shared" si="10"/>
        <v>0</v>
      </c>
      <c r="AE218" s="1">
        <f t="shared" si="11"/>
        <v>0</v>
      </c>
    </row>
    <row r="219" spans="19:31">
      <c r="S219" s="17">
        <v>10</v>
      </c>
      <c r="T219" s="18"/>
      <c r="U219" s="17">
        <v>1</v>
      </c>
      <c r="V219" s="17" t="s">
        <v>86</v>
      </c>
      <c r="W219" s="18"/>
      <c r="X219" s="18" t="s">
        <v>342</v>
      </c>
      <c r="Y219" s="18" t="s">
        <v>396</v>
      </c>
      <c r="Z219" s="17" t="s">
        <v>75</v>
      </c>
      <c r="AA219" s="17">
        <v>2</v>
      </c>
      <c r="AB219" s="17" t="s">
        <v>177</v>
      </c>
      <c r="AC219" s="1">
        <f t="shared" si="9"/>
        <v>0</v>
      </c>
      <c r="AD219" s="1">
        <f t="shared" si="10"/>
        <v>0</v>
      </c>
      <c r="AE219" s="1">
        <f t="shared" si="11"/>
        <v>0</v>
      </c>
    </row>
    <row r="220" spans="19:31">
      <c r="S220" s="17">
        <v>11</v>
      </c>
      <c r="T220" s="18"/>
      <c r="U220" s="17">
        <v>1</v>
      </c>
      <c r="V220" s="17" t="s">
        <v>86</v>
      </c>
      <c r="W220" s="18"/>
      <c r="X220" s="18" t="s">
        <v>342</v>
      </c>
      <c r="Y220" s="18" t="s">
        <v>396</v>
      </c>
      <c r="Z220" s="17" t="s">
        <v>101</v>
      </c>
      <c r="AA220" s="17">
        <v>2</v>
      </c>
      <c r="AB220" s="17" t="s">
        <v>173</v>
      </c>
      <c r="AC220" s="1">
        <f t="shared" si="9"/>
        <v>0</v>
      </c>
      <c r="AD220" s="1">
        <f t="shared" si="10"/>
        <v>0</v>
      </c>
      <c r="AE220" s="1">
        <f t="shared" si="11"/>
        <v>0</v>
      </c>
    </row>
    <row r="221" spans="19:31">
      <c r="S221" s="17">
        <v>12</v>
      </c>
      <c r="T221" s="18"/>
      <c r="U221" s="17">
        <v>2</v>
      </c>
      <c r="V221" s="17" t="s">
        <v>86</v>
      </c>
      <c r="W221" s="18"/>
      <c r="X221" s="18" t="s">
        <v>342</v>
      </c>
      <c r="Y221" s="18" t="s">
        <v>396</v>
      </c>
      <c r="Z221" s="17" t="s">
        <v>43</v>
      </c>
      <c r="AA221" s="17">
        <v>1</v>
      </c>
      <c r="AB221" s="17" t="s">
        <v>165</v>
      </c>
      <c r="AC221" s="1">
        <f t="shared" si="9"/>
        <v>0</v>
      </c>
      <c r="AD221" s="1">
        <f t="shared" si="10"/>
        <v>0</v>
      </c>
      <c r="AE221" s="1">
        <f t="shared" si="11"/>
        <v>0</v>
      </c>
    </row>
    <row r="222" spans="19:31">
      <c r="S222" s="17">
        <v>13</v>
      </c>
      <c r="T222" s="18"/>
      <c r="U222" s="17">
        <v>2</v>
      </c>
      <c r="V222" s="17" t="s">
        <v>86</v>
      </c>
      <c r="W222" s="18"/>
      <c r="X222" s="18" t="s">
        <v>342</v>
      </c>
      <c r="Y222" s="18" t="s">
        <v>396</v>
      </c>
      <c r="Z222" s="17" t="s">
        <v>343</v>
      </c>
      <c r="AA222" s="17">
        <v>1</v>
      </c>
      <c r="AB222" s="17" t="s">
        <v>177</v>
      </c>
      <c r="AC222" s="1">
        <f t="shared" si="9"/>
        <v>0</v>
      </c>
      <c r="AD222" s="1">
        <f t="shared" si="10"/>
        <v>0</v>
      </c>
      <c r="AE222" s="1">
        <f t="shared" si="11"/>
        <v>0</v>
      </c>
    </row>
    <row r="223" spans="19:31">
      <c r="S223" s="17">
        <v>14</v>
      </c>
      <c r="T223" s="18"/>
      <c r="U223" s="17">
        <v>2</v>
      </c>
      <c r="V223" s="17" t="s">
        <v>86</v>
      </c>
      <c r="W223" s="18"/>
      <c r="X223" s="18" t="s">
        <v>342</v>
      </c>
      <c r="Y223" s="18" t="s">
        <v>396</v>
      </c>
      <c r="Z223" s="17" t="s">
        <v>343</v>
      </c>
      <c r="AA223" s="17">
        <v>1</v>
      </c>
      <c r="AB223" s="17" t="s">
        <v>165</v>
      </c>
      <c r="AC223" s="1">
        <f t="shared" si="9"/>
        <v>0</v>
      </c>
      <c r="AD223" s="1">
        <f t="shared" si="10"/>
        <v>0</v>
      </c>
      <c r="AE223" s="1">
        <f t="shared" si="11"/>
        <v>0</v>
      </c>
    </row>
    <row r="224" spans="19:31">
      <c r="S224" s="17">
        <v>15</v>
      </c>
      <c r="T224" s="18"/>
      <c r="U224" s="17">
        <v>2</v>
      </c>
      <c r="V224" s="17" t="s">
        <v>86</v>
      </c>
      <c r="W224" s="18"/>
      <c r="X224" s="18" t="s">
        <v>342</v>
      </c>
      <c r="Y224" s="18" t="s">
        <v>396</v>
      </c>
      <c r="Z224" s="17" t="s">
        <v>85</v>
      </c>
      <c r="AA224" s="17">
        <v>1</v>
      </c>
      <c r="AB224" s="17" t="s">
        <v>173</v>
      </c>
      <c r="AC224" s="1">
        <f t="shared" si="9"/>
        <v>0</v>
      </c>
      <c r="AD224" s="1">
        <f t="shared" si="10"/>
        <v>0</v>
      </c>
      <c r="AE224" s="1">
        <f t="shared" si="11"/>
        <v>0</v>
      </c>
    </row>
    <row r="225" spans="19:31">
      <c r="S225" s="58" t="s">
        <v>339</v>
      </c>
      <c r="T225" s="58" t="s">
        <v>340</v>
      </c>
      <c r="U225" s="58" t="s">
        <v>341</v>
      </c>
      <c r="V225" s="58" t="s">
        <v>1</v>
      </c>
      <c r="W225" s="66" t="s">
        <v>220</v>
      </c>
      <c r="X225" s="66"/>
      <c r="Y225" s="66"/>
      <c r="Z225" s="58" t="s">
        <v>1</v>
      </c>
      <c r="AA225" s="58" t="s">
        <v>341</v>
      </c>
      <c r="AB225" s="58" t="s">
        <v>395</v>
      </c>
      <c r="AC225" s="1">
        <f t="shared" si="9"/>
        <v>1</v>
      </c>
      <c r="AD225" s="1">
        <f t="shared" si="10"/>
        <v>0</v>
      </c>
      <c r="AE225" s="1">
        <f t="shared" si="11"/>
        <v>0</v>
      </c>
    </row>
    <row r="226" spans="19:31">
      <c r="S226" s="17">
        <v>1</v>
      </c>
      <c r="T226" s="18"/>
      <c r="U226" s="17">
        <v>1</v>
      </c>
      <c r="V226" s="17" t="s">
        <v>343</v>
      </c>
      <c r="W226" s="18">
        <v>0</v>
      </c>
      <c r="X226" s="18" t="s">
        <v>342</v>
      </c>
      <c r="Y226" s="18">
        <v>1</v>
      </c>
      <c r="Z226" s="17" t="s">
        <v>73</v>
      </c>
      <c r="AA226" s="17">
        <v>2</v>
      </c>
      <c r="AB226" s="17" t="s">
        <v>177</v>
      </c>
      <c r="AC226" s="1">
        <f t="shared" si="9"/>
        <v>0</v>
      </c>
      <c r="AD226" s="1">
        <f t="shared" si="10"/>
        <v>0</v>
      </c>
      <c r="AE226" s="1">
        <f t="shared" si="11"/>
        <v>1</v>
      </c>
    </row>
    <row r="227" spans="19:31">
      <c r="S227" s="17">
        <v>2</v>
      </c>
      <c r="T227" s="18"/>
      <c r="U227" s="17">
        <v>2</v>
      </c>
      <c r="V227" s="17" t="s">
        <v>343</v>
      </c>
      <c r="W227" s="18">
        <v>0</v>
      </c>
      <c r="X227" s="18" t="s">
        <v>342</v>
      </c>
      <c r="Y227" s="18">
        <v>1</v>
      </c>
      <c r="Z227" s="17" t="s">
        <v>73</v>
      </c>
      <c r="AA227" s="17">
        <v>1</v>
      </c>
      <c r="AB227" s="17" t="s">
        <v>165</v>
      </c>
      <c r="AC227" s="1">
        <f t="shared" si="9"/>
        <v>0</v>
      </c>
      <c r="AD227" s="1">
        <f t="shared" si="10"/>
        <v>0</v>
      </c>
      <c r="AE227" s="1">
        <f t="shared" si="11"/>
        <v>1</v>
      </c>
    </row>
    <row r="228" spans="19:31">
      <c r="S228" s="17">
        <v>3</v>
      </c>
      <c r="T228" s="18"/>
      <c r="U228" s="17">
        <v>2</v>
      </c>
      <c r="V228" s="17" t="s">
        <v>343</v>
      </c>
      <c r="W228" s="18">
        <v>0</v>
      </c>
      <c r="X228" s="18" t="s">
        <v>342</v>
      </c>
      <c r="Y228" s="18">
        <v>1</v>
      </c>
      <c r="Z228" s="17" t="s">
        <v>55</v>
      </c>
      <c r="AA228" s="17">
        <v>1</v>
      </c>
      <c r="AB228" s="17" t="s">
        <v>181</v>
      </c>
      <c r="AC228" s="1">
        <f t="shared" si="9"/>
        <v>0</v>
      </c>
      <c r="AD228" s="1">
        <f t="shared" si="10"/>
        <v>0</v>
      </c>
      <c r="AE228" s="1">
        <f t="shared" si="11"/>
        <v>1</v>
      </c>
    </row>
    <row r="229" spans="19:31">
      <c r="S229" s="17">
        <v>4</v>
      </c>
      <c r="T229" s="18"/>
      <c r="U229" s="17">
        <v>2</v>
      </c>
      <c r="V229" s="17" t="s">
        <v>343</v>
      </c>
      <c r="W229" s="18">
        <v>0</v>
      </c>
      <c r="X229" s="18" t="s">
        <v>342</v>
      </c>
      <c r="Y229" s="18">
        <v>1</v>
      </c>
      <c r="Z229" s="17" t="s">
        <v>55</v>
      </c>
      <c r="AA229" s="17">
        <v>1</v>
      </c>
      <c r="AB229" s="17" t="s">
        <v>173</v>
      </c>
      <c r="AC229" s="1">
        <f t="shared" si="9"/>
        <v>0</v>
      </c>
      <c r="AD229" s="1">
        <f t="shared" si="10"/>
        <v>0</v>
      </c>
      <c r="AE229" s="1">
        <f t="shared" si="11"/>
        <v>1</v>
      </c>
    </row>
    <row r="230" spans="19:31">
      <c r="S230" s="17">
        <v>5</v>
      </c>
      <c r="T230" s="18"/>
      <c r="U230" s="17">
        <v>1</v>
      </c>
      <c r="V230" s="17" t="s">
        <v>343</v>
      </c>
      <c r="W230" s="18">
        <v>0</v>
      </c>
      <c r="X230" s="18" t="s">
        <v>342</v>
      </c>
      <c r="Y230" s="18">
        <v>1</v>
      </c>
      <c r="Z230" s="17" t="s">
        <v>47</v>
      </c>
      <c r="AA230" s="17">
        <v>2</v>
      </c>
      <c r="AB230" s="17" t="s">
        <v>177</v>
      </c>
      <c r="AC230" s="1">
        <f t="shared" si="9"/>
        <v>0</v>
      </c>
      <c r="AD230" s="1">
        <f t="shared" si="10"/>
        <v>0</v>
      </c>
      <c r="AE230" s="1">
        <f t="shared" si="11"/>
        <v>1</v>
      </c>
    </row>
    <row r="231" spans="19:31">
      <c r="S231" s="17">
        <v>6</v>
      </c>
      <c r="T231" s="18"/>
      <c r="U231" s="17">
        <v>2</v>
      </c>
      <c r="V231" s="17" t="s">
        <v>343</v>
      </c>
      <c r="W231" s="18">
        <v>0</v>
      </c>
      <c r="X231" s="18" t="s">
        <v>342</v>
      </c>
      <c r="Y231" s="18">
        <v>1</v>
      </c>
      <c r="Z231" s="17" t="s">
        <v>47</v>
      </c>
      <c r="AA231" s="17">
        <v>1</v>
      </c>
      <c r="AB231" s="17" t="s">
        <v>181</v>
      </c>
      <c r="AC231" s="1">
        <f t="shared" si="9"/>
        <v>0</v>
      </c>
      <c r="AD231" s="1">
        <f t="shared" si="10"/>
        <v>0</v>
      </c>
      <c r="AE231" s="1">
        <f t="shared" si="11"/>
        <v>1</v>
      </c>
    </row>
    <row r="232" spans="19:31">
      <c r="S232" s="17">
        <v>7</v>
      </c>
      <c r="T232" s="18"/>
      <c r="U232" s="17">
        <v>2</v>
      </c>
      <c r="V232" s="17" t="s">
        <v>343</v>
      </c>
      <c r="W232" s="18">
        <v>0</v>
      </c>
      <c r="X232" s="18" t="s">
        <v>342</v>
      </c>
      <c r="Y232" s="18">
        <v>1</v>
      </c>
      <c r="Z232" s="17" t="s">
        <v>51</v>
      </c>
      <c r="AA232" s="17">
        <v>1</v>
      </c>
      <c r="AB232" s="17" t="s">
        <v>165</v>
      </c>
      <c r="AC232" s="1">
        <f t="shared" si="9"/>
        <v>0</v>
      </c>
      <c r="AD232" s="1">
        <f t="shared" si="10"/>
        <v>0</v>
      </c>
      <c r="AE232" s="1">
        <f t="shared" si="11"/>
        <v>1</v>
      </c>
    </row>
    <row r="233" spans="19:31">
      <c r="S233" s="17">
        <v>8</v>
      </c>
      <c r="T233" s="18"/>
      <c r="U233" s="17">
        <v>1</v>
      </c>
      <c r="V233" s="17" t="s">
        <v>343</v>
      </c>
      <c r="W233" s="18">
        <v>0</v>
      </c>
      <c r="X233" s="18" t="s">
        <v>342</v>
      </c>
      <c r="Y233" s="18">
        <v>1</v>
      </c>
      <c r="Z233" s="17" t="s">
        <v>51</v>
      </c>
      <c r="AA233" s="17">
        <v>2</v>
      </c>
      <c r="AB233" s="17" t="s">
        <v>173</v>
      </c>
      <c r="AC233" s="1">
        <f t="shared" si="9"/>
        <v>0</v>
      </c>
      <c r="AD233" s="1">
        <f t="shared" si="10"/>
        <v>0</v>
      </c>
      <c r="AE233" s="1">
        <f t="shared" si="11"/>
        <v>1</v>
      </c>
    </row>
    <row r="234" spans="19:31">
      <c r="S234" s="17">
        <v>9</v>
      </c>
      <c r="T234" s="18"/>
      <c r="U234" s="17">
        <v>2</v>
      </c>
      <c r="V234" s="17" t="s">
        <v>343</v>
      </c>
      <c r="W234" s="18">
        <v>0</v>
      </c>
      <c r="X234" s="18" t="s">
        <v>342</v>
      </c>
      <c r="Y234" s="18">
        <v>1</v>
      </c>
      <c r="Z234" s="17" t="s">
        <v>101</v>
      </c>
      <c r="AA234" s="17">
        <v>1</v>
      </c>
      <c r="AB234" s="17" t="s">
        <v>181</v>
      </c>
      <c r="AC234" s="1">
        <f t="shared" si="9"/>
        <v>0</v>
      </c>
      <c r="AD234" s="1">
        <f t="shared" si="10"/>
        <v>0</v>
      </c>
      <c r="AE234" s="1">
        <f t="shared" si="11"/>
        <v>1</v>
      </c>
    </row>
    <row r="235" spans="19:31">
      <c r="S235" s="17">
        <v>10</v>
      </c>
      <c r="T235" s="18"/>
      <c r="U235" s="17">
        <v>1</v>
      </c>
      <c r="V235" s="17" t="s">
        <v>343</v>
      </c>
      <c r="W235" s="18">
        <v>0</v>
      </c>
      <c r="X235" s="18" t="s">
        <v>342</v>
      </c>
      <c r="Y235" s="18">
        <v>1</v>
      </c>
      <c r="Z235" s="17" t="s">
        <v>101</v>
      </c>
      <c r="AA235" s="17">
        <v>2</v>
      </c>
      <c r="AB235" s="17" t="s">
        <v>177</v>
      </c>
      <c r="AC235" s="1">
        <f t="shared" si="9"/>
        <v>0</v>
      </c>
      <c r="AD235" s="1">
        <f t="shared" si="10"/>
        <v>0</v>
      </c>
      <c r="AE235" s="1">
        <f t="shared" si="11"/>
        <v>1</v>
      </c>
    </row>
    <row r="236" spans="19:31">
      <c r="S236" s="17">
        <v>11</v>
      </c>
      <c r="T236" s="18"/>
      <c r="U236" s="17">
        <v>2</v>
      </c>
      <c r="V236" s="17" t="s">
        <v>343</v>
      </c>
      <c r="W236" s="18">
        <v>0</v>
      </c>
      <c r="X236" s="18" t="s">
        <v>342</v>
      </c>
      <c r="Y236" s="18">
        <v>1</v>
      </c>
      <c r="Z236" s="17" t="s">
        <v>127</v>
      </c>
      <c r="AA236" s="17">
        <v>1</v>
      </c>
      <c r="AB236" s="17" t="s">
        <v>173</v>
      </c>
      <c r="AC236" s="1">
        <f t="shared" si="9"/>
        <v>0</v>
      </c>
      <c r="AD236" s="1">
        <f t="shared" si="10"/>
        <v>0</v>
      </c>
      <c r="AE236" s="1">
        <f t="shared" si="11"/>
        <v>1</v>
      </c>
    </row>
    <row r="237" spans="19:31">
      <c r="S237" s="17">
        <v>12</v>
      </c>
      <c r="T237" s="18"/>
      <c r="U237" s="17">
        <v>2</v>
      </c>
      <c r="V237" s="17" t="s">
        <v>343</v>
      </c>
      <c r="W237" s="18">
        <v>0</v>
      </c>
      <c r="X237" s="18" t="s">
        <v>342</v>
      </c>
      <c r="Y237" s="18">
        <v>1</v>
      </c>
      <c r="Z237" s="17" t="s">
        <v>127</v>
      </c>
      <c r="AA237" s="17">
        <v>1</v>
      </c>
      <c r="AB237" s="17" t="s">
        <v>165</v>
      </c>
      <c r="AC237" s="1">
        <f t="shared" si="9"/>
        <v>0</v>
      </c>
      <c r="AD237" s="1">
        <f t="shared" si="10"/>
        <v>0</v>
      </c>
      <c r="AE237" s="1">
        <f t="shared" si="11"/>
        <v>1</v>
      </c>
    </row>
    <row r="238" spans="19:31">
      <c r="S238" s="17">
        <v>13</v>
      </c>
      <c r="T238" s="18"/>
      <c r="U238" s="17">
        <v>1</v>
      </c>
      <c r="V238" s="17" t="s">
        <v>343</v>
      </c>
      <c r="W238" s="18">
        <v>0</v>
      </c>
      <c r="X238" s="18" t="s">
        <v>342</v>
      </c>
      <c r="Y238" s="18">
        <v>1</v>
      </c>
      <c r="Z238" s="17" t="s">
        <v>85</v>
      </c>
      <c r="AA238" s="17">
        <v>2</v>
      </c>
      <c r="AB238" s="17" t="s">
        <v>177</v>
      </c>
      <c r="AC238" s="1">
        <f t="shared" si="9"/>
        <v>0</v>
      </c>
      <c r="AD238" s="1">
        <f t="shared" si="10"/>
        <v>0</v>
      </c>
      <c r="AE238" s="1">
        <f t="shared" si="11"/>
        <v>1</v>
      </c>
    </row>
    <row r="239" spans="19:31">
      <c r="S239" s="17">
        <v>14</v>
      </c>
      <c r="T239" s="18"/>
      <c r="U239" s="17">
        <v>2</v>
      </c>
      <c r="V239" s="17" t="s">
        <v>343</v>
      </c>
      <c r="W239" s="18">
        <v>0</v>
      </c>
      <c r="X239" s="18" t="s">
        <v>342</v>
      </c>
      <c r="Y239" s="18">
        <v>1</v>
      </c>
      <c r="Z239" s="17" t="s">
        <v>85</v>
      </c>
      <c r="AA239" s="17">
        <v>1</v>
      </c>
      <c r="AB239" s="17" t="s">
        <v>165</v>
      </c>
      <c r="AC239" s="1">
        <f t="shared" si="9"/>
        <v>0</v>
      </c>
      <c r="AD239" s="1">
        <f t="shared" si="10"/>
        <v>0</v>
      </c>
      <c r="AE239" s="1">
        <f t="shared" si="11"/>
        <v>1</v>
      </c>
    </row>
    <row r="240" spans="19:31">
      <c r="S240" s="17">
        <v>15</v>
      </c>
      <c r="T240" s="18"/>
      <c r="U240" s="17">
        <v>2</v>
      </c>
      <c r="V240" s="17" t="s">
        <v>343</v>
      </c>
      <c r="W240" s="18">
        <v>0</v>
      </c>
      <c r="X240" s="18" t="s">
        <v>342</v>
      </c>
      <c r="Y240" s="18">
        <v>1</v>
      </c>
      <c r="Z240" s="17" t="s">
        <v>343</v>
      </c>
      <c r="AA240" s="17">
        <v>1</v>
      </c>
      <c r="AB240" s="17" t="s">
        <v>173</v>
      </c>
      <c r="AC240" s="1">
        <f t="shared" si="9"/>
        <v>0</v>
      </c>
      <c r="AD240" s="1">
        <f t="shared" si="10"/>
        <v>0</v>
      </c>
      <c r="AE240" s="1">
        <f t="shared" si="11"/>
        <v>1</v>
      </c>
    </row>
    <row r="241" spans="19:31">
      <c r="S241" s="58" t="s">
        <v>339</v>
      </c>
      <c r="T241" s="58" t="s">
        <v>340</v>
      </c>
      <c r="U241" s="58" t="s">
        <v>341</v>
      </c>
      <c r="V241" s="58" t="s">
        <v>1</v>
      </c>
      <c r="W241" s="66" t="s">
        <v>220</v>
      </c>
      <c r="X241" s="66"/>
      <c r="Y241" s="66"/>
      <c r="Z241" s="58" t="s">
        <v>1</v>
      </c>
      <c r="AA241" s="58" t="s">
        <v>341</v>
      </c>
      <c r="AB241" s="58" t="s">
        <v>395</v>
      </c>
      <c r="AC241" s="1">
        <f t="shared" si="9"/>
        <v>1</v>
      </c>
      <c r="AD241" s="1">
        <f t="shared" si="10"/>
        <v>0</v>
      </c>
      <c r="AE241" s="1">
        <f t="shared" si="11"/>
        <v>0</v>
      </c>
    </row>
    <row r="242" spans="19:31">
      <c r="S242" s="17">
        <v>1</v>
      </c>
      <c r="T242" s="18"/>
      <c r="U242" s="17">
        <v>1</v>
      </c>
      <c r="V242" s="17" t="s">
        <v>343</v>
      </c>
      <c r="W242" s="18">
        <v>0</v>
      </c>
      <c r="X242" s="18" t="s">
        <v>342</v>
      </c>
      <c r="Y242" s="18">
        <v>1</v>
      </c>
      <c r="Z242" s="17" t="s">
        <v>73</v>
      </c>
      <c r="AA242" s="17">
        <v>2</v>
      </c>
      <c r="AB242" s="17" t="s">
        <v>177</v>
      </c>
      <c r="AC242" s="1">
        <f t="shared" si="9"/>
        <v>0</v>
      </c>
      <c r="AD242" s="1">
        <f t="shared" si="10"/>
        <v>0</v>
      </c>
      <c r="AE242" s="1">
        <f t="shared" si="11"/>
        <v>1</v>
      </c>
    </row>
    <row r="243" spans="19:31">
      <c r="S243" s="17">
        <v>2</v>
      </c>
      <c r="T243" s="18"/>
      <c r="U243" s="17">
        <v>2</v>
      </c>
      <c r="V243" s="17" t="s">
        <v>343</v>
      </c>
      <c r="W243" s="18">
        <v>0</v>
      </c>
      <c r="X243" s="18" t="s">
        <v>342</v>
      </c>
      <c r="Y243" s="18">
        <v>1</v>
      </c>
      <c r="Z243" s="17" t="s">
        <v>73</v>
      </c>
      <c r="AA243" s="17">
        <v>1</v>
      </c>
      <c r="AB243" s="17" t="s">
        <v>165</v>
      </c>
      <c r="AC243" s="1">
        <f t="shared" si="9"/>
        <v>0</v>
      </c>
      <c r="AD243" s="1">
        <f t="shared" si="10"/>
        <v>0</v>
      </c>
      <c r="AE243" s="1">
        <f t="shared" si="11"/>
        <v>1</v>
      </c>
    </row>
    <row r="244" spans="19:31">
      <c r="S244" s="17">
        <v>3</v>
      </c>
      <c r="T244" s="18"/>
      <c r="U244" s="17">
        <v>2</v>
      </c>
      <c r="V244" s="17" t="s">
        <v>343</v>
      </c>
      <c r="W244" s="18">
        <v>0</v>
      </c>
      <c r="X244" s="18" t="s">
        <v>342</v>
      </c>
      <c r="Y244" s="18">
        <v>1</v>
      </c>
      <c r="Z244" s="17" t="s">
        <v>55</v>
      </c>
      <c r="AA244" s="17">
        <v>1</v>
      </c>
      <c r="AB244" s="17" t="s">
        <v>181</v>
      </c>
      <c r="AC244" s="1">
        <f t="shared" si="9"/>
        <v>0</v>
      </c>
      <c r="AD244" s="1">
        <f t="shared" si="10"/>
        <v>0</v>
      </c>
      <c r="AE244" s="1">
        <f t="shared" si="11"/>
        <v>1</v>
      </c>
    </row>
    <row r="245" spans="19:31">
      <c r="S245" s="17">
        <v>4</v>
      </c>
      <c r="T245" s="18"/>
      <c r="U245" s="17">
        <v>2</v>
      </c>
      <c r="V245" s="17" t="s">
        <v>343</v>
      </c>
      <c r="W245" s="18">
        <v>0</v>
      </c>
      <c r="X245" s="18" t="s">
        <v>342</v>
      </c>
      <c r="Y245" s="18">
        <v>1</v>
      </c>
      <c r="Z245" s="17" t="s">
        <v>55</v>
      </c>
      <c r="AA245" s="17">
        <v>1</v>
      </c>
      <c r="AB245" s="17" t="s">
        <v>173</v>
      </c>
      <c r="AC245" s="1">
        <f t="shared" si="9"/>
        <v>0</v>
      </c>
      <c r="AD245" s="1">
        <f t="shared" si="10"/>
        <v>0</v>
      </c>
      <c r="AE245" s="1">
        <f t="shared" si="11"/>
        <v>1</v>
      </c>
    </row>
    <row r="246" spans="19:31">
      <c r="S246" s="17">
        <v>5</v>
      </c>
      <c r="T246" s="18"/>
      <c r="U246" s="17">
        <v>1</v>
      </c>
      <c r="V246" s="17" t="s">
        <v>343</v>
      </c>
      <c r="W246" s="18">
        <v>0</v>
      </c>
      <c r="X246" s="18" t="s">
        <v>342</v>
      </c>
      <c r="Y246" s="18">
        <v>1</v>
      </c>
      <c r="Z246" s="17" t="s">
        <v>47</v>
      </c>
      <c r="AA246" s="17">
        <v>2</v>
      </c>
      <c r="AB246" s="17" t="s">
        <v>177</v>
      </c>
      <c r="AC246" s="1">
        <f t="shared" si="9"/>
        <v>0</v>
      </c>
      <c r="AD246" s="1">
        <f t="shared" si="10"/>
        <v>0</v>
      </c>
      <c r="AE246" s="1">
        <f t="shared" si="11"/>
        <v>1</v>
      </c>
    </row>
    <row r="247" spans="19:31">
      <c r="S247" s="17">
        <v>6</v>
      </c>
      <c r="T247" s="18"/>
      <c r="U247" s="17">
        <v>2</v>
      </c>
      <c r="V247" s="17" t="s">
        <v>343</v>
      </c>
      <c r="W247" s="18">
        <v>0</v>
      </c>
      <c r="X247" s="18" t="s">
        <v>342</v>
      </c>
      <c r="Y247" s="18">
        <v>1</v>
      </c>
      <c r="Z247" s="17" t="s">
        <v>47</v>
      </c>
      <c r="AA247" s="17">
        <v>1</v>
      </c>
      <c r="AB247" s="17" t="s">
        <v>181</v>
      </c>
      <c r="AC247" s="1">
        <f t="shared" si="9"/>
        <v>0</v>
      </c>
      <c r="AD247" s="1">
        <f t="shared" si="10"/>
        <v>0</v>
      </c>
      <c r="AE247" s="1">
        <f t="shared" si="11"/>
        <v>1</v>
      </c>
    </row>
    <row r="248" spans="19:31">
      <c r="S248" s="17">
        <v>7</v>
      </c>
      <c r="T248" s="18"/>
      <c r="U248" s="17">
        <v>2</v>
      </c>
      <c r="V248" s="17" t="s">
        <v>343</v>
      </c>
      <c r="W248" s="18">
        <v>0</v>
      </c>
      <c r="X248" s="18" t="s">
        <v>342</v>
      </c>
      <c r="Y248" s="18">
        <v>1</v>
      </c>
      <c r="Z248" s="17" t="s">
        <v>51</v>
      </c>
      <c r="AA248" s="17">
        <v>1</v>
      </c>
      <c r="AB248" s="17" t="s">
        <v>165</v>
      </c>
      <c r="AC248" s="1">
        <f t="shared" si="9"/>
        <v>0</v>
      </c>
      <c r="AD248" s="1">
        <f t="shared" si="10"/>
        <v>0</v>
      </c>
      <c r="AE248" s="1">
        <f t="shared" si="11"/>
        <v>1</v>
      </c>
    </row>
    <row r="249" spans="19:31">
      <c r="S249" s="17">
        <v>8</v>
      </c>
      <c r="T249" s="18"/>
      <c r="U249" s="17">
        <v>1</v>
      </c>
      <c r="V249" s="17" t="s">
        <v>343</v>
      </c>
      <c r="W249" s="18">
        <v>0</v>
      </c>
      <c r="X249" s="18" t="s">
        <v>342</v>
      </c>
      <c r="Y249" s="18">
        <v>1</v>
      </c>
      <c r="Z249" s="17" t="s">
        <v>51</v>
      </c>
      <c r="AA249" s="17">
        <v>2</v>
      </c>
      <c r="AB249" s="17" t="s">
        <v>173</v>
      </c>
      <c r="AC249" s="1">
        <f t="shared" si="9"/>
        <v>0</v>
      </c>
      <c r="AD249" s="1">
        <f t="shared" si="10"/>
        <v>0</v>
      </c>
      <c r="AE249" s="1">
        <f t="shared" si="11"/>
        <v>1</v>
      </c>
    </row>
    <row r="250" spans="19:31">
      <c r="S250" s="17">
        <v>9</v>
      </c>
      <c r="T250" s="18"/>
      <c r="U250" s="17">
        <v>2</v>
      </c>
      <c r="V250" s="17" t="s">
        <v>343</v>
      </c>
      <c r="W250" s="18">
        <v>0</v>
      </c>
      <c r="X250" s="18" t="s">
        <v>342</v>
      </c>
      <c r="Y250" s="18">
        <v>1</v>
      </c>
      <c r="Z250" s="17" t="s">
        <v>101</v>
      </c>
      <c r="AA250" s="17">
        <v>1</v>
      </c>
      <c r="AB250" s="17" t="s">
        <v>181</v>
      </c>
      <c r="AC250" s="1">
        <f t="shared" si="9"/>
        <v>0</v>
      </c>
      <c r="AD250" s="1">
        <f t="shared" si="10"/>
        <v>0</v>
      </c>
      <c r="AE250" s="1">
        <f t="shared" si="11"/>
        <v>1</v>
      </c>
    </row>
    <row r="251" spans="19:31">
      <c r="S251" s="17">
        <v>10</v>
      </c>
      <c r="T251" s="18"/>
      <c r="U251" s="17">
        <v>1</v>
      </c>
      <c r="V251" s="17" t="s">
        <v>343</v>
      </c>
      <c r="W251" s="18">
        <v>0</v>
      </c>
      <c r="X251" s="18" t="s">
        <v>342</v>
      </c>
      <c r="Y251" s="18">
        <v>1</v>
      </c>
      <c r="Z251" s="17" t="s">
        <v>101</v>
      </c>
      <c r="AA251" s="17">
        <v>2</v>
      </c>
      <c r="AB251" s="17" t="s">
        <v>177</v>
      </c>
      <c r="AC251" s="1">
        <f t="shared" si="9"/>
        <v>0</v>
      </c>
      <c r="AD251" s="1">
        <f t="shared" si="10"/>
        <v>0</v>
      </c>
      <c r="AE251" s="1">
        <f t="shared" si="11"/>
        <v>1</v>
      </c>
    </row>
    <row r="252" spans="19:31">
      <c r="S252" s="17">
        <v>11</v>
      </c>
      <c r="T252" s="18"/>
      <c r="U252" s="17">
        <v>2</v>
      </c>
      <c r="V252" s="17" t="s">
        <v>343</v>
      </c>
      <c r="W252" s="18">
        <v>0</v>
      </c>
      <c r="X252" s="18" t="s">
        <v>342</v>
      </c>
      <c r="Y252" s="18">
        <v>1</v>
      </c>
      <c r="Z252" s="17" t="s">
        <v>127</v>
      </c>
      <c r="AA252" s="17">
        <v>1</v>
      </c>
      <c r="AB252" s="17" t="s">
        <v>173</v>
      </c>
      <c r="AC252" s="1">
        <f t="shared" si="9"/>
        <v>0</v>
      </c>
      <c r="AD252" s="1">
        <f t="shared" si="10"/>
        <v>0</v>
      </c>
      <c r="AE252" s="1">
        <f t="shared" si="11"/>
        <v>1</v>
      </c>
    </row>
    <row r="253" spans="19:31">
      <c r="S253" s="17">
        <v>12</v>
      </c>
      <c r="T253" s="18"/>
      <c r="U253" s="17">
        <v>2</v>
      </c>
      <c r="V253" s="17" t="s">
        <v>343</v>
      </c>
      <c r="W253" s="18">
        <v>0</v>
      </c>
      <c r="X253" s="18" t="s">
        <v>342</v>
      </c>
      <c r="Y253" s="18">
        <v>1</v>
      </c>
      <c r="Z253" s="17" t="s">
        <v>127</v>
      </c>
      <c r="AA253" s="17">
        <v>1</v>
      </c>
      <c r="AB253" s="17" t="s">
        <v>165</v>
      </c>
      <c r="AC253" s="1">
        <f t="shared" si="9"/>
        <v>0</v>
      </c>
      <c r="AD253" s="1">
        <f t="shared" si="10"/>
        <v>0</v>
      </c>
      <c r="AE253" s="1">
        <f t="shared" si="11"/>
        <v>1</v>
      </c>
    </row>
    <row r="254" spans="19:31">
      <c r="S254" s="17">
        <v>13</v>
      </c>
      <c r="T254" s="18"/>
      <c r="U254" s="17">
        <v>1</v>
      </c>
      <c r="V254" s="17" t="s">
        <v>343</v>
      </c>
      <c r="W254" s="18">
        <v>0</v>
      </c>
      <c r="X254" s="18" t="s">
        <v>342</v>
      </c>
      <c r="Y254" s="18">
        <v>1</v>
      </c>
      <c r="Z254" s="17" t="s">
        <v>85</v>
      </c>
      <c r="AA254" s="17">
        <v>2</v>
      </c>
      <c r="AB254" s="17" t="s">
        <v>177</v>
      </c>
      <c r="AC254" s="1">
        <f t="shared" si="9"/>
        <v>0</v>
      </c>
      <c r="AD254" s="1">
        <f t="shared" si="10"/>
        <v>0</v>
      </c>
      <c r="AE254" s="1">
        <f t="shared" si="11"/>
        <v>1</v>
      </c>
    </row>
    <row r="255" spans="19:31">
      <c r="S255" s="17">
        <v>14</v>
      </c>
      <c r="T255" s="18"/>
      <c r="U255" s="17">
        <v>2</v>
      </c>
      <c r="V255" s="17" t="s">
        <v>343</v>
      </c>
      <c r="W255" s="18">
        <v>0</v>
      </c>
      <c r="X255" s="18" t="s">
        <v>342</v>
      </c>
      <c r="Y255" s="18">
        <v>1</v>
      </c>
      <c r="Z255" s="17" t="s">
        <v>85</v>
      </c>
      <c r="AA255" s="17">
        <v>1</v>
      </c>
      <c r="AB255" s="17" t="s">
        <v>165</v>
      </c>
      <c r="AC255" s="1">
        <f t="shared" si="9"/>
        <v>0</v>
      </c>
      <c r="AD255" s="1">
        <f t="shared" si="10"/>
        <v>0</v>
      </c>
      <c r="AE255" s="1">
        <f t="shared" si="11"/>
        <v>1</v>
      </c>
    </row>
    <row r="256" spans="19:31">
      <c r="S256" s="17">
        <v>15</v>
      </c>
      <c r="T256" s="18"/>
      <c r="U256" s="17">
        <v>2</v>
      </c>
      <c r="V256" s="17" t="s">
        <v>343</v>
      </c>
      <c r="W256" s="18">
        <v>0</v>
      </c>
      <c r="X256" s="18" t="s">
        <v>342</v>
      </c>
      <c r="Y256" s="18">
        <v>1</v>
      </c>
      <c r="Z256" s="17" t="s">
        <v>343</v>
      </c>
      <c r="AA256" s="17">
        <v>1</v>
      </c>
      <c r="AB256" s="17" t="s">
        <v>173</v>
      </c>
      <c r="AC256" s="1">
        <f t="shared" si="9"/>
        <v>0</v>
      </c>
      <c r="AD256" s="1">
        <f t="shared" si="10"/>
        <v>0</v>
      </c>
      <c r="AE256" s="1">
        <f t="shared" si="11"/>
        <v>1</v>
      </c>
    </row>
    <row r="257" spans="19:31" ht="12.75" customHeight="1">
      <c r="S257" s="58" t="s">
        <v>339</v>
      </c>
      <c r="T257" s="58" t="s">
        <v>340</v>
      </c>
      <c r="U257" s="58" t="s">
        <v>341</v>
      </c>
      <c r="V257" s="58" t="s">
        <v>1</v>
      </c>
      <c r="W257" s="66" t="s">
        <v>220</v>
      </c>
      <c r="X257" s="66"/>
      <c r="Y257" s="66"/>
      <c r="Z257" s="58" t="s">
        <v>1</v>
      </c>
      <c r="AA257" s="58" t="s">
        <v>341</v>
      </c>
      <c r="AB257" s="58" t="s">
        <v>395</v>
      </c>
      <c r="AC257" s="1">
        <f t="shared" ref="AC257:AC320" si="12">IF(W257="",0,IF(W257&gt;Y257,1,0))</f>
        <v>1</v>
      </c>
      <c r="AD257" s="1">
        <f t="shared" ref="AD257:AD320" si="13">IF(W257="",0,IF(W257=Y257,1,0))</f>
        <v>0</v>
      </c>
      <c r="AE257" s="1">
        <f t="shared" ref="AE257:AE320" si="14">IF(W257="",0,IF(W257&lt;Y257,1,0))</f>
        <v>0</v>
      </c>
    </row>
    <row r="258" spans="19:31">
      <c r="S258" s="17">
        <v>1</v>
      </c>
      <c r="T258" s="18"/>
      <c r="U258" s="17">
        <v>2</v>
      </c>
      <c r="V258" s="17" t="s">
        <v>115</v>
      </c>
      <c r="W258" s="18">
        <v>45</v>
      </c>
      <c r="X258" s="18" t="s">
        <v>342</v>
      </c>
      <c r="Y258" s="18">
        <v>0</v>
      </c>
      <c r="Z258" s="17" t="s">
        <v>343</v>
      </c>
      <c r="AA258" s="17">
        <v>1</v>
      </c>
      <c r="AB258" s="17" t="s">
        <v>177</v>
      </c>
      <c r="AC258" s="1">
        <f t="shared" si="12"/>
        <v>1</v>
      </c>
      <c r="AD258" s="1">
        <f t="shared" si="13"/>
        <v>0</v>
      </c>
      <c r="AE258" s="1">
        <f t="shared" si="14"/>
        <v>0</v>
      </c>
    </row>
    <row r="259" spans="19:31">
      <c r="S259" s="17">
        <v>2</v>
      </c>
      <c r="T259" s="18"/>
      <c r="U259" s="17">
        <v>1</v>
      </c>
      <c r="V259" s="17" t="s">
        <v>115</v>
      </c>
      <c r="W259" s="18">
        <v>45</v>
      </c>
      <c r="X259" s="18" t="s">
        <v>342</v>
      </c>
      <c r="Y259" s="18">
        <v>0</v>
      </c>
      <c r="Z259" s="17" t="s">
        <v>343</v>
      </c>
      <c r="AA259" s="17">
        <v>2</v>
      </c>
      <c r="AB259" s="17" t="s">
        <v>165</v>
      </c>
      <c r="AC259" s="1">
        <f t="shared" si="12"/>
        <v>1</v>
      </c>
      <c r="AD259" s="1">
        <f t="shared" si="13"/>
        <v>0</v>
      </c>
      <c r="AE259" s="1">
        <f t="shared" si="14"/>
        <v>0</v>
      </c>
    </row>
    <row r="260" spans="19:31">
      <c r="S260" s="17">
        <v>3</v>
      </c>
      <c r="T260" s="18"/>
      <c r="U260" s="17">
        <v>2</v>
      </c>
      <c r="V260" s="17" t="s">
        <v>115</v>
      </c>
      <c r="W260" s="18">
        <v>45</v>
      </c>
      <c r="X260" s="18" t="s">
        <v>342</v>
      </c>
      <c r="Y260" s="18">
        <v>6</v>
      </c>
      <c r="Z260" s="17" t="s">
        <v>14</v>
      </c>
      <c r="AA260" s="17">
        <v>1</v>
      </c>
      <c r="AB260" s="17" t="s">
        <v>181</v>
      </c>
      <c r="AC260" s="1">
        <f t="shared" si="12"/>
        <v>1</v>
      </c>
      <c r="AD260" s="1">
        <f t="shared" si="13"/>
        <v>0</v>
      </c>
      <c r="AE260" s="1">
        <f t="shared" si="14"/>
        <v>0</v>
      </c>
    </row>
    <row r="261" spans="19:31">
      <c r="S261" s="17">
        <v>4</v>
      </c>
      <c r="T261" s="18"/>
      <c r="U261" s="17">
        <v>1</v>
      </c>
      <c r="V261" s="17" t="s">
        <v>115</v>
      </c>
      <c r="W261" s="18">
        <v>45</v>
      </c>
      <c r="X261" s="18" t="s">
        <v>342</v>
      </c>
      <c r="Y261" s="18">
        <v>14</v>
      </c>
      <c r="Z261" s="17" t="s">
        <v>57</v>
      </c>
      <c r="AA261" s="17">
        <v>2</v>
      </c>
      <c r="AB261" s="17" t="s">
        <v>173</v>
      </c>
      <c r="AC261" s="1">
        <f t="shared" si="12"/>
        <v>1</v>
      </c>
      <c r="AD261" s="1">
        <f t="shared" si="13"/>
        <v>0</v>
      </c>
      <c r="AE261" s="1">
        <f t="shared" si="14"/>
        <v>0</v>
      </c>
    </row>
    <row r="262" spans="19:31">
      <c r="S262" s="17">
        <v>5</v>
      </c>
      <c r="T262" s="18"/>
      <c r="U262" s="17">
        <v>1</v>
      </c>
      <c r="V262" s="17" t="s">
        <v>115</v>
      </c>
      <c r="W262" s="18">
        <v>45</v>
      </c>
      <c r="X262" s="18" t="s">
        <v>342</v>
      </c>
      <c r="Y262" s="18">
        <v>0</v>
      </c>
      <c r="Z262" s="17" t="s">
        <v>65</v>
      </c>
      <c r="AA262" s="17">
        <v>2</v>
      </c>
      <c r="AB262" s="17" t="s">
        <v>177</v>
      </c>
      <c r="AC262" s="1">
        <f t="shared" si="12"/>
        <v>1</v>
      </c>
      <c r="AD262" s="1">
        <f t="shared" si="13"/>
        <v>0</v>
      </c>
      <c r="AE262" s="1">
        <f t="shared" si="14"/>
        <v>0</v>
      </c>
    </row>
    <row r="263" spans="19:31">
      <c r="S263" s="17">
        <v>6</v>
      </c>
      <c r="T263" s="18"/>
      <c r="U263" s="17">
        <v>1</v>
      </c>
      <c r="V263" s="17" t="s">
        <v>115</v>
      </c>
      <c r="W263" s="18">
        <v>45</v>
      </c>
      <c r="X263" s="18" t="s">
        <v>342</v>
      </c>
      <c r="Y263" s="18">
        <v>19</v>
      </c>
      <c r="Z263" s="17" t="s">
        <v>53</v>
      </c>
      <c r="AA263" s="17">
        <v>2</v>
      </c>
      <c r="AB263" s="17" t="s">
        <v>181</v>
      </c>
      <c r="AC263" s="1">
        <f t="shared" si="12"/>
        <v>1</v>
      </c>
      <c r="AD263" s="1">
        <f t="shared" si="13"/>
        <v>0</v>
      </c>
      <c r="AE263" s="1">
        <f t="shared" si="14"/>
        <v>0</v>
      </c>
    </row>
    <row r="264" spans="19:31">
      <c r="S264" s="17">
        <v>7</v>
      </c>
      <c r="T264" s="18"/>
      <c r="U264" s="17">
        <v>1</v>
      </c>
      <c r="V264" s="17" t="s">
        <v>115</v>
      </c>
      <c r="W264" s="18">
        <v>45</v>
      </c>
      <c r="X264" s="18" t="s">
        <v>342</v>
      </c>
      <c r="Y264" s="18">
        <v>12</v>
      </c>
      <c r="Z264" s="17" t="s">
        <v>18</v>
      </c>
      <c r="AA264" s="17">
        <v>2</v>
      </c>
      <c r="AB264" s="17" t="s">
        <v>165</v>
      </c>
      <c r="AC264" s="1">
        <f t="shared" si="12"/>
        <v>1</v>
      </c>
      <c r="AD264" s="1">
        <f t="shared" si="13"/>
        <v>0</v>
      </c>
      <c r="AE264" s="1">
        <f t="shared" si="14"/>
        <v>0</v>
      </c>
    </row>
    <row r="265" spans="19:31">
      <c r="S265" s="17">
        <v>8</v>
      </c>
      <c r="T265" s="18"/>
      <c r="U265" s="17">
        <v>1</v>
      </c>
      <c r="V265" s="17" t="s">
        <v>115</v>
      </c>
      <c r="W265" s="18">
        <v>45</v>
      </c>
      <c r="X265" s="18" t="s">
        <v>342</v>
      </c>
      <c r="Y265" s="18">
        <v>12</v>
      </c>
      <c r="Z265" s="17" t="s">
        <v>31</v>
      </c>
      <c r="AA265" s="17">
        <v>2</v>
      </c>
      <c r="AB265" s="17" t="s">
        <v>173</v>
      </c>
      <c r="AC265" s="1">
        <f t="shared" si="12"/>
        <v>1</v>
      </c>
      <c r="AD265" s="1">
        <f t="shared" si="13"/>
        <v>0</v>
      </c>
      <c r="AE265" s="1">
        <f t="shared" si="14"/>
        <v>0</v>
      </c>
    </row>
    <row r="266" spans="19:31">
      <c r="S266" s="17">
        <v>9</v>
      </c>
      <c r="T266" s="18"/>
      <c r="U266" s="17">
        <v>1</v>
      </c>
      <c r="V266" s="17" t="s">
        <v>115</v>
      </c>
      <c r="W266" s="18">
        <v>45</v>
      </c>
      <c r="X266" s="18" t="s">
        <v>342</v>
      </c>
      <c r="Y266" s="18">
        <v>24</v>
      </c>
      <c r="Z266" s="17" t="s">
        <v>125</v>
      </c>
      <c r="AA266" s="17">
        <v>2</v>
      </c>
      <c r="AB266" s="17" t="s">
        <v>181</v>
      </c>
      <c r="AC266" s="1">
        <f t="shared" si="12"/>
        <v>1</v>
      </c>
      <c r="AD266" s="1">
        <f t="shared" si="13"/>
        <v>0</v>
      </c>
      <c r="AE266" s="1">
        <f t="shared" si="14"/>
        <v>0</v>
      </c>
    </row>
    <row r="267" spans="19:31">
      <c r="S267" s="17">
        <v>10</v>
      </c>
      <c r="T267" s="18"/>
      <c r="U267" s="17">
        <v>2</v>
      </c>
      <c r="V267" s="17" t="s">
        <v>115</v>
      </c>
      <c r="W267" s="18">
        <v>45</v>
      </c>
      <c r="X267" s="18" t="s">
        <v>342</v>
      </c>
      <c r="Y267" s="18">
        <v>24</v>
      </c>
      <c r="Z267" s="17" t="s">
        <v>107</v>
      </c>
      <c r="AA267" s="17">
        <v>1</v>
      </c>
      <c r="AB267" s="17" t="s">
        <v>177</v>
      </c>
      <c r="AC267" s="1">
        <f t="shared" si="12"/>
        <v>1</v>
      </c>
      <c r="AD267" s="1">
        <f t="shared" si="13"/>
        <v>0</v>
      </c>
      <c r="AE267" s="1">
        <f t="shared" si="14"/>
        <v>0</v>
      </c>
    </row>
    <row r="268" spans="19:31">
      <c r="S268" s="17">
        <v>11</v>
      </c>
      <c r="T268" s="18"/>
      <c r="U268" s="17">
        <v>2</v>
      </c>
      <c r="V268" s="17" t="s">
        <v>115</v>
      </c>
      <c r="W268" s="18">
        <v>42</v>
      </c>
      <c r="X268" s="18" t="s">
        <v>342</v>
      </c>
      <c r="Y268" s="18">
        <v>33</v>
      </c>
      <c r="Z268" s="17" t="s">
        <v>119</v>
      </c>
      <c r="AA268" s="17">
        <v>1</v>
      </c>
      <c r="AB268" s="17" t="s">
        <v>173</v>
      </c>
      <c r="AC268" s="1">
        <f t="shared" si="12"/>
        <v>1</v>
      </c>
      <c r="AD268" s="1">
        <f t="shared" si="13"/>
        <v>0</v>
      </c>
      <c r="AE268" s="1">
        <f t="shared" si="14"/>
        <v>0</v>
      </c>
    </row>
    <row r="269" spans="19:31">
      <c r="S269" s="17">
        <v>12</v>
      </c>
      <c r="T269" s="18"/>
      <c r="U269" s="17">
        <v>2</v>
      </c>
      <c r="V269" s="17" t="s">
        <v>115</v>
      </c>
      <c r="W269" s="18">
        <v>39</v>
      </c>
      <c r="X269" s="18" t="s">
        <v>342</v>
      </c>
      <c r="Y269" s="18">
        <v>36</v>
      </c>
      <c r="Z269" s="17" t="s">
        <v>35</v>
      </c>
      <c r="AA269" s="17">
        <v>1</v>
      </c>
      <c r="AB269" s="17" t="s">
        <v>165</v>
      </c>
      <c r="AC269" s="1">
        <f t="shared" si="12"/>
        <v>1</v>
      </c>
      <c r="AD269" s="1">
        <f t="shared" si="13"/>
        <v>0</v>
      </c>
      <c r="AE269" s="1">
        <f t="shared" si="14"/>
        <v>0</v>
      </c>
    </row>
    <row r="270" spans="19:31">
      <c r="S270" s="17">
        <v>13</v>
      </c>
      <c r="T270" s="18"/>
      <c r="U270" s="17">
        <v>1</v>
      </c>
      <c r="V270" s="17" t="s">
        <v>115</v>
      </c>
      <c r="W270" s="18">
        <v>39</v>
      </c>
      <c r="X270" s="18" t="s">
        <v>342</v>
      </c>
      <c r="Y270" s="18">
        <v>36</v>
      </c>
      <c r="Z270" s="17" t="s">
        <v>67</v>
      </c>
      <c r="AA270" s="17">
        <v>2</v>
      </c>
      <c r="AB270" s="17" t="s">
        <v>177</v>
      </c>
      <c r="AC270" s="1">
        <f t="shared" si="12"/>
        <v>1</v>
      </c>
      <c r="AD270" s="1">
        <f t="shared" si="13"/>
        <v>0</v>
      </c>
      <c r="AE270" s="1">
        <f t="shared" si="14"/>
        <v>0</v>
      </c>
    </row>
    <row r="271" spans="19:31">
      <c r="S271" s="17">
        <v>14</v>
      </c>
      <c r="T271" s="18"/>
      <c r="U271" s="17">
        <v>2</v>
      </c>
      <c r="V271" s="17" t="s">
        <v>115</v>
      </c>
      <c r="W271" s="18">
        <v>45</v>
      </c>
      <c r="X271" s="18" t="s">
        <v>342</v>
      </c>
      <c r="Y271" s="18">
        <v>30</v>
      </c>
      <c r="Z271" s="17" t="s">
        <v>39</v>
      </c>
      <c r="AA271" s="17">
        <v>1</v>
      </c>
      <c r="AB271" s="17" t="s">
        <v>165</v>
      </c>
      <c r="AC271" s="1">
        <f t="shared" si="12"/>
        <v>1</v>
      </c>
      <c r="AD271" s="1">
        <f t="shared" si="13"/>
        <v>0</v>
      </c>
      <c r="AE271" s="1">
        <f t="shared" si="14"/>
        <v>0</v>
      </c>
    </row>
    <row r="272" spans="19:31">
      <c r="S272" s="17">
        <v>15</v>
      </c>
      <c r="T272" s="18"/>
      <c r="U272" s="17">
        <v>1</v>
      </c>
      <c r="V272" s="17" t="s">
        <v>115</v>
      </c>
      <c r="W272" s="18">
        <v>45</v>
      </c>
      <c r="X272" s="18" t="s">
        <v>342</v>
      </c>
      <c r="Y272" s="18">
        <v>30</v>
      </c>
      <c r="Z272" s="17" t="s">
        <v>123</v>
      </c>
      <c r="AA272" s="17">
        <v>2</v>
      </c>
      <c r="AB272" s="17" t="s">
        <v>173</v>
      </c>
      <c r="AC272" s="1">
        <f t="shared" si="12"/>
        <v>1</v>
      </c>
      <c r="AD272" s="1">
        <f t="shared" si="13"/>
        <v>0</v>
      </c>
      <c r="AE272" s="1">
        <f t="shared" si="14"/>
        <v>0</v>
      </c>
    </row>
    <row r="273" spans="19:31">
      <c r="S273" s="58" t="s">
        <v>339</v>
      </c>
      <c r="T273" s="58" t="s">
        <v>340</v>
      </c>
      <c r="U273" s="58" t="s">
        <v>341</v>
      </c>
      <c r="V273" s="58" t="s">
        <v>1</v>
      </c>
      <c r="W273" s="66" t="s">
        <v>220</v>
      </c>
      <c r="X273" s="66"/>
      <c r="Y273" s="66"/>
      <c r="Z273" s="58" t="s">
        <v>1</v>
      </c>
      <c r="AA273" s="58" t="s">
        <v>341</v>
      </c>
      <c r="AB273" s="58" t="s">
        <v>395</v>
      </c>
      <c r="AC273" s="1">
        <f t="shared" si="12"/>
        <v>1</v>
      </c>
      <c r="AD273" s="1">
        <f t="shared" si="13"/>
        <v>0</v>
      </c>
      <c r="AE273" s="1">
        <f t="shared" si="14"/>
        <v>0</v>
      </c>
    </row>
    <row r="274" spans="19:31">
      <c r="S274" s="17">
        <v>1</v>
      </c>
      <c r="T274" s="18"/>
      <c r="U274" s="17">
        <v>1</v>
      </c>
      <c r="V274" s="17" t="s">
        <v>123</v>
      </c>
      <c r="W274" s="18">
        <v>45</v>
      </c>
      <c r="X274" s="18" t="s">
        <v>342</v>
      </c>
      <c r="Y274" s="18">
        <v>0</v>
      </c>
      <c r="Z274" s="17" t="s">
        <v>343</v>
      </c>
      <c r="AA274" s="17">
        <v>2</v>
      </c>
      <c r="AB274" s="17" t="s">
        <v>177</v>
      </c>
      <c r="AC274" s="1">
        <f t="shared" si="12"/>
        <v>1</v>
      </c>
      <c r="AD274" s="1">
        <f t="shared" si="13"/>
        <v>0</v>
      </c>
      <c r="AE274" s="1">
        <f t="shared" si="14"/>
        <v>0</v>
      </c>
    </row>
    <row r="275" spans="19:31">
      <c r="S275" s="17">
        <v>2</v>
      </c>
      <c r="T275" s="18"/>
      <c r="U275" s="17">
        <v>2</v>
      </c>
      <c r="V275" s="17" t="s">
        <v>123</v>
      </c>
      <c r="W275" s="18">
        <v>45</v>
      </c>
      <c r="X275" s="18" t="s">
        <v>342</v>
      </c>
      <c r="Y275" s="18">
        <v>0</v>
      </c>
      <c r="Z275" s="17" t="s">
        <v>343</v>
      </c>
      <c r="AA275" s="17">
        <v>1</v>
      </c>
      <c r="AB275" s="17" t="s">
        <v>165</v>
      </c>
      <c r="AC275" s="1">
        <f t="shared" si="12"/>
        <v>1</v>
      </c>
      <c r="AD275" s="1">
        <f t="shared" si="13"/>
        <v>0</v>
      </c>
      <c r="AE275" s="1">
        <f t="shared" si="14"/>
        <v>0</v>
      </c>
    </row>
    <row r="276" spans="19:31">
      <c r="S276" s="17">
        <v>3</v>
      </c>
      <c r="T276" s="18"/>
      <c r="U276" s="17">
        <v>2</v>
      </c>
      <c r="V276" s="17" t="s">
        <v>123</v>
      </c>
      <c r="W276" s="18">
        <v>45</v>
      </c>
      <c r="X276" s="18" t="s">
        <v>342</v>
      </c>
      <c r="Y276" s="18">
        <v>0</v>
      </c>
      <c r="Z276" s="17" t="s">
        <v>57</v>
      </c>
      <c r="AA276" s="17">
        <v>1</v>
      </c>
      <c r="AB276" s="17" t="s">
        <v>181</v>
      </c>
      <c r="AC276" s="1">
        <f t="shared" si="12"/>
        <v>1</v>
      </c>
      <c r="AD276" s="1">
        <f t="shared" si="13"/>
        <v>0</v>
      </c>
      <c r="AE276" s="1">
        <f t="shared" si="14"/>
        <v>0</v>
      </c>
    </row>
    <row r="277" spans="19:31">
      <c r="S277" s="17">
        <v>4</v>
      </c>
      <c r="T277" s="18"/>
      <c r="U277" s="17">
        <v>2</v>
      </c>
      <c r="V277" s="17" t="s">
        <v>123</v>
      </c>
      <c r="W277" s="18">
        <v>45</v>
      </c>
      <c r="X277" s="18" t="s">
        <v>342</v>
      </c>
      <c r="Y277" s="18">
        <v>4</v>
      </c>
      <c r="Z277" s="17" t="s">
        <v>14</v>
      </c>
      <c r="AA277" s="17">
        <v>1</v>
      </c>
      <c r="AB277" s="17" t="s">
        <v>173</v>
      </c>
      <c r="AC277" s="1">
        <f t="shared" si="12"/>
        <v>1</v>
      </c>
      <c r="AD277" s="1">
        <f t="shared" si="13"/>
        <v>0</v>
      </c>
      <c r="AE277" s="1">
        <f t="shared" si="14"/>
        <v>0</v>
      </c>
    </row>
    <row r="278" spans="19:31">
      <c r="S278" s="17">
        <v>5</v>
      </c>
      <c r="T278" s="18"/>
      <c r="U278" s="17">
        <v>1</v>
      </c>
      <c r="V278" s="17" t="s">
        <v>123</v>
      </c>
      <c r="W278" s="18">
        <v>45</v>
      </c>
      <c r="X278" s="18" t="s">
        <v>342</v>
      </c>
      <c r="Y278" s="18">
        <v>7</v>
      </c>
      <c r="Z278" s="17" t="s">
        <v>53</v>
      </c>
      <c r="AA278" s="17">
        <v>2</v>
      </c>
      <c r="AB278" s="17" t="s">
        <v>177</v>
      </c>
      <c r="AC278" s="1">
        <f t="shared" si="12"/>
        <v>1</v>
      </c>
      <c r="AD278" s="1">
        <f t="shared" si="13"/>
        <v>0</v>
      </c>
      <c r="AE278" s="1">
        <f t="shared" si="14"/>
        <v>0</v>
      </c>
    </row>
    <row r="279" spans="19:31">
      <c r="S279" s="17">
        <v>6</v>
      </c>
      <c r="T279" s="18"/>
      <c r="U279" s="17">
        <v>2</v>
      </c>
      <c r="V279" s="17" t="s">
        <v>123</v>
      </c>
      <c r="W279" s="18">
        <v>45</v>
      </c>
      <c r="X279" s="18" t="s">
        <v>342</v>
      </c>
      <c r="Y279" s="18">
        <v>18</v>
      </c>
      <c r="Z279" s="17" t="s">
        <v>65</v>
      </c>
      <c r="AA279" s="17">
        <v>1</v>
      </c>
      <c r="AB279" s="17" t="s">
        <v>181</v>
      </c>
      <c r="AC279" s="1">
        <f t="shared" si="12"/>
        <v>1</v>
      </c>
      <c r="AD279" s="1">
        <f t="shared" si="13"/>
        <v>0</v>
      </c>
      <c r="AE279" s="1">
        <f t="shared" si="14"/>
        <v>0</v>
      </c>
    </row>
    <row r="280" spans="19:31">
      <c r="S280" s="17">
        <v>7</v>
      </c>
      <c r="T280" s="18"/>
      <c r="U280" s="17">
        <v>1</v>
      </c>
      <c r="V280" s="17" t="s">
        <v>123</v>
      </c>
      <c r="W280" s="18">
        <v>45</v>
      </c>
      <c r="X280" s="18" t="s">
        <v>342</v>
      </c>
      <c r="Y280" s="18">
        <v>21</v>
      </c>
      <c r="Z280" s="17" t="s">
        <v>31</v>
      </c>
      <c r="AA280" s="17">
        <v>2</v>
      </c>
      <c r="AB280" s="17" t="s">
        <v>165</v>
      </c>
      <c r="AC280" s="1">
        <f t="shared" si="12"/>
        <v>1</v>
      </c>
      <c r="AD280" s="1">
        <f t="shared" si="13"/>
        <v>0</v>
      </c>
      <c r="AE280" s="1">
        <f t="shared" si="14"/>
        <v>0</v>
      </c>
    </row>
    <row r="281" spans="19:31">
      <c r="S281" s="17">
        <v>8</v>
      </c>
      <c r="T281" s="18"/>
      <c r="U281" s="17">
        <v>1</v>
      </c>
      <c r="V281" s="17" t="s">
        <v>123</v>
      </c>
      <c r="W281" s="18">
        <v>45</v>
      </c>
      <c r="X281" s="18" t="s">
        <v>342</v>
      </c>
      <c r="Y281" s="18">
        <v>27</v>
      </c>
      <c r="Z281" s="17" t="s">
        <v>18</v>
      </c>
      <c r="AA281" s="17">
        <v>2</v>
      </c>
      <c r="AB281" s="17" t="s">
        <v>173</v>
      </c>
      <c r="AC281" s="1">
        <f t="shared" si="12"/>
        <v>1</v>
      </c>
      <c r="AD281" s="1">
        <f t="shared" si="13"/>
        <v>0</v>
      </c>
      <c r="AE281" s="1">
        <f t="shared" si="14"/>
        <v>0</v>
      </c>
    </row>
    <row r="282" spans="19:31">
      <c r="S282" s="17">
        <v>9</v>
      </c>
      <c r="T282" s="18"/>
      <c r="U282" s="17">
        <v>2</v>
      </c>
      <c r="V282" s="17" t="s">
        <v>123</v>
      </c>
      <c r="W282" s="18">
        <v>45</v>
      </c>
      <c r="X282" s="18" t="s">
        <v>342</v>
      </c>
      <c r="Y282" s="18">
        <v>18</v>
      </c>
      <c r="Z282" s="17" t="s">
        <v>107</v>
      </c>
      <c r="AA282" s="17">
        <v>1</v>
      </c>
      <c r="AB282" s="17" t="s">
        <v>181</v>
      </c>
      <c r="AC282" s="1">
        <f t="shared" si="12"/>
        <v>1</v>
      </c>
      <c r="AD282" s="1">
        <f t="shared" si="13"/>
        <v>0</v>
      </c>
      <c r="AE282" s="1">
        <f t="shared" si="14"/>
        <v>0</v>
      </c>
    </row>
    <row r="283" spans="19:31">
      <c r="S283" s="17">
        <v>10</v>
      </c>
      <c r="T283" s="18"/>
      <c r="U283" s="17">
        <v>2</v>
      </c>
      <c r="V283" s="17" t="s">
        <v>123</v>
      </c>
      <c r="W283" s="18">
        <v>45</v>
      </c>
      <c r="X283" s="18" t="s">
        <v>342</v>
      </c>
      <c r="Y283" s="18">
        <v>25</v>
      </c>
      <c r="Z283" s="17" t="s">
        <v>125</v>
      </c>
      <c r="AA283" s="17">
        <v>1</v>
      </c>
      <c r="AB283" s="17" t="s">
        <v>177</v>
      </c>
      <c r="AC283" s="1">
        <f t="shared" si="12"/>
        <v>1</v>
      </c>
      <c r="AD283" s="1">
        <f t="shared" si="13"/>
        <v>0</v>
      </c>
      <c r="AE283" s="1">
        <f t="shared" si="14"/>
        <v>0</v>
      </c>
    </row>
    <row r="284" spans="19:31">
      <c r="S284" s="17">
        <v>11</v>
      </c>
      <c r="T284" s="18"/>
      <c r="U284" s="17">
        <v>1</v>
      </c>
      <c r="V284" s="17" t="s">
        <v>123</v>
      </c>
      <c r="W284" s="18">
        <v>45</v>
      </c>
      <c r="X284" s="18" t="s">
        <v>342</v>
      </c>
      <c r="Y284" s="18">
        <v>30</v>
      </c>
      <c r="Z284" s="17" t="s">
        <v>35</v>
      </c>
      <c r="AA284" s="17">
        <v>2</v>
      </c>
      <c r="AB284" s="17" t="s">
        <v>173</v>
      </c>
      <c r="AC284" s="1">
        <f t="shared" si="12"/>
        <v>1</v>
      </c>
      <c r="AD284" s="1">
        <f t="shared" si="13"/>
        <v>0</v>
      </c>
      <c r="AE284" s="1">
        <f t="shared" si="14"/>
        <v>0</v>
      </c>
    </row>
    <row r="285" spans="19:31">
      <c r="S285" s="17">
        <v>12</v>
      </c>
      <c r="T285" s="18"/>
      <c r="U285" s="17">
        <v>2</v>
      </c>
      <c r="V285" s="17" t="s">
        <v>123</v>
      </c>
      <c r="W285" s="18">
        <v>39</v>
      </c>
      <c r="X285" s="18" t="s">
        <v>342</v>
      </c>
      <c r="Y285" s="18">
        <v>33</v>
      </c>
      <c r="Z285" s="17" t="s">
        <v>119</v>
      </c>
      <c r="AA285" s="17">
        <v>1</v>
      </c>
      <c r="AB285" s="17" t="s">
        <v>165</v>
      </c>
      <c r="AC285" s="1">
        <f t="shared" si="12"/>
        <v>1</v>
      </c>
      <c r="AD285" s="1">
        <f t="shared" si="13"/>
        <v>0</v>
      </c>
      <c r="AE285" s="1">
        <f t="shared" si="14"/>
        <v>0</v>
      </c>
    </row>
    <row r="286" spans="19:31">
      <c r="S286" s="17">
        <v>13</v>
      </c>
      <c r="T286" s="18"/>
      <c r="U286" s="17">
        <v>1</v>
      </c>
      <c r="V286" s="17" t="s">
        <v>123</v>
      </c>
      <c r="W286" s="18">
        <v>45</v>
      </c>
      <c r="X286" s="18" t="s">
        <v>342</v>
      </c>
      <c r="Y286" s="18">
        <v>30</v>
      </c>
      <c r="Z286" s="17" t="s">
        <v>39</v>
      </c>
      <c r="AA286" s="17">
        <v>2</v>
      </c>
      <c r="AB286" s="17" t="s">
        <v>177</v>
      </c>
      <c r="AC286" s="1">
        <f t="shared" si="12"/>
        <v>1</v>
      </c>
      <c r="AD286" s="1">
        <f t="shared" si="13"/>
        <v>0</v>
      </c>
      <c r="AE286" s="1">
        <f t="shared" si="14"/>
        <v>0</v>
      </c>
    </row>
    <row r="287" spans="19:31">
      <c r="S287" s="17">
        <v>14</v>
      </c>
      <c r="T287" s="18"/>
      <c r="U287" s="17">
        <v>1</v>
      </c>
      <c r="V287" s="17" t="s">
        <v>123</v>
      </c>
      <c r="W287" s="18">
        <v>39</v>
      </c>
      <c r="X287" s="18" t="s">
        <v>342</v>
      </c>
      <c r="Y287" s="18">
        <v>36</v>
      </c>
      <c r="Z287" s="17" t="s">
        <v>67</v>
      </c>
      <c r="AA287" s="17">
        <v>2</v>
      </c>
      <c r="AB287" s="17" t="s">
        <v>165</v>
      </c>
      <c r="AC287" s="1">
        <f t="shared" si="12"/>
        <v>1</v>
      </c>
      <c r="AD287" s="1">
        <f t="shared" si="13"/>
        <v>0</v>
      </c>
      <c r="AE287" s="1">
        <f t="shared" si="14"/>
        <v>0</v>
      </c>
    </row>
    <row r="288" spans="19:31">
      <c r="S288" s="17">
        <v>15</v>
      </c>
      <c r="T288" s="18"/>
      <c r="U288" s="17">
        <v>2</v>
      </c>
      <c r="V288" s="17" t="s">
        <v>123</v>
      </c>
      <c r="W288" s="18">
        <v>30</v>
      </c>
      <c r="X288" s="18" t="s">
        <v>342</v>
      </c>
      <c r="Y288" s="18">
        <v>45</v>
      </c>
      <c r="Z288" s="17" t="s">
        <v>115</v>
      </c>
      <c r="AA288" s="17">
        <v>1</v>
      </c>
      <c r="AB288" s="17" t="s">
        <v>173</v>
      </c>
      <c r="AC288" s="1">
        <f t="shared" si="12"/>
        <v>0</v>
      </c>
      <c r="AD288" s="1">
        <f t="shared" si="13"/>
        <v>0</v>
      </c>
      <c r="AE288" s="1">
        <f t="shared" si="14"/>
        <v>1</v>
      </c>
    </row>
    <row r="289" spans="19:31">
      <c r="S289" s="58" t="s">
        <v>339</v>
      </c>
      <c r="T289" s="58" t="s">
        <v>340</v>
      </c>
      <c r="U289" s="58" t="s">
        <v>341</v>
      </c>
      <c r="V289" s="58" t="s">
        <v>1</v>
      </c>
      <c r="W289" s="66" t="s">
        <v>220</v>
      </c>
      <c r="X289" s="66"/>
      <c r="Y289" s="66"/>
      <c r="Z289" s="58" t="s">
        <v>1</v>
      </c>
      <c r="AA289" s="58" t="s">
        <v>341</v>
      </c>
      <c r="AB289" s="58" t="s">
        <v>395</v>
      </c>
      <c r="AC289" s="1">
        <f t="shared" si="12"/>
        <v>1</v>
      </c>
      <c r="AD289" s="1">
        <f t="shared" si="13"/>
        <v>0</v>
      </c>
      <c r="AE289" s="1">
        <f t="shared" si="14"/>
        <v>0</v>
      </c>
    </row>
    <row r="290" spans="19:31">
      <c r="S290" s="17">
        <v>1</v>
      </c>
      <c r="T290" s="18"/>
      <c r="U290" s="17">
        <v>2</v>
      </c>
      <c r="V290" s="17" t="s">
        <v>39</v>
      </c>
      <c r="W290" s="18">
        <v>45</v>
      </c>
      <c r="X290" s="18" t="s">
        <v>342</v>
      </c>
      <c r="Y290" s="18">
        <v>1</v>
      </c>
      <c r="Z290" s="17" t="s">
        <v>14</v>
      </c>
      <c r="AA290" s="17">
        <v>1</v>
      </c>
      <c r="AB290" s="17" t="s">
        <v>177</v>
      </c>
      <c r="AC290" s="1">
        <f t="shared" si="12"/>
        <v>1</v>
      </c>
      <c r="AD290" s="1">
        <f t="shared" si="13"/>
        <v>0</v>
      </c>
      <c r="AE290" s="1">
        <f t="shared" si="14"/>
        <v>0</v>
      </c>
    </row>
    <row r="291" spans="19:31">
      <c r="S291" s="17">
        <v>2</v>
      </c>
      <c r="T291" s="18"/>
      <c r="U291" s="17">
        <v>1</v>
      </c>
      <c r="V291" s="17" t="s">
        <v>39</v>
      </c>
      <c r="W291" s="18">
        <v>45</v>
      </c>
      <c r="X291" s="18" t="s">
        <v>342</v>
      </c>
      <c r="Y291" s="18">
        <v>0</v>
      </c>
      <c r="Z291" s="17" t="s">
        <v>57</v>
      </c>
      <c r="AA291" s="17">
        <v>2</v>
      </c>
      <c r="AB291" s="17" t="s">
        <v>165</v>
      </c>
      <c r="AC291" s="1">
        <f t="shared" si="12"/>
        <v>1</v>
      </c>
      <c r="AD291" s="1">
        <f t="shared" si="13"/>
        <v>0</v>
      </c>
      <c r="AE291" s="1">
        <f t="shared" si="14"/>
        <v>0</v>
      </c>
    </row>
    <row r="292" spans="19:31">
      <c r="S292" s="17">
        <v>3</v>
      </c>
      <c r="T292" s="18"/>
      <c r="U292" s="17">
        <v>1</v>
      </c>
      <c r="V292" s="17" t="s">
        <v>39</v>
      </c>
      <c r="W292" s="18">
        <v>45</v>
      </c>
      <c r="X292" s="18" t="s">
        <v>342</v>
      </c>
      <c r="Y292" s="18">
        <v>0</v>
      </c>
      <c r="Z292" s="17" t="s">
        <v>343</v>
      </c>
      <c r="AA292" s="17">
        <v>2</v>
      </c>
      <c r="AB292" s="17" t="s">
        <v>181</v>
      </c>
      <c r="AC292" s="1">
        <f t="shared" si="12"/>
        <v>1</v>
      </c>
      <c r="AD292" s="1">
        <f t="shared" si="13"/>
        <v>0</v>
      </c>
      <c r="AE292" s="1">
        <f t="shared" si="14"/>
        <v>0</v>
      </c>
    </row>
    <row r="293" spans="19:31">
      <c r="S293" s="17">
        <v>4</v>
      </c>
      <c r="T293" s="18"/>
      <c r="U293" s="17">
        <v>1</v>
      </c>
      <c r="V293" s="17" t="s">
        <v>39</v>
      </c>
      <c r="W293" s="18">
        <v>45</v>
      </c>
      <c r="X293" s="18" t="s">
        <v>342</v>
      </c>
      <c r="Y293" s="18">
        <v>0</v>
      </c>
      <c r="Z293" s="17" t="s">
        <v>343</v>
      </c>
      <c r="AA293" s="17">
        <v>2</v>
      </c>
      <c r="AB293" s="17" t="s">
        <v>173</v>
      </c>
      <c r="AC293" s="1">
        <f t="shared" si="12"/>
        <v>1</v>
      </c>
      <c r="AD293" s="1">
        <f t="shared" si="13"/>
        <v>0</v>
      </c>
      <c r="AE293" s="1">
        <f t="shared" si="14"/>
        <v>0</v>
      </c>
    </row>
    <row r="294" spans="19:31">
      <c r="S294" s="17">
        <v>5</v>
      </c>
      <c r="T294" s="18"/>
      <c r="U294" s="17">
        <v>1</v>
      </c>
      <c r="V294" s="17" t="s">
        <v>39</v>
      </c>
      <c r="W294" s="18">
        <v>45</v>
      </c>
      <c r="X294" s="18" t="s">
        <v>342</v>
      </c>
      <c r="Y294" s="18">
        <v>25</v>
      </c>
      <c r="Z294" s="17" t="s">
        <v>18</v>
      </c>
      <c r="AA294" s="17">
        <v>2</v>
      </c>
      <c r="AB294" s="17" t="s">
        <v>177</v>
      </c>
      <c r="AC294" s="1">
        <f t="shared" si="12"/>
        <v>1</v>
      </c>
      <c r="AD294" s="1">
        <f t="shared" si="13"/>
        <v>0</v>
      </c>
      <c r="AE294" s="1">
        <f t="shared" si="14"/>
        <v>0</v>
      </c>
    </row>
    <row r="295" spans="19:31">
      <c r="S295" s="17">
        <v>6</v>
      </c>
      <c r="T295" s="18"/>
      <c r="U295" s="17">
        <v>2</v>
      </c>
      <c r="V295" s="17" t="s">
        <v>39</v>
      </c>
      <c r="W295" s="18">
        <v>42</v>
      </c>
      <c r="X295" s="18" t="s">
        <v>342</v>
      </c>
      <c r="Y295" s="18">
        <v>33</v>
      </c>
      <c r="Z295" s="17" t="s">
        <v>31</v>
      </c>
      <c r="AA295" s="17">
        <v>1</v>
      </c>
      <c r="AB295" s="17" t="s">
        <v>181</v>
      </c>
      <c r="AC295" s="1">
        <f t="shared" si="12"/>
        <v>1</v>
      </c>
      <c r="AD295" s="1">
        <f t="shared" si="13"/>
        <v>0</v>
      </c>
      <c r="AE295" s="1">
        <f t="shared" si="14"/>
        <v>0</v>
      </c>
    </row>
    <row r="296" spans="19:31">
      <c r="S296" s="17">
        <v>7</v>
      </c>
      <c r="T296" s="18"/>
      <c r="U296" s="17">
        <v>2</v>
      </c>
      <c r="V296" s="17" t="s">
        <v>39</v>
      </c>
      <c r="W296" s="18">
        <v>42</v>
      </c>
      <c r="X296" s="18" t="s">
        <v>342</v>
      </c>
      <c r="Y296" s="18">
        <v>15</v>
      </c>
      <c r="Z296" s="17" t="s">
        <v>65</v>
      </c>
      <c r="AA296" s="17">
        <v>1</v>
      </c>
      <c r="AB296" s="17" t="s">
        <v>165</v>
      </c>
      <c r="AC296" s="1">
        <f t="shared" si="12"/>
        <v>1</v>
      </c>
      <c r="AD296" s="1">
        <f t="shared" si="13"/>
        <v>0</v>
      </c>
      <c r="AE296" s="1">
        <f t="shared" si="14"/>
        <v>0</v>
      </c>
    </row>
    <row r="297" spans="19:31">
      <c r="S297" s="17">
        <v>8</v>
      </c>
      <c r="T297" s="18"/>
      <c r="U297" s="17">
        <v>2</v>
      </c>
      <c r="V297" s="17" t="s">
        <v>39</v>
      </c>
      <c r="W297" s="18">
        <v>45</v>
      </c>
      <c r="X297" s="18" t="s">
        <v>342</v>
      </c>
      <c r="Y297" s="18">
        <v>13</v>
      </c>
      <c r="Z297" s="17" t="s">
        <v>53</v>
      </c>
      <c r="AA297" s="17">
        <v>1</v>
      </c>
      <c r="AB297" s="17" t="s">
        <v>173</v>
      </c>
      <c r="AC297" s="1">
        <f t="shared" si="12"/>
        <v>1</v>
      </c>
      <c r="AD297" s="1">
        <f t="shared" si="13"/>
        <v>0</v>
      </c>
      <c r="AE297" s="1">
        <f t="shared" si="14"/>
        <v>0</v>
      </c>
    </row>
    <row r="298" spans="19:31">
      <c r="S298" s="17">
        <v>9</v>
      </c>
      <c r="T298" s="18"/>
      <c r="U298" s="17">
        <v>2</v>
      </c>
      <c r="V298" s="17" t="s">
        <v>39</v>
      </c>
      <c r="W298" s="18">
        <v>33</v>
      </c>
      <c r="X298" s="18" t="s">
        <v>342</v>
      </c>
      <c r="Y298" s="18">
        <v>31</v>
      </c>
      <c r="Z298" s="17" t="s">
        <v>119</v>
      </c>
      <c r="AA298" s="17">
        <v>1</v>
      </c>
      <c r="AB298" s="17" t="s">
        <v>181</v>
      </c>
      <c r="AC298" s="1">
        <f t="shared" si="12"/>
        <v>1</v>
      </c>
      <c r="AD298" s="1">
        <f t="shared" si="13"/>
        <v>0</v>
      </c>
      <c r="AE298" s="1">
        <f t="shared" si="14"/>
        <v>0</v>
      </c>
    </row>
    <row r="299" spans="19:31">
      <c r="S299" s="17">
        <v>10</v>
      </c>
      <c r="T299" s="18"/>
      <c r="U299" s="17">
        <v>1</v>
      </c>
      <c r="V299" s="17" t="s">
        <v>39</v>
      </c>
      <c r="W299" s="18">
        <v>39</v>
      </c>
      <c r="X299" s="18" t="s">
        <v>342</v>
      </c>
      <c r="Y299" s="18">
        <v>36</v>
      </c>
      <c r="Z299" s="17" t="s">
        <v>35</v>
      </c>
      <c r="AA299" s="17">
        <v>2</v>
      </c>
      <c r="AB299" s="17" t="s">
        <v>177</v>
      </c>
      <c r="AC299" s="1">
        <f t="shared" si="12"/>
        <v>1</v>
      </c>
      <c r="AD299" s="1">
        <f t="shared" si="13"/>
        <v>0</v>
      </c>
      <c r="AE299" s="1">
        <f t="shared" si="14"/>
        <v>0</v>
      </c>
    </row>
    <row r="300" spans="19:31">
      <c r="S300" s="17">
        <v>11</v>
      </c>
      <c r="T300" s="18"/>
      <c r="U300" s="17">
        <v>2</v>
      </c>
      <c r="V300" s="17" t="s">
        <v>39</v>
      </c>
      <c r="W300" s="18">
        <v>45</v>
      </c>
      <c r="X300" s="18" t="s">
        <v>342</v>
      </c>
      <c r="Y300" s="18">
        <v>28</v>
      </c>
      <c r="Z300" s="17" t="s">
        <v>125</v>
      </c>
      <c r="AA300" s="17">
        <v>1</v>
      </c>
      <c r="AB300" s="17" t="s">
        <v>173</v>
      </c>
      <c r="AC300" s="1">
        <f t="shared" si="12"/>
        <v>1</v>
      </c>
      <c r="AD300" s="1">
        <f t="shared" si="13"/>
        <v>0</v>
      </c>
      <c r="AE300" s="1">
        <f t="shared" si="14"/>
        <v>0</v>
      </c>
    </row>
    <row r="301" spans="19:31">
      <c r="S301" s="17">
        <v>12</v>
      </c>
      <c r="T301" s="18"/>
      <c r="U301" s="17">
        <v>2</v>
      </c>
      <c r="V301" s="17" t="s">
        <v>39</v>
      </c>
      <c r="W301" s="18">
        <v>42</v>
      </c>
      <c r="X301" s="18" t="s">
        <v>342</v>
      </c>
      <c r="Y301" s="18">
        <v>33</v>
      </c>
      <c r="Z301" s="17" t="s">
        <v>107</v>
      </c>
      <c r="AA301" s="17">
        <v>1</v>
      </c>
      <c r="AB301" s="17" t="s">
        <v>165</v>
      </c>
      <c r="AC301" s="1">
        <f t="shared" si="12"/>
        <v>1</v>
      </c>
      <c r="AD301" s="1">
        <f t="shared" si="13"/>
        <v>0</v>
      </c>
      <c r="AE301" s="1">
        <f t="shared" si="14"/>
        <v>0</v>
      </c>
    </row>
    <row r="302" spans="19:31">
      <c r="S302" s="17">
        <v>13</v>
      </c>
      <c r="T302" s="18"/>
      <c r="U302" s="17">
        <v>2</v>
      </c>
      <c r="V302" s="17" t="s">
        <v>39</v>
      </c>
      <c r="W302" s="18">
        <v>30</v>
      </c>
      <c r="X302" s="18" t="s">
        <v>342</v>
      </c>
      <c r="Y302" s="18">
        <v>45</v>
      </c>
      <c r="Z302" s="17" t="s">
        <v>123</v>
      </c>
      <c r="AA302" s="17">
        <v>1</v>
      </c>
      <c r="AB302" s="17" t="s">
        <v>177</v>
      </c>
      <c r="AC302" s="1">
        <f t="shared" si="12"/>
        <v>0</v>
      </c>
      <c r="AD302" s="1">
        <f t="shared" si="13"/>
        <v>0</v>
      </c>
      <c r="AE302" s="1">
        <f t="shared" si="14"/>
        <v>1</v>
      </c>
    </row>
    <row r="303" spans="19:31">
      <c r="S303" s="17">
        <v>14</v>
      </c>
      <c r="T303" s="18"/>
      <c r="U303" s="17">
        <v>1</v>
      </c>
      <c r="V303" s="17" t="s">
        <v>39</v>
      </c>
      <c r="W303" s="18">
        <v>30</v>
      </c>
      <c r="X303" s="18" t="s">
        <v>342</v>
      </c>
      <c r="Y303" s="18">
        <v>45</v>
      </c>
      <c r="Z303" s="17" t="s">
        <v>115</v>
      </c>
      <c r="AA303" s="17">
        <v>2</v>
      </c>
      <c r="AB303" s="17" t="s">
        <v>165</v>
      </c>
      <c r="AC303" s="1">
        <f t="shared" si="12"/>
        <v>0</v>
      </c>
      <c r="AD303" s="1">
        <f t="shared" si="13"/>
        <v>0</v>
      </c>
      <c r="AE303" s="1">
        <f t="shared" si="14"/>
        <v>1</v>
      </c>
    </row>
    <row r="304" spans="19:31">
      <c r="S304" s="17">
        <v>15</v>
      </c>
      <c r="T304" s="18"/>
      <c r="U304" s="17">
        <v>1</v>
      </c>
      <c r="V304" s="17" t="s">
        <v>39</v>
      </c>
      <c r="W304" s="18">
        <v>42</v>
      </c>
      <c r="X304" s="18" t="s">
        <v>342</v>
      </c>
      <c r="Y304" s="18">
        <v>33</v>
      </c>
      <c r="Z304" s="17" t="s">
        <v>67</v>
      </c>
      <c r="AA304" s="17">
        <v>2</v>
      </c>
      <c r="AB304" s="17" t="s">
        <v>173</v>
      </c>
      <c r="AC304" s="1">
        <f t="shared" si="12"/>
        <v>1</v>
      </c>
      <c r="AD304" s="1">
        <f t="shared" si="13"/>
        <v>0</v>
      </c>
      <c r="AE304" s="1">
        <f t="shared" si="14"/>
        <v>0</v>
      </c>
    </row>
    <row r="305" spans="19:31">
      <c r="S305" s="58" t="s">
        <v>339</v>
      </c>
      <c r="T305" s="58" t="s">
        <v>340</v>
      </c>
      <c r="U305" s="58" t="s">
        <v>341</v>
      </c>
      <c r="V305" s="58" t="s">
        <v>1</v>
      </c>
      <c r="W305" s="66" t="s">
        <v>220</v>
      </c>
      <c r="X305" s="66"/>
      <c r="Y305" s="66"/>
      <c r="Z305" s="58" t="s">
        <v>1</v>
      </c>
      <c r="AA305" s="58" t="s">
        <v>341</v>
      </c>
      <c r="AB305" s="58" t="s">
        <v>395</v>
      </c>
      <c r="AC305" s="1">
        <f t="shared" si="12"/>
        <v>1</v>
      </c>
      <c r="AD305" s="1">
        <f t="shared" si="13"/>
        <v>0</v>
      </c>
      <c r="AE305" s="1">
        <f t="shared" si="14"/>
        <v>0</v>
      </c>
    </row>
    <row r="306" spans="19:31">
      <c r="S306" s="17">
        <v>1</v>
      </c>
      <c r="T306" s="18"/>
      <c r="U306" s="17">
        <v>1</v>
      </c>
      <c r="V306" s="17" t="s">
        <v>67</v>
      </c>
      <c r="W306" s="18">
        <v>45</v>
      </c>
      <c r="X306" s="18" t="s">
        <v>342</v>
      </c>
      <c r="Y306" s="18">
        <v>6</v>
      </c>
      <c r="Z306" s="17" t="s">
        <v>57</v>
      </c>
      <c r="AA306" s="17">
        <v>2</v>
      </c>
      <c r="AB306" s="17" t="s">
        <v>177</v>
      </c>
      <c r="AC306" s="1">
        <f t="shared" si="12"/>
        <v>1</v>
      </c>
      <c r="AD306" s="1">
        <f t="shared" si="13"/>
        <v>0</v>
      </c>
      <c r="AE306" s="1">
        <f t="shared" si="14"/>
        <v>0</v>
      </c>
    </row>
    <row r="307" spans="19:31">
      <c r="S307" s="17">
        <v>2</v>
      </c>
      <c r="T307" s="18"/>
      <c r="U307" s="17">
        <v>2</v>
      </c>
      <c r="V307" s="17" t="s">
        <v>67</v>
      </c>
      <c r="W307" s="18">
        <v>45</v>
      </c>
      <c r="X307" s="18" t="s">
        <v>342</v>
      </c>
      <c r="Y307" s="18">
        <v>0</v>
      </c>
      <c r="Z307" s="17" t="s">
        <v>14</v>
      </c>
      <c r="AA307" s="17">
        <v>1</v>
      </c>
      <c r="AB307" s="17" t="s">
        <v>165</v>
      </c>
      <c r="AC307" s="1">
        <f t="shared" si="12"/>
        <v>1</v>
      </c>
      <c r="AD307" s="1">
        <f t="shared" si="13"/>
        <v>0</v>
      </c>
      <c r="AE307" s="1">
        <f t="shared" si="14"/>
        <v>0</v>
      </c>
    </row>
    <row r="308" spans="19:31">
      <c r="S308" s="17">
        <v>3</v>
      </c>
      <c r="T308" s="18"/>
      <c r="U308" s="17">
        <v>2</v>
      </c>
      <c r="V308" s="17" t="s">
        <v>67</v>
      </c>
      <c r="W308" s="18">
        <v>45</v>
      </c>
      <c r="X308" s="18" t="s">
        <v>342</v>
      </c>
      <c r="Y308" s="18">
        <v>0</v>
      </c>
      <c r="Z308" s="17" t="s">
        <v>343</v>
      </c>
      <c r="AA308" s="17">
        <v>1</v>
      </c>
      <c r="AB308" s="17" t="s">
        <v>181</v>
      </c>
      <c r="AC308" s="1">
        <f t="shared" si="12"/>
        <v>1</v>
      </c>
      <c r="AD308" s="1">
        <f t="shared" si="13"/>
        <v>0</v>
      </c>
      <c r="AE308" s="1">
        <f t="shared" si="14"/>
        <v>0</v>
      </c>
    </row>
    <row r="309" spans="19:31">
      <c r="S309" s="17">
        <v>4</v>
      </c>
      <c r="T309" s="18"/>
      <c r="U309" s="17">
        <v>1</v>
      </c>
      <c r="V309" s="17" t="s">
        <v>67</v>
      </c>
      <c r="W309" s="18">
        <v>45</v>
      </c>
      <c r="X309" s="18" t="s">
        <v>342</v>
      </c>
      <c r="Y309" s="18">
        <v>0</v>
      </c>
      <c r="Z309" s="17" t="s">
        <v>343</v>
      </c>
      <c r="AA309" s="17">
        <v>2</v>
      </c>
      <c r="AB309" s="17" t="s">
        <v>173</v>
      </c>
      <c r="AC309" s="1">
        <f t="shared" si="12"/>
        <v>1</v>
      </c>
      <c r="AD309" s="1">
        <f t="shared" si="13"/>
        <v>0</v>
      </c>
      <c r="AE309" s="1">
        <f t="shared" si="14"/>
        <v>0</v>
      </c>
    </row>
    <row r="310" spans="19:31">
      <c r="S310" s="17">
        <v>5</v>
      </c>
      <c r="T310" s="18"/>
      <c r="U310" s="17">
        <v>2</v>
      </c>
      <c r="V310" s="17" t="s">
        <v>67</v>
      </c>
      <c r="W310" s="18">
        <v>42</v>
      </c>
      <c r="X310" s="18" t="s">
        <v>342</v>
      </c>
      <c r="Y310" s="18">
        <v>15</v>
      </c>
      <c r="Z310" s="17" t="s">
        <v>31</v>
      </c>
      <c r="AA310" s="17">
        <v>1</v>
      </c>
      <c r="AB310" s="17" t="s">
        <v>177</v>
      </c>
      <c r="AC310" s="1">
        <f t="shared" si="12"/>
        <v>1</v>
      </c>
      <c r="AD310" s="1">
        <f t="shared" si="13"/>
        <v>0</v>
      </c>
      <c r="AE310" s="1">
        <f t="shared" si="14"/>
        <v>0</v>
      </c>
    </row>
    <row r="311" spans="19:31">
      <c r="S311" s="17">
        <v>6</v>
      </c>
      <c r="T311" s="18"/>
      <c r="U311" s="17">
        <v>2</v>
      </c>
      <c r="V311" s="17" t="s">
        <v>67</v>
      </c>
      <c r="W311" s="18">
        <v>45</v>
      </c>
      <c r="X311" s="18" t="s">
        <v>342</v>
      </c>
      <c r="Y311" s="18">
        <v>21</v>
      </c>
      <c r="Z311" s="17" t="s">
        <v>18</v>
      </c>
      <c r="AA311" s="17">
        <v>1</v>
      </c>
      <c r="AB311" s="17" t="s">
        <v>181</v>
      </c>
      <c r="AC311" s="1">
        <f t="shared" si="12"/>
        <v>1</v>
      </c>
      <c r="AD311" s="1">
        <f t="shared" si="13"/>
        <v>0</v>
      </c>
      <c r="AE311" s="1">
        <f t="shared" si="14"/>
        <v>0</v>
      </c>
    </row>
    <row r="312" spans="19:31">
      <c r="S312" s="17">
        <v>7</v>
      </c>
      <c r="T312" s="18"/>
      <c r="U312" s="17">
        <v>1</v>
      </c>
      <c r="V312" s="17" t="s">
        <v>67</v>
      </c>
      <c r="W312" s="18">
        <v>45</v>
      </c>
      <c r="X312" s="18" t="s">
        <v>342</v>
      </c>
      <c r="Y312" s="18">
        <v>14</v>
      </c>
      <c r="Z312" s="17" t="s">
        <v>53</v>
      </c>
      <c r="AA312" s="17">
        <v>2</v>
      </c>
      <c r="AB312" s="17" t="s">
        <v>165</v>
      </c>
      <c r="AC312" s="1">
        <f t="shared" si="12"/>
        <v>1</v>
      </c>
      <c r="AD312" s="1">
        <f t="shared" si="13"/>
        <v>0</v>
      </c>
      <c r="AE312" s="1">
        <f t="shared" si="14"/>
        <v>0</v>
      </c>
    </row>
    <row r="313" spans="19:31">
      <c r="S313" s="17">
        <v>8</v>
      </c>
      <c r="T313" s="18"/>
      <c r="U313" s="17">
        <v>2</v>
      </c>
      <c r="V313" s="17" t="s">
        <v>67</v>
      </c>
      <c r="W313" s="18">
        <v>45</v>
      </c>
      <c r="X313" s="18" t="s">
        <v>342</v>
      </c>
      <c r="Y313" s="18">
        <v>8</v>
      </c>
      <c r="Z313" s="17" t="s">
        <v>65</v>
      </c>
      <c r="AA313" s="17">
        <v>1</v>
      </c>
      <c r="AB313" s="17" t="s">
        <v>173</v>
      </c>
      <c r="AC313" s="1">
        <f t="shared" si="12"/>
        <v>1</v>
      </c>
      <c r="AD313" s="1">
        <f t="shared" si="13"/>
        <v>0</v>
      </c>
      <c r="AE313" s="1">
        <f t="shared" si="14"/>
        <v>0</v>
      </c>
    </row>
    <row r="314" spans="19:31">
      <c r="S314" s="17">
        <v>9</v>
      </c>
      <c r="T314" s="18"/>
      <c r="U314" s="17">
        <v>1</v>
      </c>
      <c r="V314" s="17" t="s">
        <v>67</v>
      </c>
      <c r="W314" s="18">
        <v>39</v>
      </c>
      <c r="X314" s="18" t="s">
        <v>342</v>
      </c>
      <c r="Y314" s="18">
        <v>36</v>
      </c>
      <c r="Z314" s="17" t="s">
        <v>35</v>
      </c>
      <c r="AA314" s="17">
        <v>2</v>
      </c>
      <c r="AB314" s="17" t="s">
        <v>181</v>
      </c>
      <c r="AC314" s="1">
        <f t="shared" si="12"/>
        <v>1</v>
      </c>
      <c r="AD314" s="1">
        <f t="shared" si="13"/>
        <v>0</v>
      </c>
      <c r="AE314" s="1">
        <f t="shared" si="14"/>
        <v>0</v>
      </c>
    </row>
    <row r="315" spans="19:31">
      <c r="S315" s="17">
        <v>10</v>
      </c>
      <c r="T315" s="18"/>
      <c r="U315" s="17">
        <v>2</v>
      </c>
      <c r="V315" s="17" t="s">
        <v>67</v>
      </c>
      <c r="W315" s="18">
        <v>45</v>
      </c>
      <c r="X315" s="18" t="s">
        <v>342</v>
      </c>
      <c r="Y315" s="18">
        <v>19</v>
      </c>
      <c r="Z315" s="17" t="s">
        <v>119</v>
      </c>
      <c r="AA315" s="17">
        <v>1</v>
      </c>
      <c r="AB315" s="17" t="s">
        <v>177</v>
      </c>
      <c r="AC315" s="1">
        <f t="shared" si="12"/>
        <v>1</v>
      </c>
      <c r="AD315" s="1">
        <f t="shared" si="13"/>
        <v>0</v>
      </c>
      <c r="AE315" s="1">
        <f t="shared" si="14"/>
        <v>0</v>
      </c>
    </row>
    <row r="316" spans="19:31">
      <c r="S316" s="17">
        <v>11</v>
      </c>
      <c r="T316" s="18"/>
      <c r="U316" s="17">
        <v>1</v>
      </c>
      <c r="V316" s="17" t="s">
        <v>67</v>
      </c>
      <c r="W316" s="18">
        <v>45</v>
      </c>
      <c r="X316" s="18" t="s">
        <v>342</v>
      </c>
      <c r="Y316" s="18">
        <v>30</v>
      </c>
      <c r="Z316" s="17" t="s">
        <v>107</v>
      </c>
      <c r="AA316" s="17">
        <v>2</v>
      </c>
      <c r="AB316" s="17" t="s">
        <v>173</v>
      </c>
      <c r="AC316" s="1">
        <f t="shared" si="12"/>
        <v>1</v>
      </c>
      <c r="AD316" s="1">
        <f t="shared" si="13"/>
        <v>0</v>
      </c>
      <c r="AE316" s="1">
        <f t="shared" si="14"/>
        <v>0</v>
      </c>
    </row>
    <row r="317" spans="19:31">
      <c r="S317" s="17">
        <v>12</v>
      </c>
      <c r="T317" s="18"/>
      <c r="U317" s="17">
        <v>2</v>
      </c>
      <c r="V317" s="17" t="s">
        <v>67</v>
      </c>
      <c r="W317" s="18">
        <v>42</v>
      </c>
      <c r="X317" s="18" t="s">
        <v>342</v>
      </c>
      <c r="Y317" s="18">
        <v>33</v>
      </c>
      <c r="Z317" s="17" t="s">
        <v>125</v>
      </c>
      <c r="AA317" s="17">
        <v>1</v>
      </c>
      <c r="AB317" s="17" t="s">
        <v>165</v>
      </c>
      <c r="AC317" s="1">
        <f t="shared" si="12"/>
        <v>1</v>
      </c>
      <c r="AD317" s="1">
        <f t="shared" si="13"/>
        <v>0</v>
      </c>
      <c r="AE317" s="1">
        <f t="shared" si="14"/>
        <v>0</v>
      </c>
    </row>
    <row r="318" spans="19:31">
      <c r="S318" s="17">
        <v>13</v>
      </c>
      <c r="T318" s="18"/>
      <c r="U318" s="17">
        <v>2</v>
      </c>
      <c r="V318" s="17" t="s">
        <v>67</v>
      </c>
      <c r="W318" s="18">
        <v>36</v>
      </c>
      <c r="X318" s="18" t="s">
        <v>342</v>
      </c>
      <c r="Y318" s="18">
        <v>39</v>
      </c>
      <c r="Z318" s="17" t="s">
        <v>115</v>
      </c>
      <c r="AA318" s="17">
        <v>1</v>
      </c>
      <c r="AB318" s="17" t="s">
        <v>177</v>
      </c>
      <c r="AC318" s="1">
        <f t="shared" si="12"/>
        <v>0</v>
      </c>
      <c r="AD318" s="1">
        <f t="shared" si="13"/>
        <v>0</v>
      </c>
      <c r="AE318" s="1">
        <f t="shared" si="14"/>
        <v>1</v>
      </c>
    </row>
    <row r="319" spans="19:31">
      <c r="S319" s="17">
        <v>14</v>
      </c>
      <c r="T319" s="18"/>
      <c r="U319" s="17">
        <v>2</v>
      </c>
      <c r="V319" s="17" t="s">
        <v>67</v>
      </c>
      <c r="W319" s="18">
        <v>36</v>
      </c>
      <c r="X319" s="18" t="s">
        <v>342</v>
      </c>
      <c r="Y319" s="18">
        <v>39</v>
      </c>
      <c r="Z319" s="17" t="s">
        <v>123</v>
      </c>
      <c r="AA319" s="17">
        <v>1</v>
      </c>
      <c r="AB319" s="17" t="s">
        <v>165</v>
      </c>
      <c r="AC319" s="1">
        <f t="shared" si="12"/>
        <v>0</v>
      </c>
      <c r="AD319" s="1">
        <f t="shared" si="13"/>
        <v>0</v>
      </c>
      <c r="AE319" s="1">
        <f t="shared" si="14"/>
        <v>1</v>
      </c>
    </row>
    <row r="320" spans="19:31">
      <c r="S320" s="17">
        <v>15</v>
      </c>
      <c r="T320" s="18"/>
      <c r="U320" s="17">
        <v>2</v>
      </c>
      <c r="V320" s="17" t="s">
        <v>67</v>
      </c>
      <c r="W320" s="18">
        <v>33</v>
      </c>
      <c r="X320" s="18" t="s">
        <v>342</v>
      </c>
      <c r="Y320" s="18">
        <v>42</v>
      </c>
      <c r="Z320" s="17" t="s">
        <v>39</v>
      </c>
      <c r="AA320" s="17">
        <v>1</v>
      </c>
      <c r="AB320" s="17" t="s">
        <v>173</v>
      </c>
      <c r="AC320" s="1">
        <f t="shared" si="12"/>
        <v>0</v>
      </c>
      <c r="AD320" s="1">
        <f t="shared" si="13"/>
        <v>0</v>
      </c>
      <c r="AE320" s="1">
        <f t="shared" si="14"/>
        <v>1</v>
      </c>
    </row>
    <row r="321" spans="19:31">
      <c r="S321" s="58" t="s">
        <v>339</v>
      </c>
      <c r="T321" s="58" t="s">
        <v>340</v>
      </c>
      <c r="U321" s="58" t="s">
        <v>341</v>
      </c>
      <c r="V321" s="58" t="s">
        <v>1</v>
      </c>
      <c r="W321" s="66" t="s">
        <v>220</v>
      </c>
      <c r="X321" s="66"/>
      <c r="Y321" s="66"/>
      <c r="Z321" s="58" t="s">
        <v>1</v>
      </c>
      <c r="AA321" s="58" t="s">
        <v>341</v>
      </c>
      <c r="AB321" s="58" t="s">
        <v>395</v>
      </c>
      <c r="AC321" s="1">
        <f t="shared" ref="AC321:AC384" si="15">IF(W321="",0,IF(W321&gt;Y321,1,0))</f>
        <v>1</v>
      </c>
      <c r="AD321" s="1">
        <f t="shared" ref="AD321:AD384" si="16">IF(W321="",0,IF(W321=Y321,1,0))</f>
        <v>0</v>
      </c>
      <c r="AE321" s="1">
        <f t="shared" ref="AE321:AE384" si="17">IF(W321="",0,IF(W321&lt;Y321,1,0))</f>
        <v>0</v>
      </c>
    </row>
    <row r="322" spans="19:31">
      <c r="S322" s="17">
        <v>1</v>
      </c>
      <c r="T322" s="18"/>
      <c r="U322" s="17">
        <v>2</v>
      </c>
      <c r="V322" s="17" t="s">
        <v>35</v>
      </c>
      <c r="W322" s="18">
        <v>45</v>
      </c>
      <c r="X322" s="18" t="s">
        <v>342</v>
      </c>
      <c r="Y322" s="18">
        <v>16</v>
      </c>
      <c r="Z322" s="17" t="s">
        <v>65</v>
      </c>
      <c r="AA322" s="17">
        <v>1</v>
      </c>
      <c r="AB322" s="17" t="s">
        <v>177</v>
      </c>
      <c r="AC322" s="1">
        <f t="shared" si="15"/>
        <v>1</v>
      </c>
      <c r="AD322" s="1">
        <f t="shared" si="16"/>
        <v>0</v>
      </c>
      <c r="AE322" s="1">
        <f t="shared" si="17"/>
        <v>0</v>
      </c>
    </row>
    <row r="323" spans="19:31">
      <c r="S323" s="17">
        <v>2</v>
      </c>
      <c r="T323" s="18"/>
      <c r="U323" s="17">
        <v>2</v>
      </c>
      <c r="V323" s="17" t="s">
        <v>35</v>
      </c>
      <c r="W323" s="18">
        <v>45</v>
      </c>
      <c r="X323" s="18" t="s">
        <v>342</v>
      </c>
      <c r="Y323" s="18">
        <v>3</v>
      </c>
      <c r="Z323" s="17" t="s">
        <v>53</v>
      </c>
      <c r="AA323" s="17">
        <v>1</v>
      </c>
      <c r="AB323" s="17" t="s">
        <v>165</v>
      </c>
      <c r="AC323" s="1">
        <f t="shared" si="15"/>
        <v>1</v>
      </c>
      <c r="AD323" s="1">
        <f t="shared" si="16"/>
        <v>0</v>
      </c>
      <c r="AE323" s="1">
        <f t="shared" si="17"/>
        <v>0</v>
      </c>
    </row>
    <row r="324" spans="19:31">
      <c r="S324" s="17">
        <v>3</v>
      </c>
      <c r="T324" s="18"/>
      <c r="U324" s="17">
        <v>2</v>
      </c>
      <c r="V324" s="17" t="s">
        <v>35</v>
      </c>
      <c r="W324" s="18">
        <v>45</v>
      </c>
      <c r="X324" s="18" t="s">
        <v>342</v>
      </c>
      <c r="Y324" s="18">
        <v>25</v>
      </c>
      <c r="Z324" s="17" t="s">
        <v>18</v>
      </c>
      <c r="AA324" s="17">
        <v>1</v>
      </c>
      <c r="AB324" s="17" t="s">
        <v>181</v>
      </c>
      <c r="AC324" s="1">
        <f t="shared" si="15"/>
        <v>1</v>
      </c>
      <c r="AD324" s="1">
        <f t="shared" si="16"/>
        <v>0</v>
      </c>
      <c r="AE324" s="1">
        <f t="shared" si="17"/>
        <v>0</v>
      </c>
    </row>
    <row r="325" spans="19:31">
      <c r="S325" s="17">
        <v>4</v>
      </c>
      <c r="T325" s="18"/>
      <c r="U325" s="17">
        <v>1</v>
      </c>
      <c r="V325" s="17" t="s">
        <v>35</v>
      </c>
      <c r="W325" s="18">
        <v>45</v>
      </c>
      <c r="X325" s="18" t="s">
        <v>342</v>
      </c>
      <c r="Y325" s="18">
        <v>30</v>
      </c>
      <c r="Z325" s="17" t="s">
        <v>31</v>
      </c>
      <c r="AA325" s="17">
        <v>2</v>
      </c>
      <c r="AB325" s="17" t="s">
        <v>173</v>
      </c>
      <c r="AC325" s="1">
        <f t="shared" si="15"/>
        <v>1</v>
      </c>
      <c r="AD325" s="1">
        <f t="shared" si="16"/>
        <v>0</v>
      </c>
      <c r="AE325" s="1">
        <f t="shared" si="17"/>
        <v>0</v>
      </c>
    </row>
    <row r="326" spans="19:31">
      <c r="S326" s="17">
        <v>5</v>
      </c>
      <c r="T326" s="18"/>
      <c r="U326" s="17">
        <v>2</v>
      </c>
      <c r="V326" s="17" t="s">
        <v>35</v>
      </c>
      <c r="W326" s="18">
        <v>45</v>
      </c>
      <c r="X326" s="18" t="s">
        <v>342</v>
      </c>
      <c r="Y326" s="18">
        <v>0</v>
      </c>
      <c r="Z326" s="17" t="s">
        <v>343</v>
      </c>
      <c r="AA326" s="17">
        <v>1</v>
      </c>
      <c r="AB326" s="17" t="s">
        <v>177</v>
      </c>
      <c r="AC326" s="1">
        <f t="shared" si="15"/>
        <v>1</v>
      </c>
      <c r="AD326" s="1">
        <f t="shared" si="16"/>
        <v>0</v>
      </c>
      <c r="AE326" s="1">
        <f t="shared" si="17"/>
        <v>0</v>
      </c>
    </row>
    <row r="327" spans="19:31">
      <c r="S327" s="17">
        <v>6</v>
      </c>
      <c r="T327" s="18"/>
      <c r="U327" s="17">
        <v>1</v>
      </c>
      <c r="V327" s="17" t="s">
        <v>35</v>
      </c>
      <c r="W327" s="18">
        <v>45</v>
      </c>
      <c r="X327" s="18" t="s">
        <v>342</v>
      </c>
      <c r="Y327" s="18">
        <v>0</v>
      </c>
      <c r="Z327" s="17" t="s">
        <v>343</v>
      </c>
      <c r="AA327" s="17">
        <v>2</v>
      </c>
      <c r="AB327" s="17" t="s">
        <v>181</v>
      </c>
      <c r="AC327" s="1">
        <f t="shared" si="15"/>
        <v>1</v>
      </c>
      <c r="AD327" s="1">
        <f t="shared" si="16"/>
        <v>0</v>
      </c>
      <c r="AE327" s="1">
        <f t="shared" si="17"/>
        <v>0</v>
      </c>
    </row>
    <row r="328" spans="19:31">
      <c r="S328" s="17">
        <v>7</v>
      </c>
      <c r="T328" s="18"/>
      <c r="U328" s="17">
        <v>2</v>
      </c>
      <c r="V328" s="17" t="s">
        <v>35</v>
      </c>
      <c r="W328" s="18">
        <v>45</v>
      </c>
      <c r="X328" s="18" t="s">
        <v>342</v>
      </c>
      <c r="Y328" s="18">
        <v>1</v>
      </c>
      <c r="Z328" s="17" t="s">
        <v>14</v>
      </c>
      <c r="AA328" s="17">
        <v>1</v>
      </c>
      <c r="AB328" s="17" t="s">
        <v>165</v>
      </c>
      <c r="AC328" s="1">
        <f t="shared" si="15"/>
        <v>1</v>
      </c>
      <c r="AD328" s="1">
        <f t="shared" si="16"/>
        <v>0</v>
      </c>
      <c r="AE328" s="1">
        <f t="shared" si="17"/>
        <v>0</v>
      </c>
    </row>
    <row r="329" spans="19:31">
      <c r="S329" s="17">
        <v>8</v>
      </c>
      <c r="T329" s="18"/>
      <c r="U329" s="17">
        <v>2</v>
      </c>
      <c r="V329" s="17" t="s">
        <v>35</v>
      </c>
      <c r="W329" s="18">
        <v>45</v>
      </c>
      <c r="X329" s="18" t="s">
        <v>342</v>
      </c>
      <c r="Y329" s="18">
        <v>0</v>
      </c>
      <c r="Z329" s="17" t="s">
        <v>57</v>
      </c>
      <c r="AA329" s="17">
        <v>1</v>
      </c>
      <c r="AB329" s="17" t="s">
        <v>173</v>
      </c>
      <c r="AC329" s="1">
        <f t="shared" si="15"/>
        <v>1</v>
      </c>
      <c r="AD329" s="1">
        <f t="shared" si="16"/>
        <v>0</v>
      </c>
      <c r="AE329" s="1">
        <f t="shared" si="17"/>
        <v>0</v>
      </c>
    </row>
    <row r="330" spans="19:31">
      <c r="S330" s="17">
        <v>9</v>
      </c>
      <c r="T330" s="18"/>
      <c r="U330" s="17">
        <v>2</v>
      </c>
      <c r="V330" s="17" t="s">
        <v>35</v>
      </c>
      <c r="W330" s="18">
        <v>36</v>
      </c>
      <c r="X330" s="18" t="s">
        <v>342</v>
      </c>
      <c r="Y330" s="18">
        <v>39</v>
      </c>
      <c r="Z330" s="17" t="s">
        <v>67</v>
      </c>
      <c r="AA330" s="17">
        <v>1</v>
      </c>
      <c r="AB330" s="17" t="s">
        <v>181</v>
      </c>
      <c r="AC330" s="1">
        <f t="shared" si="15"/>
        <v>0</v>
      </c>
      <c r="AD330" s="1">
        <f t="shared" si="16"/>
        <v>0</v>
      </c>
      <c r="AE330" s="1">
        <f t="shared" si="17"/>
        <v>1</v>
      </c>
    </row>
    <row r="331" spans="19:31">
      <c r="S331" s="17">
        <v>10</v>
      </c>
      <c r="T331" s="18"/>
      <c r="U331" s="17">
        <v>2</v>
      </c>
      <c r="V331" s="17" t="s">
        <v>35</v>
      </c>
      <c r="W331" s="18">
        <v>36</v>
      </c>
      <c r="X331" s="18" t="s">
        <v>342</v>
      </c>
      <c r="Y331" s="18">
        <v>39</v>
      </c>
      <c r="Z331" s="17" t="s">
        <v>39</v>
      </c>
      <c r="AA331" s="17">
        <v>1</v>
      </c>
      <c r="AB331" s="17" t="s">
        <v>177</v>
      </c>
      <c r="AC331" s="1">
        <f t="shared" si="15"/>
        <v>0</v>
      </c>
      <c r="AD331" s="1">
        <f t="shared" si="16"/>
        <v>0</v>
      </c>
      <c r="AE331" s="1">
        <f t="shared" si="17"/>
        <v>1</v>
      </c>
    </row>
    <row r="332" spans="19:31">
      <c r="S332" s="17">
        <v>11</v>
      </c>
      <c r="T332" s="18"/>
      <c r="U332" s="17">
        <v>2</v>
      </c>
      <c r="V332" s="17" t="s">
        <v>35</v>
      </c>
      <c r="W332" s="18">
        <v>30</v>
      </c>
      <c r="X332" s="18" t="s">
        <v>342</v>
      </c>
      <c r="Y332" s="18">
        <v>45</v>
      </c>
      <c r="Z332" s="17" t="s">
        <v>123</v>
      </c>
      <c r="AA332" s="17">
        <v>1</v>
      </c>
      <c r="AB332" s="17" t="s">
        <v>173</v>
      </c>
      <c r="AC332" s="1">
        <f t="shared" si="15"/>
        <v>0</v>
      </c>
      <c r="AD332" s="1">
        <f t="shared" si="16"/>
        <v>0</v>
      </c>
      <c r="AE332" s="1">
        <f t="shared" si="17"/>
        <v>1</v>
      </c>
    </row>
    <row r="333" spans="19:31">
      <c r="S333" s="17">
        <v>12</v>
      </c>
      <c r="T333" s="18"/>
      <c r="U333" s="17">
        <v>1</v>
      </c>
      <c r="V333" s="17" t="s">
        <v>35</v>
      </c>
      <c r="W333" s="18">
        <v>36</v>
      </c>
      <c r="X333" s="18" t="s">
        <v>342</v>
      </c>
      <c r="Y333" s="18">
        <v>39</v>
      </c>
      <c r="Z333" s="17" t="s">
        <v>115</v>
      </c>
      <c r="AA333" s="17">
        <v>2</v>
      </c>
      <c r="AB333" s="17" t="s">
        <v>165</v>
      </c>
      <c r="AC333" s="1">
        <f t="shared" si="15"/>
        <v>0</v>
      </c>
      <c r="AD333" s="1">
        <f t="shared" si="16"/>
        <v>0</v>
      </c>
      <c r="AE333" s="1">
        <f t="shared" si="17"/>
        <v>1</v>
      </c>
    </row>
    <row r="334" spans="19:31">
      <c r="S334" s="17">
        <v>13</v>
      </c>
      <c r="T334" s="18"/>
      <c r="U334" s="17">
        <v>1</v>
      </c>
      <c r="V334" s="17" t="s">
        <v>35</v>
      </c>
      <c r="W334" s="18">
        <v>39</v>
      </c>
      <c r="X334" s="18" t="s">
        <v>342</v>
      </c>
      <c r="Y334" s="18">
        <v>31</v>
      </c>
      <c r="Z334" s="17" t="s">
        <v>125</v>
      </c>
      <c r="AA334" s="17">
        <v>2</v>
      </c>
      <c r="AB334" s="17" t="s">
        <v>177</v>
      </c>
      <c r="AC334" s="1">
        <f t="shared" si="15"/>
        <v>1</v>
      </c>
      <c r="AD334" s="1">
        <f t="shared" si="16"/>
        <v>0</v>
      </c>
      <c r="AE334" s="1">
        <f t="shared" si="17"/>
        <v>0</v>
      </c>
    </row>
    <row r="335" spans="19:31">
      <c r="S335" s="17">
        <v>14</v>
      </c>
      <c r="T335" s="18"/>
      <c r="U335" s="17">
        <v>2</v>
      </c>
      <c r="V335" s="17" t="s">
        <v>35</v>
      </c>
      <c r="W335" s="18">
        <v>42</v>
      </c>
      <c r="X335" s="18" t="s">
        <v>342</v>
      </c>
      <c r="Y335" s="18">
        <v>28</v>
      </c>
      <c r="Z335" s="17" t="s">
        <v>107</v>
      </c>
      <c r="AA335" s="17">
        <v>1</v>
      </c>
      <c r="AB335" s="17" t="s">
        <v>165</v>
      </c>
      <c r="AC335" s="1">
        <f t="shared" si="15"/>
        <v>1</v>
      </c>
      <c r="AD335" s="1">
        <f t="shared" si="16"/>
        <v>0</v>
      </c>
      <c r="AE335" s="1">
        <f t="shared" si="17"/>
        <v>0</v>
      </c>
    </row>
    <row r="336" spans="19:31">
      <c r="S336" s="17">
        <v>15</v>
      </c>
      <c r="T336" s="18"/>
      <c r="U336" s="17">
        <v>2</v>
      </c>
      <c r="V336" s="17" t="s">
        <v>35</v>
      </c>
      <c r="W336" s="18">
        <v>39</v>
      </c>
      <c r="X336" s="18" t="s">
        <v>342</v>
      </c>
      <c r="Y336" s="18">
        <v>30</v>
      </c>
      <c r="Z336" s="17" t="s">
        <v>119</v>
      </c>
      <c r="AA336" s="17">
        <v>1</v>
      </c>
      <c r="AB336" s="17" t="s">
        <v>173</v>
      </c>
      <c r="AC336" s="1">
        <f t="shared" si="15"/>
        <v>1</v>
      </c>
      <c r="AD336" s="1">
        <f t="shared" si="16"/>
        <v>0</v>
      </c>
      <c r="AE336" s="1">
        <f t="shared" si="17"/>
        <v>0</v>
      </c>
    </row>
    <row r="337" spans="19:31">
      <c r="S337" s="58" t="s">
        <v>339</v>
      </c>
      <c r="T337" s="58" t="s">
        <v>340</v>
      </c>
      <c r="U337" s="58" t="s">
        <v>341</v>
      </c>
      <c r="V337" s="58" t="s">
        <v>1</v>
      </c>
      <c r="W337" s="66" t="s">
        <v>220</v>
      </c>
      <c r="X337" s="66"/>
      <c r="Y337" s="66"/>
      <c r="Z337" s="58" t="s">
        <v>1</v>
      </c>
      <c r="AA337" s="58" t="s">
        <v>341</v>
      </c>
      <c r="AB337" s="58" t="s">
        <v>395</v>
      </c>
      <c r="AC337" s="1">
        <f t="shared" si="15"/>
        <v>1</v>
      </c>
      <c r="AD337" s="1">
        <f t="shared" si="16"/>
        <v>0</v>
      </c>
      <c r="AE337" s="1">
        <f t="shared" si="17"/>
        <v>0</v>
      </c>
    </row>
    <row r="338" spans="19:31">
      <c r="S338" s="17">
        <v>1</v>
      </c>
      <c r="T338" s="18"/>
      <c r="U338" s="17">
        <v>1</v>
      </c>
      <c r="V338" s="17" t="s">
        <v>119</v>
      </c>
      <c r="W338" s="18">
        <v>45</v>
      </c>
      <c r="X338" s="18" t="s">
        <v>342</v>
      </c>
      <c r="Y338" s="18">
        <v>9</v>
      </c>
      <c r="Z338" s="17" t="s">
        <v>53</v>
      </c>
      <c r="AA338" s="17">
        <v>2</v>
      </c>
      <c r="AB338" s="17" t="s">
        <v>177</v>
      </c>
      <c r="AC338" s="1">
        <f t="shared" si="15"/>
        <v>1</v>
      </c>
      <c r="AD338" s="1">
        <f t="shared" si="16"/>
        <v>0</v>
      </c>
      <c r="AE338" s="1">
        <f t="shared" si="17"/>
        <v>0</v>
      </c>
    </row>
    <row r="339" spans="19:31">
      <c r="S339" s="17">
        <v>2</v>
      </c>
      <c r="T339" s="18"/>
      <c r="U339" s="17">
        <v>1</v>
      </c>
      <c r="V339" s="17" t="s">
        <v>119</v>
      </c>
      <c r="W339" s="18">
        <v>45</v>
      </c>
      <c r="X339" s="18" t="s">
        <v>342</v>
      </c>
      <c r="Y339" s="18">
        <v>0</v>
      </c>
      <c r="Z339" s="17" t="s">
        <v>65</v>
      </c>
      <c r="AA339" s="17">
        <v>2</v>
      </c>
      <c r="AB339" s="17" t="s">
        <v>165</v>
      </c>
      <c r="AC339" s="1">
        <f t="shared" si="15"/>
        <v>1</v>
      </c>
      <c r="AD339" s="1">
        <f t="shared" si="16"/>
        <v>0</v>
      </c>
      <c r="AE339" s="1">
        <f t="shared" si="17"/>
        <v>0</v>
      </c>
    </row>
    <row r="340" spans="19:31">
      <c r="S340" s="17">
        <v>3</v>
      </c>
      <c r="T340" s="18"/>
      <c r="U340" s="17">
        <v>2</v>
      </c>
      <c r="V340" s="17" t="s">
        <v>119</v>
      </c>
      <c r="W340" s="18">
        <v>45</v>
      </c>
      <c r="X340" s="18" t="s">
        <v>342</v>
      </c>
      <c r="Y340" s="18">
        <v>18</v>
      </c>
      <c r="Z340" s="17" t="s">
        <v>31</v>
      </c>
      <c r="AA340" s="17">
        <v>1</v>
      </c>
      <c r="AB340" s="17" t="s">
        <v>181</v>
      </c>
      <c r="AC340" s="1">
        <f t="shared" si="15"/>
        <v>1</v>
      </c>
      <c r="AD340" s="1">
        <f t="shared" si="16"/>
        <v>0</v>
      </c>
      <c r="AE340" s="1">
        <f t="shared" si="17"/>
        <v>0</v>
      </c>
    </row>
    <row r="341" spans="19:31">
      <c r="S341" s="17">
        <v>4</v>
      </c>
      <c r="T341" s="18"/>
      <c r="U341" s="17">
        <v>1</v>
      </c>
      <c r="V341" s="17" t="s">
        <v>119</v>
      </c>
      <c r="W341" s="18">
        <v>42</v>
      </c>
      <c r="X341" s="18" t="s">
        <v>342</v>
      </c>
      <c r="Y341" s="18">
        <v>27</v>
      </c>
      <c r="Z341" s="17" t="s">
        <v>18</v>
      </c>
      <c r="AA341" s="17">
        <v>2</v>
      </c>
      <c r="AB341" s="17" t="s">
        <v>173</v>
      </c>
      <c r="AC341" s="1">
        <f t="shared" si="15"/>
        <v>1</v>
      </c>
      <c r="AD341" s="1">
        <f t="shared" si="16"/>
        <v>0</v>
      </c>
      <c r="AE341" s="1">
        <f t="shared" si="17"/>
        <v>0</v>
      </c>
    </row>
    <row r="342" spans="19:31">
      <c r="S342" s="17">
        <v>5</v>
      </c>
      <c r="T342" s="18"/>
      <c r="U342" s="17">
        <v>2</v>
      </c>
      <c r="V342" s="17" t="s">
        <v>119</v>
      </c>
      <c r="W342" s="18">
        <v>45</v>
      </c>
      <c r="X342" s="18" t="s">
        <v>342</v>
      </c>
      <c r="Y342" s="18">
        <v>0</v>
      </c>
      <c r="Z342" s="17" t="s">
        <v>343</v>
      </c>
      <c r="AA342" s="17">
        <v>1</v>
      </c>
      <c r="AB342" s="17" t="s">
        <v>177</v>
      </c>
      <c r="AC342" s="1">
        <f t="shared" si="15"/>
        <v>1</v>
      </c>
      <c r="AD342" s="1">
        <f t="shared" si="16"/>
        <v>0</v>
      </c>
      <c r="AE342" s="1">
        <f t="shared" si="17"/>
        <v>0</v>
      </c>
    </row>
    <row r="343" spans="19:31">
      <c r="S343" s="17">
        <v>6</v>
      </c>
      <c r="T343" s="18"/>
      <c r="U343" s="17">
        <v>2</v>
      </c>
      <c r="V343" s="17" t="s">
        <v>119</v>
      </c>
      <c r="W343" s="18">
        <v>45</v>
      </c>
      <c r="X343" s="18" t="s">
        <v>342</v>
      </c>
      <c r="Y343" s="18">
        <v>0</v>
      </c>
      <c r="Z343" s="17" t="s">
        <v>343</v>
      </c>
      <c r="AA343" s="17">
        <v>1</v>
      </c>
      <c r="AB343" s="17" t="s">
        <v>181</v>
      </c>
      <c r="AC343" s="1">
        <f t="shared" si="15"/>
        <v>1</v>
      </c>
      <c r="AD343" s="1">
        <f t="shared" si="16"/>
        <v>0</v>
      </c>
      <c r="AE343" s="1">
        <f t="shared" si="17"/>
        <v>0</v>
      </c>
    </row>
    <row r="344" spans="19:31">
      <c r="S344" s="17">
        <v>7</v>
      </c>
      <c r="T344" s="18"/>
      <c r="U344" s="17">
        <v>2</v>
      </c>
      <c r="V344" s="17" t="s">
        <v>119</v>
      </c>
      <c r="W344" s="18">
        <v>33</v>
      </c>
      <c r="X344" s="18" t="s">
        <v>342</v>
      </c>
      <c r="Y344" s="18">
        <v>7</v>
      </c>
      <c r="Z344" s="17" t="s">
        <v>57</v>
      </c>
      <c r="AA344" s="17">
        <v>1</v>
      </c>
      <c r="AB344" s="17" t="s">
        <v>165</v>
      </c>
      <c r="AC344" s="1">
        <f t="shared" si="15"/>
        <v>1</v>
      </c>
      <c r="AD344" s="1">
        <f t="shared" si="16"/>
        <v>0</v>
      </c>
      <c r="AE344" s="1">
        <f t="shared" si="17"/>
        <v>0</v>
      </c>
    </row>
    <row r="345" spans="19:31">
      <c r="S345" s="17">
        <v>8</v>
      </c>
      <c r="T345" s="18"/>
      <c r="U345" s="17">
        <v>1</v>
      </c>
      <c r="V345" s="17" t="s">
        <v>119</v>
      </c>
      <c r="W345" s="18">
        <v>45</v>
      </c>
      <c r="X345" s="18" t="s">
        <v>342</v>
      </c>
      <c r="Y345" s="18">
        <v>3</v>
      </c>
      <c r="Z345" s="17" t="s">
        <v>14</v>
      </c>
      <c r="AA345" s="17">
        <v>2</v>
      </c>
      <c r="AB345" s="17" t="s">
        <v>173</v>
      </c>
      <c r="AC345" s="1">
        <f t="shared" si="15"/>
        <v>1</v>
      </c>
      <c r="AD345" s="1">
        <f t="shared" si="16"/>
        <v>0</v>
      </c>
      <c r="AE345" s="1">
        <f t="shared" si="17"/>
        <v>0</v>
      </c>
    </row>
    <row r="346" spans="19:31">
      <c r="S346" s="17">
        <v>9</v>
      </c>
      <c r="T346" s="18"/>
      <c r="U346" s="17">
        <v>1</v>
      </c>
      <c r="V346" s="17" t="s">
        <v>119</v>
      </c>
      <c r="W346" s="18">
        <v>31</v>
      </c>
      <c r="X346" s="18" t="s">
        <v>342</v>
      </c>
      <c r="Y346" s="18">
        <v>33</v>
      </c>
      <c r="Z346" s="17" t="s">
        <v>39</v>
      </c>
      <c r="AA346" s="17">
        <v>2</v>
      </c>
      <c r="AB346" s="17" t="s">
        <v>181</v>
      </c>
      <c r="AC346" s="1">
        <f t="shared" si="15"/>
        <v>0</v>
      </c>
      <c r="AD346" s="1">
        <f t="shared" si="16"/>
        <v>0</v>
      </c>
      <c r="AE346" s="1">
        <f t="shared" si="17"/>
        <v>1</v>
      </c>
    </row>
    <row r="347" spans="19:31">
      <c r="S347" s="17">
        <v>10</v>
      </c>
      <c r="T347" s="18"/>
      <c r="U347" s="17">
        <v>1</v>
      </c>
      <c r="V347" s="17" t="s">
        <v>119</v>
      </c>
      <c r="W347" s="18">
        <v>19</v>
      </c>
      <c r="X347" s="18" t="s">
        <v>342</v>
      </c>
      <c r="Y347" s="18">
        <v>45</v>
      </c>
      <c r="Z347" s="17" t="s">
        <v>67</v>
      </c>
      <c r="AA347" s="17">
        <v>2</v>
      </c>
      <c r="AB347" s="17" t="s">
        <v>177</v>
      </c>
      <c r="AC347" s="1">
        <f t="shared" si="15"/>
        <v>0</v>
      </c>
      <c r="AD347" s="1">
        <f t="shared" si="16"/>
        <v>0</v>
      </c>
      <c r="AE347" s="1">
        <f t="shared" si="17"/>
        <v>1</v>
      </c>
    </row>
    <row r="348" spans="19:31">
      <c r="S348" s="17">
        <v>11</v>
      </c>
      <c r="T348" s="18"/>
      <c r="U348" s="17">
        <v>1</v>
      </c>
      <c r="V348" s="17" t="s">
        <v>119</v>
      </c>
      <c r="W348" s="18">
        <v>33</v>
      </c>
      <c r="X348" s="18" t="s">
        <v>342</v>
      </c>
      <c r="Y348" s="18">
        <v>42</v>
      </c>
      <c r="Z348" s="17" t="s">
        <v>115</v>
      </c>
      <c r="AA348" s="17">
        <v>2</v>
      </c>
      <c r="AB348" s="17" t="s">
        <v>173</v>
      </c>
      <c r="AC348" s="1">
        <f t="shared" si="15"/>
        <v>0</v>
      </c>
      <c r="AD348" s="1">
        <f t="shared" si="16"/>
        <v>0</v>
      </c>
      <c r="AE348" s="1">
        <f t="shared" si="17"/>
        <v>1</v>
      </c>
    </row>
    <row r="349" spans="19:31">
      <c r="S349" s="17">
        <v>12</v>
      </c>
      <c r="T349" s="18"/>
      <c r="U349" s="17">
        <v>1</v>
      </c>
      <c r="V349" s="17" t="s">
        <v>119</v>
      </c>
      <c r="W349" s="18">
        <v>33</v>
      </c>
      <c r="X349" s="18" t="s">
        <v>342</v>
      </c>
      <c r="Y349" s="18">
        <v>39</v>
      </c>
      <c r="Z349" s="17" t="s">
        <v>123</v>
      </c>
      <c r="AA349" s="17">
        <v>2</v>
      </c>
      <c r="AB349" s="17" t="s">
        <v>165</v>
      </c>
      <c r="AC349" s="1">
        <f t="shared" si="15"/>
        <v>0</v>
      </c>
      <c r="AD349" s="1">
        <f t="shared" si="16"/>
        <v>0</v>
      </c>
      <c r="AE349" s="1">
        <f t="shared" si="17"/>
        <v>1</v>
      </c>
    </row>
    <row r="350" spans="19:31">
      <c r="S350" s="17">
        <v>13</v>
      </c>
      <c r="T350" s="18"/>
      <c r="U350" s="17">
        <v>1</v>
      </c>
      <c r="V350" s="17" t="s">
        <v>119</v>
      </c>
      <c r="W350" s="18">
        <v>34</v>
      </c>
      <c r="X350" s="18" t="s">
        <v>342</v>
      </c>
      <c r="Y350" s="18">
        <v>36</v>
      </c>
      <c r="Z350" s="17" t="s">
        <v>107</v>
      </c>
      <c r="AA350" s="17">
        <v>2</v>
      </c>
      <c r="AB350" s="17" t="s">
        <v>177</v>
      </c>
      <c r="AC350" s="1">
        <f t="shared" si="15"/>
        <v>0</v>
      </c>
      <c r="AD350" s="1">
        <f t="shared" si="16"/>
        <v>0</v>
      </c>
      <c r="AE350" s="1">
        <f t="shared" si="17"/>
        <v>1</v>
      </c>
    </row>
    <row r="351" spans="19:31">
      <c r="S351" s="17">
        <v>14</v>
      </c>
      <c r="T351" s="18"/>
      <c r="U351" s="17">
        <v>1</v>
      </c>
      <c r="V351" s="17" t="s">
        <v>119</v>
      </c>
      <c r="W351" s="18">
        <v>39</v>
      </c>
      <c r="X351" s="18" t="s">
        <v>342</v>
      </c>
      <c r="Y351" s="18">
        <v>33</v>
      </c>
      <c r="Z351" s="17" t="s">
        <v>125</v>
      </c>
      <c r="AA351" s="17">
        <v>2</v>
      </c>
      <c r="AB351" s="17" t="s">
        <v>165</v>
      </c>
      <c r="AC351" s="1">
        <f t="shared" si="15"/>
        <v>1</v>
      </c>
      <c r="AD351" s="1">
        <f t="shared" si="16"/>
        <v>0</v>
      </c>
      <c r="AE351" s="1">
        <f t="shared" si="17"/>
        <v>0</v>
      </c>
    </row>
    <row r="352" spans="19:31">
      <c r="S352" s="17">
        <v>15</v>
      </c>
      <c r="T352" s="18"/>
      <c r="U352" s="17">
        <v>1</v>
      </c>
      <c r="V352" s="17" t="s">
        <v>119</v>
      </c>
      <c r="W352" s="18">
        <v>30</v>
      </c>
      <c r="X352" s="18" t="s">
        <v>342</v>
      </c>
      <c r="Y352" s="18">
        <v>39</v>
      </c>
      <c r="Z352" s="17" t="s">
        <v>35</v>
      </c>
      <c r="AA352" s="17">
        <v>2</v>
      </c>
      <c r="AB352" s="17" t="s">
        <v>173</v>
      </c>
      <c r="AC352" s="1">
        <f t="shared" si="15"/>
        <v>0</v>
      </c>
      <c r="AD352" s="1">
        <f t="shared" si="16"/>
        <v>0</v>
      </c>
      <c r="AE352" s="1">
        <f t="shared" si="17"/>
        <v>1</v>
      </c>
    </row>
    <row r="353" spans="19:31">
      <c r="S353" s="58" t="s">
        <v>339</v>
      </c>
      <c r="T353" s="58" t="s">
        <v>340</v>
      </c>
      <c r="U353" s="58" t="s">
        <v>341</v>
      </c>
      <c r="V353" s="58" t="s">
        <v>1</v>
      </c>
      <c r="W353" s="66" t="s">
        <v>220</v>
      </c>
      <c r="X353" s="66"/>
      <c r="Y353" s="66"/>
      <c r="Z353" s="58" t="s">
        <v>1</v>
      </c>
      <c r="AA353" s="58" t="s">
        <v>341</v>
      </c>
      <c r="AB353" s="58" t="s">
        <v>395</v>
      </c>
      <c r="AC353" s="1">
        <f t="shared" si="15"/>
        <v>1</v>
      </c>
      <c r="AD353" s="1">
        <f t="shared" si="16"/>
        <v>0</v>
      </c>
      <c r="AE353" s="1">
        <f t="shared" si="17"/>
        <v>0</v>
      </c>
    </row>
    <row r="354" spans="19:31">
      <c r="S354" s="17">
        <v>1</v>
      </c>
      <c r="T354" s="18"/>
      <c r="U354" s="17">
        <v>1</v>
      </c>
      <c r="V354" s="17" t="s">
        <v>107</v>
      </c>
      <c r="W354" s="18">
        <v>39</v>
      </c>
      <c r="X354" s="18" t="s">
        <v>342</v>
      </c>
      <c r="Y354" s="18">
        <v>24</v>
      </c>
      <c r="Z354" s="17" t="s">
        <v>18</v>
      </c>
      <c r="AA354" s="17">
        <v>2</v>
      </c>
      <c r="AB354" s="17" t="s">
        <v>177</v>
      </c>
      <c r="AC354" s="1">
        <f t="shared" si="15"/>
        <v>1</v>
      </c>
      <c r="AD354" s="1">
        <f t="shared" si="16"/>
        <v>0</v>
      </c>
      <c r="AE354" s="1">
        <f t="shared" si="17"/>
        <v>0</v>
      </c>
    </row>
    <row r="355" spans="19:31">
      <c r="S355" s="17">
        <v>2</v>
      </c>
      <c r="T355" s="18"/>
      <c r="U355" s="17">
        <v>1</v>
      </c>
      <c r="V355" s="17" t="s">
        <v>107</v>
      </c>
      <c r="W355" s="18">
        <v>42</v>
      </c>
      <c r="X355" s="18" t="s">
        <v>342</v>
      </c>
      <c r="Y355" s="18">
        <v>22</v>
      </c>
      <c r="Z355" s="17" t="s">
        <v>31</v>
      </c>
      <c r="AA355" s="17">
        <v>2</v>
      </c>
      <c r="AB355" s="17" t="s">
        <v>165</v>
      </c>
      <c r="AC355" s="1">
        <f t="shared" si="15"/>
        <v>1</v>
      </c>
      <c r="AD355" s="1">
        <f t="shared" si="16"/>
        <v>0</v>
      </c>
      <c r="AE355" s="1">
        <f t="shared" si="17"/>
        <v>0</v>
      </c>
    </row>
    <row r="356" spans="19:31">
      <c r="S356" s="17">
        <v>3</v>
      </c>
      <c r="T356" s="18"/>
      <c r="U356" s="17">
        <v>1</v>
      </c>
      <c r="V356" s="17" t="s">
        <v>107</v>
      </c>
      <c r="W356" s="18">
        <v>42</v>
      </c>
      <c r="X356" s="18" t="s">
        <v>342</v>
      </c>
      <c r="Y356" s="18">
        <v>6</v>
      </c>
      <c r="Z356" s="17" t="s">
        <v>65</v>
      </c>
      <c r="AA356" s="17">
        <v>2</v>
      </c>
      <c r="AB356" s="17" t="s">
        <v>181</v>
      </c>
      <c r="AC356" s="1">
        <f t="shared" si="15"/>
        <v>1</v>
      </c>
      <c r="AD356" s="1">
        <f t="shared" si="16"/>
        <v>0</v>
      </c>
      <c r="AE356" s="1">
        <f t="shared" si="17"/>
        <v>0</v>
      </c>
    </row>
    <row r="357" spans="19:31">
      <c r="S357" s="17">
        <v>4</v>
      </c>
      <c r="T357" s="18"/>
      <c r="U357" s="17">
        <v>1</v>
      </c>
      <c r="V357" s="17" t="s">
        <v>107</v>
      </c>
      <c r="W357" s="18">
        <v>42</v>
      </c>
      <c r="X357" s="18" t="s">
        <v>342</v>
      </c>
      <c r="Y357" s="18">
        <v>24</v>
      </c>
      <c r="Z357" s="17" t="s">
        <v>53</v>
      </c>
      <c r="AA357" s="17">
        <v>2</v>
      </c>
      <c r="AB357" s="17" t="s">
        <v>173</v>
      </c>
      <c r="AC357" s="1">
        <f t="shared" si="15"/>
        <v>1</v>
      </c>
      <c r="AD357" s="1">
        <f t="shared" si="16"/>
        <v>0</v>
      </c>
      <c r="AE357" s="1">
        <f t="shared" si="17"/>
        <v>0</v>
      </c>
    </row>
    <row r="358" spans="19:31">
      <c r="S358" s="17">
        <v>5</v>
      </c>
      <c r="T358" s="18"/>
      <c r="U358" s="17">
        <v>2</v>
      </c>
      <c r="V358" s="17" t="s">
        <v>107</v>
      </c>
      <c r="W358" s="18">
        <v>45</v>
      </c>
      <c r="X358" s="18" t="s">
        <v>342</v>
      </c>
      <c r="Y358" s="18">
        <v>6</v>
      </c>
      <c r="Z358" s="17" t="s">
        <v>14</v>
      </c>
      <c r="AA358" s="17">
        <v>1</v>
      </c>
      <c r="AB358" s="17" t="s">
        <v>177</v>
      </c>
      <c r="AC358" s="1">
        <f t="shared" si="15"/>
        <v>1</v>
      </c>
      <c r="AD358" s="1">
        <f t="shared" si="16"/>
        <v>0</v>
      </c>
      <c r="AE358" s="1">
        <f t="shared" si="17"/>
        <v>0</v>
      </c>
    </row>
    <row r="359" spans="19:31">
      <c r="S359" s="17">
        <v>6</v>
      </c>
      <c r="T359" s="18"/>
      <c r="U359" s="17">
        <v>2</v>
      </c>
      <c r="V359" s="17" t="s">
        <v>107</v>
      </c>
      <c r="W359" s="18">
        <v>45</v>
      </c>
      <c r="X359" s="18" t="s">
        <v>342</v>
      </c>
      <c r="Y359" s="18">
        <v>9</v>
      </c>
      <c r="Z359" s="17" t="s">
        <v>57</v>
      </c>
      <c r="AA359" s="17">
        <v>1</v>
      </c>
      <c r="AB359" s="17" t="s">
        <v>181</v>
      </c>
      <c r="AC359" s="1">
        <f t="shared" si="15"/>
        <v>1</v>
      </c>
      <c r="AD359" s="1">
        <f t="shared" si="16"/>
        <v>0</v>
      </c>
      <c r="AE359" s="1">
        <f t="shared" si="17"/>
        <v>0</v>
      </c>
    </row>
    <row r="360" spans="19:31">
      <c r="S360" s="17">
        <v>7</v>
      </c>
      <c r="T360" s="18"/>
      <c r="U360" s="17">
        <v>1</v>
      </c>
      <c r="V360" s="17" t="s">
        <v>107</v>
      </c>
      <c r="W360" s="18">
        <v>45</v>
      </c>
      <c r="X360" s="18" t="s">
        <v>342</v>
      </c>
      <c r="Y360" s="18">
        <v>0</v>
      </c>
      <c r="Z360" s="17" t="s">
        <v>343</v>
      </c>
      <c r="AA360" s="17">
        <v>2</v>
      </c>
      <c r="AB360" s="17" t="s">
        <v>165</v>
      </c>
      <c r="AC360" s="1">
        <f t="shared" si="15"/>
        <v>1</v>
      </c>
      <c r="AD360" s="1">
        <f t="shared" si="16"/>
        <v>0</v>
      </c>
      <c r="AE360" s="1">
        <f t="shared" si="17"/>
        <v>0</v>
      </c>
    </row>
    <row r="361" spans="19:31">
      <c r="S361" s="17">
        <v>8</v>
      </c>
      <c r="T361" s="18"/>
      <c r="U361" s="17">
        <v>2</v>
      </c>
      <c r="V361" s="17" t="s">
        <v>107</v>
      </c>
      <c r="W361" s="18">
        <v>45</v>
      </c>
      <c r="X361" s="18" t="s">
        <v>342</v>
      </c>
      <c r="Y361" s="18">
        <v>0</v>
      </c>
      <c r="Z361" s="17" t="s">
        <v>343</v>
      </c>
      <c r="AA361" s="17">
        <v>1</v>
      </c>
      <c r="AB361" s="17" t="s">
        <v>173</v>
      </c>
      <c r="AC361" s="1">
        <f t="shared" si="15"/>
        <v>1</v>
      </c>
      <c r="AD361" s="1">
        <f t="shared" si="16"/>
        <v>0</v>
      </c>
      <c r="AE361" s="1">
        <f t="shared" si="17"/>
        <v>0</v>
      </c>
    </row>
    <row r="362" spans="19:31">
      <c r="S362" s="17">
        <v>9</v>
      </c>
      <c r="T362" s="18"/>
      <c r="U362" s="17">
        <v>1</v>
      </c>
      <c r="V362" s="17" t="s">
        <v>107</v>
      </c>
      <c r="W362" s="18">
        <v>18</v>
      </c>
      <c r="X362" s="18" t="s">
        <v>342</v>
      </c>
      <c r="Y362" s="18">
        <v>45</v>
      </c>
      <c r="Z362" s="17" t="s">
        <v>123</v>
      </c>
      <c r="AA362" s="17">
        <v>2</v>
      </c>
      <c r="AB362" s="17" t="s">
        <v>181</v>
      </c>
      <c r="AC362" s="1">
        <f t="shared" si="15"/>
        <v>0</v>
      </c>
      <c r="AD362" s="1">
        <f t="shared" si="16"/>
        <v>0</v>
      </c>
      <c r="AE362" s="1">
        <f t="shared" si="17"/>
        <v>1</v>
      </c>
    </row>
    <row r="363" spans="19:31">
      <c r="S363" s="17">
        <v>10</v>
      </c>
      <c r="T363" s="18"/>
      <c r="U363" s="17">
        <v>1</v>
      </c>
      <c r="V363" s="17" t="s">
        <v>107</v>
      </c>
      <c r="W363" s="18">
        <v>24</v>
      </c>
      <c r="X363" s="18" t="s">
        <v>342</v>
      </c>
      <c r="Y363" s="18">
        <v>45</v>
      </c>
      <c r="Z363" s="17" t="s">
        <v>115</v>
      </c>
      <c r="AA363" s="17">
        <v>2</v>
      </c>
      <c r="AB363" s="17" t="s">
        <v>177</v>
      </c>
      <c r="AC363" s="1">
        <f t="shared" si="15"/>
        <v>0</v>
      </c>
      <c r="AD363" s="1">
        <f t="shared" si="16"/>
        <v>0</v>
      </c>
      <c r="AE363" s="1">
        <f t="shared" si="17"/>
        <v>1</v>
      </c>
    </row>
    <row r="364" spans="19:31">
      <c r="S364" s="17">
        <v>11</v>
      </c>
      <c r="T364" s="18"/>
      <c r="U364" s="17">
        <v>2</v>
      </c>
      <c r="V364" s="17" t="s">
        <v>107</v>
      </c>
      <c r="W364" s="18">
        <v>30</v>
      </c>
      <c r="X364" s="18" t="s">
        <v>342</v>
      </c>
      <c r="Y364" s="18">
        <v>45</v>
      </c>
      <c r="Z364" s="17" t="s">
        <v>67</v>
      </c>
      <c r="AA364" s="17">
        <v>1</v>
      </c>
      <c r="AB364" s="17" t="s">
        <v>173</v>
      </c>
      <c r="AC364" s="1">
        <f t="shared" si="15"/>
        <v>0</v>
      </c>
      <c r="AD364" s="1">
        <f t="shared" si="16"/>
        <v>0</v>
      </c>
      <c r="AE364" s="1">
        <f t="shared" si="17"/>
        <v>1</v>
      </c>
    </row>
    <row r="365" spans="19:31">
      <c r="S365" s="17">
        <v>12</v>
      </c>
      <c r="T365" s="18"/>
      <c r="U365" s="17">
        <v>1</v>
      </c>
      <c r="V365" s="17" t="s">
        <v>107</v>
      </c>
      <c r="W365" s="18">
        <v>33</v>
      </c>
      <c r="X365" s="18" t="s">
        <v>342</v>
      </c>
      <c r="Y365" s="18">
        <v>42</v>
      </c>
      <c r="Z365" s="17" t="s">
        <v>39</v>
      </c>
      <c r="AA365" s="17">
        <v>2</v>
      </c>
      <c r="AB365" s="17" t="s">
        <v>165</v>
      </c>
      <c r="AC365" s="1">
        <f t="shared" si="15"/>
        <v>0</v>
      </c>
      <c r="AD365" s="1">
        <f t="shared" si="16"/>
        <v>0</v>
      </c>
      <c r="AE365" s="1">
        <f t="shared" si="17"/>
        <v>1</v>
      </c>
    </row>
    <row r="366" spans="19:31">
      <c r="S366" s="17">
        <v>13</v>
      </c>
      <c r="T366" s="18"/>
      <c r="U366" s="17">
        <v>2</v>
      </c>
      <c r="V366" s="17" t="s">
        <v>107</v>
      </c>
      <c r="W366" s="18">
        <v>36</v>
      </c>
      <c r="X366" s="18" t="s">
        <v>342</v>
      </c>
      <c r="Y366" s="18">
        <v>34</v>
      </c>
      <c r="Z366" s="17" t="s">
        <v>119</v>
      </c>
      <c r="AA366" s="17">
        <v>1</v>
      </c>
      <c r="AB366" s="17" t="s">
        <v>177</v>
      </c>
      <c r="AC366" s="1">
        <f t="shared" si="15"/>
        <v>1</v>
      </c>
      <c r="AD366" s="1">
        <f t="shared" si="16"/>
        <v>0</v>
      </c>
      <c r="AE366" s="1">
        <f t="shared" si="17"/>
        <v>0</v>
      </c>
    </row>
    <row r="367" spans="19:31">
      <c r="S367" s="17">
        <v>14</v>
      </c>
      <c r="T367" s="18"/>
      <c r="U367" s="17">
        <v>1</v>
      </c>
      <c r="V367" s="17" t="s">
        <v>107</v>
      </c>
      <c r="W367" s="18">
        <v>28</v>
      </c>
      <c r="X367" s="18" t="s">
        <v>342</v>
      </c>
      <c r="Y367" s="18">
        <v>42</v>
      </c>
      <c r="Z367" s="17" t="s">
        <v>35</v>
      </c>
      <c r="AA367" s="17">
        <v>2</v>
      </c>
      <c r="AB367" s="17" t="s">
        <v>165</v>
      </c>
      <c r="AC367" s="1">
        <f t="shared" si="15"/>
        <v>0</v>
      </c>
      <c r="AD367" s="1">
        <f t="shared" si="16"/>
        <v>0</v>
      </c>
      <c r="AE367" s="1">
        <f t="shared" si="17"/>
        <v>1</v>
      </c>
    </row>
    <row r="368" spans="19:31">
      <c r="S368" s="17">
        <v>15</v>
      </c>
      <c r="T368" s="18"/>
      <c r="U368" s="17">
        <v>2</v>
      </c>
      <c r="V368" s="17" t="s">
        <v>107</v>
      </c>
      <c r="W368" s="18">
        <v>36</v>
      </c>
      <c r="X368" s="18" t="s">
        <v>342</v>
      </c>
      <c r="Y368" s="18">
        <v>39</v>
      </c>
      <c r="Z368" s="17" t="s">
        <v>125</v>
      </c>
      <c r="AA368" s="17">
        <v>1</v>
      </c>
      <c r="AB368" s="17" t="s">
        <v>173</v>
      </c>
      <c r="AC368" s="1">
        <f t="shared" si="15"/>
        <v>0</v>
      </c>
      <c r="AD368" s="1">
        <f t="shared" si="16"/>
        <v>0</v>
      </c>
      <c r="AE368" s="1">
        <f t="shared" si="17"/>
        <v>1</v>
      </c>
    </row>
    <row r="369" spans="19:31">
      <c r="S369" s="58" t="s">
        <v>339</v>
      </c>
      <c r="T369" s="58" t="s">
        <v>340</v>
      </c>
      <c r="U369" s="58" t="s">
        <v>341</v>
      </c>
      <c r="V369" s="58" t="s">
        <v>1</v>
      </c>
      <c r="W369" s="66" t="s">
        <v>220</v>
      </c>
      <c r="X369" s="66"/>
      <c r="Y369" s="66"/>
      <c r="Z369" s="58" t="s">
        <v>1</v>
      </c>
      <c r="AA369" s="58" t="s">
        <v>341</v>
      </c>
      <c r="AB369" s="58" t="s">
        <v>395</v>
      </c>
      <c r="AC369" s="1">
        <f t="shared" si="15"/>
        <v>1</v>
      </c>
      <c r="AD369" s="1">
        <f t="shared" si="16"/>
        <v>0</v>
      </c>
      <c r="AE369" s="1">
        <f t="shared" si="17"/>
        <v>0</v>
      </c>
    </row>
    <row r="370" spans="19:31">
      <c r="S370" s="17">
        <v>1</v>
      </c>
      <c r="T370" s="18"/>
      <c r="U370" s="17">
        <v>1</v>
      </c>
      <c r="V370" s="17" t="s">
        <v>125</v>
      </c>
      <c r="W370" s="18">
        <v>36</v>
      </c>
      <c r="X370" s="18" t="s">
        <v>342</v>
      </c>
      <c r="Y370" s="18">
        <v>31</v>
      </c>
      <c r="Z370" s="17" t="s">
        <v>31</v>
      </c>
      <c r="AA370" s="17">
        <v>2</v>
      </c>
      <c r="AB370" s="17" t="s">
        <v>177</v>
      </c>
      <c r="AC370" s="1">
        <f t="shared" si="15"/>
        <v>1</v>
      </c>
      <c r="AD370" s="1">
        <f t="shared" si="16"/>
        <v>0</v>
      </c>
      <c r="AE370" s="1">
        <f t="shared" si="17"/>
        <v>0</v>
      </c>
    </row>
    <row r="371" spans="19:31">
      <c r="S371" s="17">
        <v>2</v>
      </c>
      <c r="T371" s="18"/>
      <c r="U371" s="17">
        <v>1</v>
      </c>
      <c r="V371" s="17" t="s">
        <v>125</v>
      </c>
      <c r="W371" s="18">
        <v>42</v>
      </c>
      <c r="X371" s="18" t="s">
        <v>342</v>
      </c>
      <c r="Y371" s="18">
        <v>18</v>
      </c>
      <c r="Z371" s="17" t="s">
        <v>18</v>
      </c>
      <c r="AA371" s="17">
        <v>2</v>
      </c>
      <c r="AB371" s="17" t="s">
        <v>165</v>
      </c>
      <c r="AC371" s="1">
        <f t="shared" si="15"/>
        <v>1</v>
      </c>
      <c r="AD371" s="1">
        <f t="shared" si="16"/>
        <v>0</v>
      </c>
      <c r="AE371" s="1">
        <f t="shared" si="17"/>
        <v>0</v>
      </c>
    </row>
    <row r="372" spans="19:31">
      <c r="S372" s="17">
        <v>3</v>
      </c>
      <c r="T372" s="18"/>
      <c r="U372" s="17">
        <v>1</v>
      </c>
      <c r="V372" s="17" t="s">
        <v>125</v>
      </c>
      <c r="W372" s="18">
        <v>45</v>
      </c>
      <c r="X372" s="18" t="s">
        <v>342</v>
      </c>
      <c r="Y372" s="18">
        <v>9</v>
      </c>
      <c r="Z372" s="17" t="s">
        <v>53</v>
      </c>
      <c r="AA372" s="17">
        <v>2</v>
      </c>
      <c r="AB372" s="17" t="s">
        <v>181</v>
      </c>
      <c r="AC372" s="1">
        <f t="shared" si="15"/>
        <v>1</v>
      </c>
      <c r="AD372" s="1">
        <f t="shared" si="16"/>
        <v>0</v>
      </c>
      <c r="AE372" s="1">
        <f t="shared" si="17"/>
        <v>0</v>
      </c>
    </row>
    <row r="373" spans="19:31">
      <c r="S373" s="17">
        <v>4</v>
      </c>
      <c r="T373" s="18"/>
      <c r="U373" s="17">
        <v>1</v>
      </c>
      <c r="V373" s="17" t="s">
        <v>125</v>
      </c>
      <c r="W373" s="18">
        <v>45</v>
      </c>
      <c r="X373" s="18" t="s">
        <v>342</v>
      </c>
      <c r="Y373" s="18">
        <v>13</v>
      </c>
      <c r="Z373" s="17" t="s">
        <v>65</v>
      </c>
      <c r="AA373" s="17">
        <v>2</v>
      </c>
      <c r="AB373" s="17" t="s">
        <v>173</v>
      </c>
      <c r="AC373" s="1">
        <f t="shared" si="15"/>
        <v>1</v>
      </c>
      <c r="AD373" s="1">
        <f t="shared" si="16"/>
        <v>0</v>
      </c>
      <c r="AE373" s="1">
        <f t="shared" si="17"/>
        <v>0</v>
      </c>
    </row>
    <row r="374" spans="19:31">
      <c r="S374" s="17">
        <v>5</v>
      </c>
      <c r="T374" s="18"/>
      <c r="U374" s="17">
        <v>2</v>
      </c>
      <c r="V374" s="17" t="s">
        <v>125</v>
      </c>
      <c r="W374" s="18">
        <v>39</v>
      </c>
      <c r="X374" s="18" t="s">
        <v>342</v>
      </c>
      <c r="Y374" s="18">
        <v>3</v>
      </c>
      <c r="Z374" s="17" t="s">
        <v>57</v>
      </c>
      <c r="AA374" s="17">
        <v>1</v>
      </c>
      <c r="AB374" s="17" t="s">
        <v>177</v>
      </c>
      <c r="AC374" s="1">
        <f t="shared" si="15"/>
        <v>1</v>
      </c>
      <c r="AD374" s="1">
        <f t="shared" si="16"/>
        <v>0</v>
      </c>
      <c r="AE374" s="1">
        <f t="shared" si="17"/>
        <v>0</v>
      </c>
    </row>
    <row r="375" spans="19:31">
      <c r="S375" s="17">
        <v>6</v>
      </c>
      <c r="T375" s="18"/>
      <c r="U375" s="17">
        <v>1</v>
      </c>
      <c r="V375" s="17" t="s">
        <v>125</v>
      </c>
      <c r="W375" s="18">
        <v>45</v>
      </c>
      <c r="X375" s="18" t="s">
        <v>342</v>
      </c>
      <c r="Y375" s="18">
        <v>10</v>
      </c>
      <c r="Z375" s="17" t="s">
        <v>14</v>
      </c>
      <c r="AA375" s="17">
        <v>2</v>
      </c>
      <c r="AB375" s="17" t="s">
        <v>181</v>
      </c>
      <c r="AC375" s="1">
        <f t="shared" si="15"/>
        <v>1</v>
      </c>
      <c r="AD375" s="1">
        <f t="shared" si="16"/>
        <v>0</v>
      </c>
      <c r="AE375" s="1">
        <f t="shared" si="17"/>
        <v>0</v>
      </c>
    </row>
    <row r="376" spans="19:31">
      <c r="S376" s="17">
        <v>7</v>
      </c>
      <c r="T376" s="18"/>
      <c r="U376" s="17">
        <v>2</v>
      </c>
      <c r="V376" s="17" t="s">
        <v>125</v>
      </c>
      <c r="W376" s="18">
        <v>45</v>
      </c>
      <c r="X376" s="18" t="s">
        <v>342</v>
      </c>
      <c r="Y376" s="18">
        <v>0</v>
      </c>
      <c r="Z376" s="17" t="s">
        <v>343</v>
      </c>
      <c r="AA376" s="17">
        <v>1</v>
      </c>
      <c r="AB376" s="17" t="s">
        <v>165</v>
      </c>
      <c r="AC376" s="1">
        <f t="shared" si="15"/>
        <v>1</v>
      </c>
      <c r="AD376" s="1">
        <f t="shared" si="16"/>
        <v>0</v>
      </c>
      <c r="AE376" s="1">
        <f t="shared" si="17"/>
        <v>0</v>
      </c>
    </row>
    <row r="377" spans="19:31">
      <c r="S377" s="17">
        <v>8</v>
      </c>
      <c r="T377" s="18"/>
      <c r="U377" s="17">
        <v>1</v>
      </c>
      <c r="V377" s="17" t="s">
        <v>125</v>
      </c>
      <c r="W377" s="18">
        <v>45</v>
      </c>
      <c r="X377" s="18" t="s">
        <v>342</v>
      </c>
      <c r="Y377" s="18">
        <v>0</v>
      </c>
      <c r="Z377" s="17" t="s">
        <v>343</v>
      </c>
      <c r="AA377" s="17">
        <v>2</v>
      </c>
      <c r="AB377" s="17" t="s">
        <v>173</v>
      </c>
      <c r="AC377" s="1">
        <f t="shared" si="15"/>
        <v>1</v>
      </c>
      <c r="AD377" s="1">
        <f t="shared" si="16"/>
        <v>0</v>
      </c>
      <c r="AE377" s="1">
        <f t="shared" si="17"/>
        <v>0</v>
      </c>
    </row>
    <row r="378" spans="19:31">
      <c r="S378" s="17">
        <v>9</v>
      </c>
      <c r="T378" s="18"/>
      <c r="U378" s="17">
        <v>2</v>
      </c>
      <c r="V378" s="17" t="s">
        <v>125</v>
      </c>
      <c r="W378" s="18">
        <v>24</v>
      </c>
      <c r="X378" s="18" t="s">
        <v>342</v>
      </c>
      <c r="Y378" s="18">
        <v>45</v>
      </c>
      <c r="Z378" s="17" t="s">
        <v>115</v>
      </c>
      <c r="AA378" s="17">
        <v>1</v>
      </c>
      <c r="AB378" s="17" t="s">
        <v>181</v>
      </c>
      <c r="AC378" s="1">
        <f t="shared" si="15"/>
        <v>0</v>
      </c>
      <c r="AD378" s="1">
        <f t="shared" si="16"/>
        <v>0</v>
      </c>
      <c r="AE378" s="1">
        <f t="shared" si="17"/>
        <v>1</v>
      </c>
    </row>
    <row r="379" spans="19:31">
      <c r="S379" s="17">
        <v>10</v>
      </c>
      <c r="T379" s="18"/>
      <c r="U379" s="17">
        <v>1</v>
      </c>
      <c r="V379" s="17" t="s">
        <v>125</v>
      </c>
      <c r="W379" s="18">
        <v>25</v>
      </c>
      <c r="X379" s="18" t="s">
        <v>342</v>
      </c>
      <c r="Y379" s="18">
        <v>45</v>
      </c>
      <c r="Z379" s="17" t="s">
        <v>123</v>
      </c>
      <c r="AA379" s="17">
        <v>2</v>
      </c>
      <c r="AB379" s="17" t="s">
        <v>177</v>
      </c>
      <c r="AC379" s="1">
        <f t="shared" si="15"/>
        <v>0</v>
      </c>
      <c r="AD379" s="1">
        <f t="shared" si="16"/>
        <v>0</v>
      </c>
      <c r="AE379" s="1">
        <f t="shared" si="17"/>
        <v>1</v>
      </c>
    </row>
    <row r="380" spans="19:31">
      <c r="S380" s="17">
        <v>11</v>
      </c>
      <c r="T380" s="18"/>
      <c r="U380" s="17">
        <v>1</v>
      </c>
      <c r="V380" s="17" t="s">
        <v>125</v>
      </c>
      <c r="W380" s="18">
        <v>25</v>
      </c>
      <c r="X380" s="18" t="s">
        <v>342</v>
      </c>
      <c r="Y380" s="18">
        <v>45</v>
      </c>
      <c r="Z380" s="17" t="s">
        <v>39</v>
      </c>
      <c r="AA380" s="17">
        <v>2</v>
      </c>
      <c r="AB380" s="17" t="s">
        <v>173</v>
      </c>
      <c r="AC380" s="1">
        <f t="shared" si="15"/>
        <v>0</v>
      </c>
      <c r="AD380" s="1">
        <f t="shared" si="16"/>
        <v>0</v>
      </c>
      <c r="AE380" s="1">
        <f t="shared" si="17"/>
        <v>1</v>
      </c>
    </row>
    <row r="381" spans="19:31">
      <c r="S381" s="17">
        <v>12</v>
      </c>
      <c r="T381" s="18"/>
      <c r="U381" s="17">
        <v>1</v>
      </c>
      <c r="V381" s="17" t="s">
        <v>125</v>
      </c>
      <c r="W381" s="18">
        <v>33</v>
      </c>
      <c r="X381" s="18" t="s">
        <v>342</v>
      </c>
      <c r="Y381" s="18">
        <v>42</v>
      </c>
      <c r="Z381" s="17" t="s">
        <v>67</v>
      </c>
      <c r="AA381" s="17">
        <v>2</v>
      </c>
      <c r="AB381" s="17" t="s">
        <v>165</v>
      </c>
      <c r="AC381" s="1">
        <f t="shared" si="15"/>
        <v>0</v>
      </c>
      <c r="AD381" s="1">
        <f t="shared" si="16"/>
        <v>0</v>
      </c>
      <c r="AE381" s="1">
        <f t="shared" si="17"/>
        <v>1</v>
      </c>
    </row>
    <row r="382" spans="19:31">
      <c r="S382" s="17">
        <v>13</v>
      </c>
      <c r="T382" s="18"/>
      <c r="U382" s="17">
        <v>2</v>
      </c>
      <c r="V382" s="17" t="s">
        <v>125</v>
      </c>
      <c r="W382" s="18">
        <v>31</v>
      </c>
      <c r="X382" s="18" t="s">
        <v>342</v>
      </c>
      <c r="Y382" s="18">
        <v>39</v>
      </c>
      <c r="Z382" s="17" t="s">
        <v>35</v>
      </c>
      <c r="AA382" s="17">
        <v>1</v>
      </c>
      <c r="AB382" s="17" t="s">
        <v>177</v>
      </c>
      <c r="AC382" s="1">
        <f t="shared" si="15"/>
        <v>0</v>
      </c>
      <c r="AD382" s="1">
        <f t="shared" si="16"/>
        <v>0</v>
      </c>
      <c r="AE382" s="1">
        <f t="shared" si="17"/>
        <v>1</v>
      </c>
    </row>
    <row r="383" spans="19:31">
      <c r="S383" s="17">
        <v>14</v>
      </c>
      <c r="T383" s="18"/>
      <c r="U383" s="17">
        <v>2</v>
      </c>
      <c r="V383" s="17" t="s">
        <v>125</v>
      </c>
      <c r="W383" s="18">
        <v>33</v>
      </c>
      <c r="X383" s="18" t="s">
        <v>342</v>
      </c>
      <c r="Y383" s="18">
        <v>39</v>
      </c>
      <c r="Z383" s="17" t="s">
        <v>119</v>
      </c>
      <c r="AA383" s="17">
        <v>1</v>
      </c>
      <c r="AB383" s="17" t="s">
        <v>165</v>
      </c>
      <c r="AC383" s="1">
        <f t="shared" si="15"/>
        <v>0</v>
      </c>
      <c r="AD383" s="1">
        <f t="shared" si="16"/>
        <v>0</v>
      </c>
      <c r="AE383" s="1">
        <f t="shared" si="17"/>
        <v>1</v>
      </c>
    </row>
    <row r="384" spans="19:31">
      <c r="S384" s="17">
        <v>15</v>
      </c>
      <c r="T384" s="18"/>
      <c r="U384" s="17">
        <v>1</v>
      </c>
      <c r="V384" s="17" t="s">
        <v>125</v>
      </c>
      <c r="W384" s="18">
        <v>39</v>
      </c>
      <c r="X384" s="18" t="s">
        <v>342</v>
      </c>
      <c r="Y384" s="18">
        <v>36</v>
      </c>
      <c r="Z384" s="17" t="s">
        <v>107</v>
      </c>
      <c r="AA384" s="17">
        <v>2</v>
      </c>
      <c r="AB384" s="17" t="s">
        <v>173</v>
      </c>
      <c r="AC384" s="1">
        <f t="shared" si="15"/>
        <v>1</v>
      </c>
      <c r="AD384" s="1">
        <f t="shared" si="16"/>
        <v>0</v>
      </c>
      <c r="AE384" s="1">
        <f t="shared" si="17"/>
        <v>0</v>
      </c>
    </row>
    <row r="385" spans="19:31">
      <c r="S385" s="58" t="s">
        <v>339</v>
      </c>
      <c r="T385" s="58" t="s">
        <v>340</v>
      </c>
      <c r="U385" s="58" t="s">
        <v>341</v>
      </c>
      <c r="V385" s="58" t="s">
        <v>1</v>
      </c>
      <c r="W385" s="66" t="s">
        <v>220</v>
      </c>
      <c r="X385" s="66"/>
      <c r="Y385" s="66"/>
      <c r="Z385" s="58" t="s">
        <v>1</v>
      </c>
      <c r="AA385" s="58" t="s">
        <v>341</v>
      </c>
      <c r="AB385" s="58" t="s">
        <v>395</v>
      </c>
      <c r="AC385" s="1">
        <f t="shared" ref="AC385:AC448" si="18">IF(W385="",0,IF(W385&gt;Y385,1,0))</f>
        <v>1</v>
      </c>
      <c r="AD385" s="1">
        <f t="shared" ref="AD385:AD448" si="19">IF(W385="",0,IF(W385=Y385,1,0))</f>
        <v>0</v>
      </c>
      <c r="AE385" s="1">
        <f t="shared" ref="AE385:AE448" si="20">IF(W385="",0,IF(W385&lt;Y385,1,0))</f>
        <v>0</v>
      </c>
    </row>
    <row r="386" spans="19:31">
      <c r="S386" s="17">
        <v>1</v>
      </c>
      <c r="T386" s="18"/>
      <c r="U386" s="17">
        <v>2</v>
      </c>
      <c r="V386" s="17" t="s">
        <v>31</v>
      </c>
      <c r="W386" s="18">
        <v>31</v>
      </c>
      <c r="X386" s="18" t="s">
        <v>342</v>
      </c>
      <c r="Y386" s="18">
        <v>36</v>
      </c>
      <c r="Z386" s="17" t="s">
        <v>125</v>
      </c>
      <c r="AA386" s="17">
        <v>1</v>
      </c>
      <c r="AB386" s="17" t="s">
        <v>177</v>
      </c>
      <c r="AC386" s="1">
        <f t="shared" si="18"/>
        <v>0</v>
      </c>
      <c r="AD386" s="1">
        <f t="shared" si="19"/>
        <v>0</v>
      </c>
      <c r="AE386" s="1">
        <f t="shared" si="20"/>
        <v>1</v>
      </c>
    </row>
    <row r="387" spans="19:31">
      <c r="S387" s="17">
        <v>2</v>
      </c>
      <c r="T387" s="18"/>
      <c r="U387" s="17">
        <v>2</v>
      </c>
      <c r="V387" s="17" t="s">
        <v>31</v>
      </c>
      <c r="W387" s="18">
        <v>22</v>
      </c>
      <c r="X387" s="18" t="s">
        <v>342</v>
      </c>
      <c r="Y387" s="18">
        <v>42</v>
      </c>
      <c r="Z387" s="17" t="s">
        <v>107</v>
      </c>
      <c r="AA387" s="17">
        <v>1</v>
      </c>
      <c r="AB387" s="17" t="s">
        <v>165</v>
      </c>
      <c r="AC387" s="1">
        <f t="shared" si="18"/>
        <v>0</v>
      </c>
      <c r="AD387" s="1">
        <f t="shared" si="19"/>
        <v>0</v>
      </c>
      <c r="AE387" s="1">
        <f t="shared" si="20"/>
        <v>1</v>
      </c>
    </row>
    <row r="388" spans="19:31">
      <c r="S388" s="17">
        <v>3</v>
      </c>
      <c r="T388" s="18"/>
      <c r="U388" s="17">
        <v>1</v>
      </c>
      <c r="V388" s="17" t="s">
        <v>31</v>
      </c>
      <c r="W388" s="18">
        <v>18</v>
      </c>
      <c r="X388" s="18" t="s">
        <v>342</v>
      </c>
      <c r="Y388" s="18">
        <v>45</v>
      </c>
      <c r="Z388" s="17" t="s">
        <v>119</v>
      </c>
      <c r="AA388" s="17">
        <v>2</v>
      </c>
      <c r="AB388" s="17" t="s">
        <v>181</v>
      </c>
      <c r="AC388" s="1">
        <f t="shared" si="18"/>
        <v>0</v>
      </c>
      <c r="AD388" s="1">
        <f t="shared" si="19"/>
        <v>0</v>
      </c>
      <c r="AE388" s="1">
        <f t="shared" si="20"/>
        <v>1</v>
      </c>
    </row>
    <row r="389" spans="19:31">
      <c r="S389" s="17">
        <v>4</v>
      </c>
      <c r="T389" s="18"/>
      <c r="U389" s="17">
        <v>2</v>
      </c>
      <c r="V389" s="17" t="s">
        <v>31</v>
      </c>
      <c r="W389" s="18">
        <v>30</v>
      </c>
      <c r="X389" s="18" t="s">
        <v>342</v>
      </c>
      <c r="Y389" s="18">
        <v>45</v>
      </c>
      <c r="Z389" s="17" t="s">
        <v>35</v>
      </c>
      <c r="AA389" s="17">
        <v>1</v>
      </c>
      <c r="AB389" s="17" t="s">
        <v>173</v>
      </c>
      <c r="AC389" s="1">
        <f t="shared" si="18"/>
        <v>0</v>
      </c>
      <c r="AD389" s="1">
        <f t="shared" si="19"/>
        <v>0</v>
      </c>
      <c r="AE389" s="1">
        <f t="shared" si="20"/>
        <v>1</v>
      </c>
    </row>
    <row r="390" spans="19:31">
      <c r="S390" s="17">
        <v>5</v>
      </c>
      <c r="T390" s="18"/>
      <c r="U390" s="17">
        <v>1</v>
      </c>
      <c r="V390" s="17" t="s">
        <v>31</v>
      </c>
      <c r="W390" s="18">
        <v>15</v>
      </c>
      <c r="X390" s="18" t="s">
        <v>342</v>
      </c>
      <c r="Y390" s="18">
        <v>42</v>
      </c>
      <c r="Z390" s="17" t="s">
        <v>67</v>
      </c>
      <c r="AA390" s="17">
        <v>2</v>
      </c>
      <c r="AB390" s="17" t="s">
        <v>177</v>
      </c>
      <c r="AC390" s="1">
        <f t="shared" si="18"/>
        <v>0</v>
      </c>
      <c r="AD390" s="1">
        <f t="shared" si="19"/>
        <v>0</v>
      </c>
      <c r="AE390" s="1">
        <f t="shared" si="20"/>
        <v>1</v>
      </c>
    </row>
    <row r="391" spans="19:31">
      <c r="S391" s="17">
        <v>6</v>
      </c>
      <c r="T391" s="18"/>
      <c r="U391" s="17">
        <v>1</v>
      </c>
      <c r="V391" s="17" t="s">
        <v>31</v>
      </c>
      <c r="W391" s="18">
        <v>33</v>
      </c>
      <c r="X391" s="18" t="s">
        <v>342</v>
      </c>
      <c r="Y391" s="18">
        <v>42</v>
      </c>
      <c r="Z391" s="17" t="s">
        <v>39</v>
      </c>
      <c r="AA391" s="17">
        <v>2</v>
      </c>
      <c r="AB391" s="17" t="s">
        <v>181</v>
      </c>
      <c r="AC391" s="1">
        <f t="shared" si="18"/>
        <v>0</v>
      </c>
      <c r="AD391" s="1">
        <f t="shared" si="19"/>
        <v>0</v>
      </c>
      <c r="AE391" s="1">
        <f t="shared" si="20"/>
        <v>1</v>
      </c>
    </row>
    <row r="392" spans="19:31">
      <c r="S392" s="17">
        <v>7</v>
      </c>
      <c r="T392" s="18"/>
      <c r="U392" s="17">
        <v>2</v>
      </c>
      <c r="V392" s="17" t="s">
        <v>31</v>
      </c>
      <c r="W392" s="18">
        <v>21</v>
      </c>
      <c r="X392" s="18" t="s">
        <v>342</v>
      </c>
      <c r="Y392" s="18">
        <v>45</v>
      </c>
      <c r="Z392" s="17" t="s">
        <v>123</v>
      </c>
      <c r="AA392" s="17">
        <v>1</v>
      </c>
      <c r="AB392" s="17" t="s">
        <v>165</v>
      </c>
      <c r="AC392" s="1">
        <f t="shared" si="18"/>
        <v>0</v>
      </c>
      <c r="AD392" s="1">
        <f t="shared" si="19"/>
        <v>0</v>
      </c>
      <c r="AE392" s="1">
        <f t="shared" si="20"/>
        <v>1</v>
      </c>
    </row>
    <row r="393" spans="19:31">
      <c r="S393" s="17">
        <v>8</v>
      </c>
      <c r="T393" s="18"/>
      <c r="U393" s="17">
        <v>2</v>
      </c>
      <c r="V393" s="17" t="s">
        <v>31</v>
      </c>
      <c r="W393" s="18">
        <v>12</v>
      </c>
      <c r="X393" s="18" t="s">
        <v>342</v>
      </c>
      <c r="Y393" s="18">
        <v>45</v>
      </c>
      <c r="Z393" s="17" t="s">
        <v>115</v>
      </c>
      <c r="AA393" s="17">
        <v>1</v>
      </c>
      <c r="AB393" s="17" t="s">
        <v>173</v>
      </c>
      <c r="AC393" s="1">
        <f t="shared" si="18"/>
        <v>0</v>
      </c>
      <c r="AD393" s="1">
        <f t="shared" si="19"/>
        <v>0</v>
      </c>
      <c r="AE393" s="1">
        <f t="shared" si="20"/>
        <v>1</v>
      </c>
    </row>
    <row r="394" spans="19:31">
      <c r="S394" s="17">
        <v>9</v>
      </c>
      <c r="T394" s="18"/>
      <c r="U394" s="17">
        <v>1</v>
      </c>
      <c r="V394" s="17" t="s">
        <v>31</v>
      </c>
      <c r="W394" s="18">
        <v>45</v>
      </c>
      <c r="X394" s="18" t="s">
        <v>342</v>
      </c>
      <c r="Y394" s="18">
        <v>0</v>
      </c>
      <c r="Z394" s="17" t="s">
        <v>343</v>
      </c>
      <c r="AA394" s="17">
        <v>2</v>
      </c>
      <c r="AB394" s="17" t="s">
        <v>181</v>
      </c>
      <c r="AC394" s="1">
        <f t="shared" si="18"/>
        <v>1</v>
      </c>
      <c r="AD394" s="1">
        <f t="shared" si="19"/>
        <v>0</v>
      </c>
      <c r="AE394" s="1">
        <f t="shared" si="20"/>
        <v>0</v>
      </c>
    </row>
    <row r="395" spans="19:31">
      <c r="S395" s="17">
        <v>10</v>
      </c>
      <c r="T395" s="18"/>
      <c r="U395" s="17">
        <v>2</v>
      </c>
      <c r="V395" s="17" t="s">
        <v>31</v>
      </c>
      <c r="W395" s="18">
        <v>45</v>
      </c>
      <c r="X395" s="18" t="s">
        <v>342</v>
      </c>
      <c r="Y395" s="18">
        <v>0</v>
      </c>
      <c r="Z395" s="17" t="s">
        <v>343</v>
      </c>
      <c r="AA395" s="17">
        <v>1</v>
      </c>
      <c r="AB395" s="17" t="s">
        <v>177</v>
      </c>
      <c r="AC395" s="1">
        <f t="shared" si="18"/>
        <v>1</v>
      </c>
      <c r="AD395" s="1">
        <f t="shared" si="19"/>
        <v>0</v>
      </c>
      <c r="AE395" s="1">
        <f t="shared" si="20"/>
        <v>0</v>
      </c>
    </row>
    <row r="396" spans="19:31">
      <c r="S396" s="17">
        <v>11</v>
      </c>
      <c r="T396" s="18"/>
      <c r="U396" s="17">
        <v>2</v>
      </c>
      <c r="V396" s="17" t="s">
        <v>31</v>
      </c>
      <c r="W396" s="18">
        <v>45</v>
      </c>
      <c r="X396" s="18" t="s">
        <v>342</v>
      </c>
      <c r="Y396" s="18">
        <v>16</v>
      </c>
      <c r="Z396" s="17" t="s">
        <v>14</v>
      </c>
      <c r="AA396" s="17">
        <v>1</v>
      </c>
      <c r="AB396" s="17" t="s">
        <v>173</v>
      </c>
      <c r="AC396" s="1">
        <f t="shared" si="18"/>
        <v>1</v>
      </c>
      <c r="AD396" s="1">
        <f t="shared" si="19"/>
        <v>0</v>
      </c>
      <c r="AE396" s="1">
        <f t="shared" si="20"/>
        <v>0</v>
      </c>
    </row>
    <row r="397" spans="19:31">
      <c r="S397" s="17">
        <v>12</v>
      </c>
      <c r="T397" s="18"/>
      <c r="U397" s="17">
        <v>2</v>
      </c>
      <c r="V397" s="17" t="s">
        <v>31</v>
      </c>
      <c r="W397" s="18">
        <v>45</v>
      </c>
      <c r="X397" s="18" t="s">
        <v>342</v>
      </c>
      <c r="Y397" s="18">
        <v>1</v>
      </c>
      <c r="Z397" s="17" t="s">
        <v>57</v>
      </c>
      <c r="AA397" s="17">
        <v>1</v>
      </c>
      <c r="AB397" s="17" t="s">
        <v>165</v>
      </c>
      <c r="AC397" s="1">
        <f t="shared" si="18"/>
        <v>1</v>
      </c>
      <c r="AD397" s="1">
        <f t="shared" si="19"/>
        <v>0</v>
      </c>
      <c r="AE397" s="1">
        <f t="shared" si="20"/>
        <v>0</v>
      </c>
    </row>
    <row r="398" spans="19:31">
      <c r="S398" s="17">
        <v>13</v>
      </c>
      <c r="T398" s="18"/>
      <c r="U398" s="17">
        <v>2</v>
      </c>
      <c r="V398" s="17" t="s">
        <v>31</v>
      </c>
      <c r="W398" s="18">
        <v>45</v>
      </c>
      <c r="X398" s="18" t="s">
        <v>342</v>
      </c>
      <c r="Y398" s="18">
        <v>18</v>
      </c>
      <c r="Z398" s="17" t="s">
        <v>65</v>
      </c>
      <c r="AA398" s="17">
        <v>1</v>
      </c>
      <c r="AB398" s="17" t="s">
        <v>177</v>
      </c>
      <c r="AC398" s="1">
        <f t="shared" si="18"/>
        <v>1</v>
      </c>
      <c r="AD398" s="1">
        <f t="shared" si="19"/>
        <v>0</v>
      </c>
      <c r="AE398" s="1">
        <f t="shared" si="20"/>
        <v>0</v>
      </c>
    </row>
    <row r="399" spans="19:31">
      <c r="S399" s="17">
        <v>14</v>
      </c>
      <c r="T399" s="18"/>
      <c r="U399" s="17">
        <v>2</v>
      </c>
      <c r="V399" s="17" t="s">
        <v>31</v>
      </c>
      <c r="W399" s="18">
        <v>42</v>
      </c>
      <c r="X399" s="18" t="s">
        <v>342</v>
      </c>
      <c r="Y399" s="18">
        <v>4</v>
      </c>
      <c r="Z399" s="17" t="s">
        <v>53</v>
      </c>
      <c r="AA399" s="17">
        <v>1</v>
      </c>
      <c r="AB399" s="17" t="s">
        <v>165</v>
      </c>
      <c r="AC399" s="1">
        <f t="shared" si="18"/>
        <v>1</v>
      </c>
      <c r="AD399" s="1">
        <f t="shared" si="19"/>
        <v>0</v>
      </c>
      <c r="AE399" s="1">
        <f t="shared" si="20"/>
        <v>0</v>
      </c>
    </row>
    <row r="400" spans="19:31">
      <c r="S400" s="17">
        <v>15</v>
      </c>
      <c r="T400" s="18"/>
      <c r="U400" s="17">
        <v>2</v>
      </c>
      <c r="V400" s="17" t="s">
        <v>31</v>
      </c>
      <c r="W400" s="18">
        <v>30</v>
      </c>
      <c r="X400" s="18" t="s">
        <v>342</v>
      </c>
      <c r="Y400" s="18">
        <v>33</v>
      </c>
      <c r="Z400" s="17" t="s">
        <v>18</v>
      </c>
      <c r="AA400" s="17">
        <v>1</v>
      </c>
      <c r="AB400" s="17" t="s">
        <v>173</v>
      </c>
      <c r="AC400" s="1">
        <f t="shared" si="18"/>
        <v>0</v>
      </c>
      <c r="AD400" s="1">
        <f t="shared" si="19"/>
        <v>0</v>
      </c>
      <c r="AE400" s="1">
        <f t="shared" si="20"/>
        <v>1</v>
      </c>
    </row>
    <row r="401" spans="19:31">
      <c r="S401" s="58" t="s">
        <v>339</v>
      </c>
      <c r="T401" s="58" t="s">
        <v>340</v>
      </c>
      <c r="U401" s="58" t="s">
        <v>341</v>
      </c>
      <c r="V401" s="58" t="s">
        <v>1</v>
      </c>
      <c r="W401" s="66" t="s">
        <v>220</v>
      </c>
      <c r="X401" s="66"/>
      <c r="Y401" s="66"/>
      <c r="Z401" s="58" t="s">
        <v>1</v>
      </c>
      <c r="AA401" s="58" t="s">
        <v>341</v>
      </c>
      <c r="AB401" s="58" t="s">
        <v>395</v>
      </c>
      <c r="AC401" s="1">
        <f t="shared" si="18"/>
        <v>1</v>
      </c>
      <c r="AD401" s="1">
        <f t="shared" si="19"/>
        <v>0</v>
      </c>
      <c r="AE401" s="1">
        <f t="shared" si="20"/>
        <v>0</v>
      </c>
    </row>
    <row r="402" spans="19:31">
      <c r="S402" s="17">
        <v>1</v>
      </c>
      <c r="T402" s="18"/>
      <c r="U402" s="17">
        <v>2</v>
      </c>
      <c r="V402" s="17" t="s">
        <v>18</v>
      </c>
      <c r="W402" s="18">
        <v>24</v>
      </c>
      <c r="X402" s="18" t="s">
        <v>342</v>
      </c>
      <c r="Y402" s="18">
        <v>39</v>
      </c>
      <c r="Z402" s="17" t="s">
        <v>107</v>
      </c>
      <c r="AA402" s="17">
        <v>1</v>
      </c>
      <c r="AB402" s="17" t="s">
        <v>177</v>
      </c>
      <c r="AC402" s="1">
        <f t="shared" si="18"/>
        <v>0</v>
      </c>
      <c r="AD402" s="1">
        <f t="shared" si="19"/>
        <v>0</v>
      </c>
      <c r="AE402" s="1">
        <f t="shared" si="20"/>
        <v>1</v>
      </c>
    </row>
    <row r="403" spans="19:31">
      <c r="S403" s="17">
        <v>2</v>
      </c>
      <c r="T403" s="18"/>
      <c r="U403" s="17">
        <v>2</v>
      </c>
      <c r="V403" s="17" t="s">
        <v>18</v>
      </c>
      <c r="W403" s="18">
        <v>18</v>
      </c>
      <c r="X403" s="18" t="s">
        <v>342</v>
      </c>
      <c r="Y403" s="18">
        <v>42</v>
      </c>
      <c r="Z403" s="17" t="s">
        <v>125</v>
      </c>
      <c r="AA403" s="17">
        <v>1</v>
      </c>
      <c r="AB403" s="17" t="s">
        <v>165</v>
      </c>
      <c r="AC403" s="1">
        <f t="shared" si="18"/>
        <v>0</v>
      </c>
      <c r="AD403" s="1">
        <f t="shared" si="19"/>
        <v>0</v>
      </c>
      <c r="AE403" s="1">
        <f t="shared" si="20"/>
        <v>1</v>
      </c>
    </row>
    <row r="404" spans="19:31">
      <c r="S404" s="17">
        <v>3</v>
      </c>
      <c r="T404" s="18"/>
      <c r="U404" s="17">
        <v>1</v>
      </c>
      <c r="V404" s="17" t="s">
        <v>18</v>
      </c>
      <c r="W404" s="18">
        <v>25</v>
      </c>
      <c r="X404" s="18" t="s">
        <v>342</v>
      </c>
      <c r="Y404" s="18">
        <v>45</v>
      </c>
      <c r="Z404" s="17" t="s">
        <v>35</v>
      </c>
      <c r="AA404" s="17">
        <v>2</v>
      </c>
      <c r="AB404" s="17" t="s">
        <v>181</v>
      </c>
      <c r="AC404" s="1">
        <f t="shared" si="18"/>
        <v>0</v>
      </c>
      <c r="AD404" s="1">
        <f t="shared" si="19"/>
        <v>0</v>
      </c>
      <c r="AE404" s="1">
        <f t="shared" si="20"/>
        <v>1</v>
      </c>
    </row>
    <row r="405" spans="19:31">
      <c r="S405" s="17">
        <v>4</v>
      </c>
      <c r="T405" s="18"/>
      <c r="U405" s="17">
        <v>2</v>
      </c>
      <c r="V405" s="17" t="s">
        <v>18</v>
      </c>
      <c r="W405" s="18">
        <v>27</v>
      </c>
      <c r="X405" s="18" t="s">
        <v>342</v>
      </c>
      <c r="Y405" s="18">
        <v>42</v>
      </c>
      <c r="Z405" s="17" t="s">
        <v>119</v>
      </c>
      <c r="AA405" s="17">
        <v>1</v>
      </c>
      <c r="AB405" s="17" t="s">
        <v>173</v>
      </c>
      <c r="AC405" s="1">
        <f t="shared" si="18"/>
        <v>0</v>
      </c>
      <c r="AD405" s="1">
        <f t="shared" si="19"/>
        <v>0</v>
      </c>
      <c r="AE405" s="1">
        <f t="shared" si="20"/>
        <v>1</v>
      </c>
    </row>
    <row r="406" spans="19:31">
      <c r="S406" s="17">
        <v>5</v>
      </c>
      <c r="T406" s="18"/>
      <c r="U406" s="17">
        <v>2</v>
      </c>
      <c r="V406" s="17" t="s">
        <v>18</v>
      </c>
      <c r="W406" s="18">
        <v>25</v>
      </c>
      <c r="X406" s="18" t="s">
        <v>342</v>
      </c>
      <c r="Y406" s="18">
        <v>45</v>
      </c>
      <c r="Z406" s="17" t="s">
        <v>39</v>
      </c>
      <c r="AA406" s="17">
        <v>1</v>
      </c>
      <c r="AB406" s="17" t="s">
        <v>177</v>
      </c>
      <c r="AC406" s="1">
        <f t="shared" si="18"/>
        <v>0</v>
      </c>
      <c r="AD406" s="1">
        <f t="shared" si="19"/>
        <v>0</v>
      </c>
      <c r="AE406" s="1">
        <f t="shared" si="20"/>
        <v>1</v>
      </c>
    </row>
    <row r="407" spans="19:31">
      <c r="S407" s="17">
        <v>6</v>
      </c>
      <c r="T407" s="18"/>
      <c r="U407" s="17">
        <v>1</v>
      </c>
      <c r="V407" s="17" t="s">
        <v>18</v>
      </c>
      <c r="W407" s="18">
        <v>21</v>
      </c>
      <c r="X407" s="18" t="s">
        <v>342</v>
      </c>
      <c r="Y407" s="18">
        <v>45</v>
      </c>
      <c r="Z407" s="17" t="s">
        <v>67</v>
      </c>
      <c r="AA407" s="17">
        <v>2</v>
      </c>
      <c r="AB407" s="17" t="s">
        <v>181</v>
      </c>
      <c r="AC407" s="1">
        <f t="shared" si="18"/>
        <v>0</v>
      </c>
      <c r="AD407" s="1">
        <f t="shared" si="19"/>
        <v>0</v>
      </c>
      <c r="AE407" s="1">
        <f t="shared" si="20"/>
        <v>1</v>
      </c>
    </row>
    <row r="408" spans="19:31">
      <c r="S408" s="17">
        <v>7</v>
      </c>
      <c r="T408" s="18"/>
      <c r="U408" s="17">
        <v>2</v>
      </c>
      <c r="V408" s="17" t="s">
        <v>18</v>
      </c>
      <c r="W408" s="18">
        <v>12</v>
      </c>
      <c r="X408" s="18" t="s">
        <v>342</v>
      </c>
      <c r="Y408" s="18">
        <v>45</v>
      </c>
      <c r="Z408" s="17" t="s">
        <v>115</v>
      </c>
      <c r="AA408" s="17">
        <v>1</v>
      </c>
      <c r="AB408" s="17" t="s">
        <v>165</v>
      </c>
      <c r="AC408" s="1">
        <f t="shared" si="18"/>
        <v>0</v>
      </c>
      <c r="AD408" s="1">
        <f t="shared" si="19"/>
        <v>0</v>
      </c>
      <c r="AE408" s="1">
        <f t="shared" si="20"/>
        <v>1</v>
      </c>
    </row>
    <row r="409" spans="19:31">
      <c r="S409" s="17">
        <v>8</v>
      </c>
      <c r="T409" s="18"/>
      <c r="U409" s="17">
        <v>2</v>
      </c>
      <c r="V409" s="17" t="s">
        <v>18</v>
      </c>
      <c r="W409" s="18">
        <v>27</v>
      </c>
      <c r="X409" s="18" t="s">
        <v>342</v>
      </c>
      <c r="Y409" s="18">
        <v>45</v>
      </c>
      <c r="Z409" s="17" t="s">
        <v>123</v>
      </c>
      <c r="AA409" s="17">
        <v>1</v>
      </c>
      <c r="AB409" s="17" t="s">
        <v>173</v>
      </c>
      <c r="AC409" s="1">
        <f t="shared" si="18"/>
        <v>0</v>
      </c>
      <c r="AD409" s="1">
        <f t="shared" si="19"/>
        <v>0</v>
      </c>
      <c r="AE409" s="1">
        <f t="shared" si="20"/>
        <v>1</v>
      </c>
    </row>
    <row r="410" spans="19:31">
      <c r="S410" s="17">
        <v>9</v>
      </c>
      <c r="T410" s="18"/>
      <c r="U410" s="17">
        <v>1</v>
      </c>
      <c r="V410" s="17" t="s">
        <v>18</v>
      </c>
      <c r="W410" s="18">
        <v>45</v>
      </c>
      <c r="X410" s="18" t="s">
        <v>342</v>
      </c>
      <c r="Y410" s="18">
        <v>0</v>
      </c>
      <c r="Z410" s="17" t="s">
        <v>343</v>
      </c>
      <c r="AA410" s="17">
        <v>2</v>
      </c>
      <c r="AB410" s="17" t="s">
        <v>181</v>
      </c>
      <c r="AC410" s="1">
        <f t="shared" si="18"/>
        <v>1</v>
      </c>
      <c r="AD410" s="1">
        <f t="shared" si="19"/>
        <v>0</v>
      </c>
      <c r="AE410" s="1">
        <f t="shared" si="20"/>
        <v>0</v>
      </c>
    </row>
    <row r="411" spans="19:31">
      <c r="S411" s="17">
        <v>10</v>
      </c>
      <c r="T411" s="18"/>
      <c r="U411" s="17">
        <v>2</v>
      </c>
      <c r="V411" s="17" t="s">
        <v>18</v>
      </c>
      <c r="W411" s="18">
        <v>45</v>
      </c>
      <c r="X411" s="18" t="s">
        <v>342</v>
      </c>
      <c r="Y411" s="18">
        <v>0</v>
      </c>
      <c r="Z411" s="17" t="s">
        <v>343</v>
      </c>
      <c r="AA411" s="17">
        <v>1</v>
      </c>
      <c r="AB411" s="17" t="s">
        <v>177</v>
      </c>
      <c r="AC411" s="1">
        <f t="shared" si="18"/>
        <v>1</v>
      </c>
      <c r="AD411" s="1">
        <f t="shared" si="19"/>
        <v>0</v>
      </c>
      <c r="AE411" s="1">
        <f t="shared" si="20"/>
        <v>0</v>
      </c>
    </row>
    <row r="412" spans="19:31">
      <c r="S412" s="17">
        <v>11</v>
      </c>
      <c r="T412" s="18"/>
      <c r="U412" s="17">
        <v>2</v>
      </c>
      <c r="V412" s="17" t="s">
        <v>18</v>
      </c>
      <c r="W412" s="18">
        <v>45</v>
      </c>
      <c r="X412" s="18" t="s">
        <v>342</v>
      </c>
      <c r="Y412" s="18">
        <v>9</v>
      </c>
      <c r="Z412" s="17" t="s">
        <v>57</v>
      </c>
      <c r="AA412" s="17">
        <v>1</v>
      </c>
      <c r="AB412" s="17" t="s">
        <v>173</v>
      </c>
      <c r="AC412" s="1">
        <f t="shared" si="18"/>
        <v>1</v>
      </c>
      <c r="AD412" s="1">
        <f t="shared" si="19"/>
        <v>0</v>
      </c>
      <c r="AE412" s="1">
        <f t="shared" si="20"/>
        <v>0</v>
      </c>
    </row>
    <row r="413" spans="19:31">
      <c r="S413" s="17">
        <v>12</v>
      </c>
      <c r="T413" s="18"/>
      <c r="U413" s="17">
        <v>1</v>
      </c>
      <c r="V413" s="17" t="s">
        <v>18</v>
      </c>
      <c r="W413" s="18">
        <v>45</v>
      </c>
      <c r="X413" s="18" t="s">
        <v>342</v>
      </c>
      <c r="Y413" s="18">
        <v>9</v>
      </c>
      <c r="Z413" s="17" t="s">
        <v>14</v>
      </c>
      <c r="AA413" s="17">
        <v>2</v>
      </c>
      <c r="AB413" s="17" t="s">
        <v>165</v>
      </c>
      <c r="AC413" s="1">
        <f t="shared" si="18"/>
        <v>1</v>
      </c>
      <c r="AD413" s="1">
        <f t="shared" si="19"/>
        <v>0</v>
      </c>
      <c r="AE413" s="1">
        <f t="shared" si="20"/>
        <v>0</v>
      </c>
    </row>
    <row r="414" spans="19:31">
      <c r="S414" s="17">
        <v>13</v>
      </c>
      <c r="T414" s="18"/>
      <c r="U414" s="17">
        <v>1</v>
      </c>
      <c r="V414" s="17" t="s">
        <v>18</v>
      </c>
      <c r="W414" s="18">
        <v>45</v>
      </c>
      <c r="X414" s="18" t="s">
        <v>342</v>
      </c>
      <c r="Y414" s="18">
        <v>21</v>
      </c>
      <c r="Z414" s="17" t="s">
        <v>53</v>
      </c>
      <c r="AA414" s="17">
        <v>2</v>
      </c>
      <c r="AB414" s="17" t="s">
        <v>177</v>
      </c>
      <c r="AC414" s="1">
        <f t="shared" si="18"/>
        <v>1</v>
      </c>
      <c r="AD414" s="1">
        <f t="shared" si="19"/>
        <v>0</v>
      </c>
      <c r="AE414" s="1">
        <f t="shared" si="20"/>
        <v>0</v>
      </c>
    </row>
    <row r="415" spans="19:31">
      <c r="S415" s="17">
        <v>14</v>
      </c>
      <c r="T415" s="18"/>
      <c r="U415" s="17">
        <v>1</v>
      </c>
      <c r="V415" s="17" t="s">
        <v>18</v>
      </c>
      <c r="W415" s="18">
        <v>36</v>
      </c>
      <c r="X415" s="18" t="s">
        <v>342</v>
      </c>
      <c r="Y415" s="18">
        <v>7</v>
      </c>
      <c r="Z415" s="17" t="s">
        <v>65</v>
      </c>
      <c r="AA415" s="17">
        <v>2</v>
      </c>
      <c r="AB415" s="17" t="s">
        <v>165</v>
      </c>
      <c r="AC415" s="1">
        <f t="shared" si="18"/>
        <v>1</v>
      </c>
      <c r="AD415" s="1">
        <f t="shared" si="19"/>
        <v>0</v>
      </c>
      <c r="AE415" s="1">
        <f t="shared" si="20"/>
        <v>0</v>
      </c>
    </row>
    <row r="416" spans="19:31">
      <c r="S416" s="17">
        <v>15</v>
      </c>
      <c r="T416" s="18"/>
      <c r="U416" s="17">
        <v>1</v>
      </c>
      <c r="V416" s="17" t="s">
        <v>18</v>
      </c>
      <c r="W416" s="18">
        <v>33</v>
      </c>
      <c r="X416" s="18" t="s">
        <v>342</v>
      </c>
      <c r="Y416" s="18">
        <v>30</v>
      </c>
      <c r="Z416" s="17" t="s">
        <v>31</v>
      </c>
      <c r="AA416" s="17">
        <v>2</v>
      </c>
      <c r="AB416" s="17" t="s">
        <v>173</v>
      </c>
      <c r="AC416" s="1">
        <f t="shared" si="18"/>
        <v>1</v>
      </c>
      <c r="AD416" s="1">
        <f t="shared" si="19"/>
        <v>0</v>
      </c>
      <c r="AE416" s="1">
        <f t="shared" si="20"/>
        <v>0</v>
      </c>
    </row>
    <row r="417" spans="19:31">
      <c r="S417" s="58" t="s">
        <v>339</v>
      </c>
      <c r="T417" s="58" t="s">
        <v>340</v>
      </c>
      <c r="U417" s="58" t="s">
        <v>341</v>
      </c>
      <c r="V417" s="58" t="s">
        <v>1</v>
      </c>
      <c r="W417" s="66" t="s">
        <v>220</v>
      </c>
      <c r="X417" s="66"/>
      <c r="Y417" s="66"/>
      <c r="Z417" s="58" t="s">
        <v>1</v>
      </c>
      <c r="AA417" s="58" t="s">
        <v>341</v>
      </c>
      <c r="AB417" s="58" t="s">
        <v>395</v>
      </c>
      <c r="AC417" s="1">
        <f t="shared" si="18"/>
        <v>1</v>
      </c>
      <c r="AD417" s="1">
        <f t="shared" si="19"/>
        <v>0</v>
      </c>
      <c r="AE417" s="1">
        <f t="shared" si="20"/>
        <v>0</v>
      </c>
    </row>
    <row r="418" spans="19:31">
      <c r="S418" s="17">
        <v>1</v>
      </c>
      <c r="T418" s="18"/>
      <c r="U418" s="17">
        <v>2</v>
      </c>
      <c r="V418" s="17" t="s">
        <v>53</v>
      </c>
      <c r="W418" s="18">
        <v>9</v>
      </c>
      <c r="X418" s="18" t="s">
        <v>342</v>
      </c>
      <c r="Y418" s="18">
        <v>45</v>
      </c>
      <c r="Z418" s="17" t="s">
        <v>119</v>
      </c>
      <c r="AA418" s="17">
        <v>1</v>
      </c>
      <c r="AB418" s="17" t="s">
        <v>177</v>
      </c>
      <c r="AC418" s="1">
        <f t="shared" si="18"/>
        <v>0</v>
      </c>
      <c r="AD418" s="1">
        <f t="shared" si="19"/>
        <v>0</v>
      </c>
      <c r="AE418" s="1">
        <f t="shared" si="20"/>
        <v>1</v>
      </c>
    </row>
    <row r="419" spans="19:31">
      <c r="S419" s="17">
        <v>2</v>
      </c>
      <c r="T419" s="18"/>
      <c r="U419" s="17">
        <v>1</v>
      </c>
      <c r="V419" s="17" t="s">
        <v>53</v>
      </c>
      <c r="W419" s="18">
        <v>3</v>
      </c>
      <c r="X419" s="18" t="s">
        <v>342</v>
      </c>
      <c r="Y419" s="18">
        <v>45</v>
      </c>
      <c r="Z419" s="17" t="s">
        <v>35</v>
      </c>
      <c r="AA419" s="17">
        <v>2</v>
      </c>
      <c r="AB419" s="17" t="s">
        <v>165</v>
      </c>
      <c r="AC419" s="1">
        <f t="shared" si="18"/>
        <v>0</v>
      </c>
      <c r="AD419" s="1">
        <f t="shared" si="19"/>
        <v>0</v>
      </c>
      <c r="AE419" s="1">
        <f t="shared" si="20"/>
        <v>1</v>
      </c>
    </row>
    <row r="420" spans="19:31">
      <c r="S420" s="17">
        <v>3</v>
      </c>
      <c r="T420" s="18"/>
      <c r="U420" s="17">
        <v>2</v>
      </c>
      <c r="V420" s="17" t="s">
        <v>53</v>
      </c>
      <c r="W420" s="18">
        <v>9</v>
      </c>
      <c r="X420" s="18" t="s">
        <v>342</v>
      </c>
      <c r="Y420" s="18">
        <v>45</v>
      </c>
      <c r="Z420" s="17" t="s">
        <v>125</v>
      </c>
      <c r="AA420" s="17">
        <v>1</v>
      </c>
      <c r="AB420" s="17" t="s">
        <v>181</v>
      </c>
      <c r="AC420" s="1">
        <f t="shared" si="18"/>
        <v>0</v>
      </c>
      <c r="AD420" s="1">
        <f t="shared" si="19"/>
        <v>0</v>
      </c>
      <c r="AE420" s="1">
        <f t="shared" si="20"/>
        <v>1</v>
      </c>
    </row>
    <row r="421" spans="19:31">
      <c r="S421" s="17">
        <v>4</v>
      </c>
      <c r="T421" s="18"/>
      <c r="U421" s="17">
        <v>2</v>
      </c>
      <c r="V421" s="17" t="s">
        <v>53</v>
      </c>
      <c r="W421" s="18">
        <v>24</v>
      </c>
      <c r="X421" s="18" t="s">
        <v>342</v>
      </c>
      <c r="Y421" s="18">
        <v>42</v>
      </c>
      <c r="Z421" s="17" t="s">
        <v>107</v>
      </c>
      <c r="AA421" s="17">
        <v>1</v>
      </c>
      <c r="AB421" s="17" t="s">
        <v>173</v>
      </c>
      <c r="AC421" s="1">
        <f t="shared" si="18"/>
        <v>0</v>
      </c>
      <c r="AD421" s="1">
        <f t="shared" si="19"/>
        <v>0</v>
      </c>
      <c r="AE421" s="1">
        <f t="shared" si="20"/>
        <v>1</v>
      </c>
    </row>
    <row r="422" spans="19:31">
      <c r="S422" s="17">
        <v>5</v>
      </c>
      <c r="T422" s="18"/>
      <c r="U422" s="17">
        <v>2</v>
      </c>
      <c r="V422" s="17" t="s">
        <v>53</v>
      </c>
      <c r="W422" s="18">
        <v>7</v>
      </c>
      <c r="X422" s="18" t="s">
        <v>342</v>
      </c>
      <c r="Y422" s="18">
        <v>45</v>
      </c>
      <c r="Z422" s="17" t="s">
        <v>123</v>
      </c>
      <c r="AA422" s="17">
        <v>1</v>
      </c>
      <c r="AB422" s="17" t="s">
        <v>177</v>
      </c>
      <c r="AC422" s="1">
        <f t="shared" si="18"/>
        <v>0</v>
      </c>
      <c r="AD422" s="1">
        <f t="shared" si="19"/>
        <v>0</v>
      </c>
      <c r="AE422" s="1">
        <f t="shared" si="20"/>
        <v>1</v>
      </c>
    </row>
    <row r="423" spans="19:31">
      <c r="S423" s="17">
        <v>6</v>
      </c>
      <c r="T423" s="18"/>
      <c r="U423" s="17">
        <v>2</v>
      </c>
      <c r="V423" s="17" t="s">
        <v>53</v>
      </c>
      <c r="W423" s="18">
        <v>19</v>
      </c>
      <c r="X423" s="18" t="s">
        <v>342</v>
      </c>
      <c r="Y423" s="18">
        <v>45</v>
      </c>
      <c r="Z423" s="17" t="s">
        <v>115</v>
      </c>
      <c r="AA423" s="17">
        <v>1</v>
      </c>
      <c r="AB423" s="17" t="s">
        <v>181</v>
      </c>
      <c r="AC423" s="1">
        <f t="shared" si="18"/>
        <v>0</v>
      </c>
      <c r="AD423" s="1">
        <f t="shared" si="19"/>
        <v>0</v>
      </c>
      <c r="AE423" s="1">
        <f t="shared" si="20"/>
        <v>1</v>
      </c>
    </row>
    <row r="424" spans="19:31">
      <c r="S424" s="17">
        <v>7</v>
      </c>
      <c r="T424" s="18"/>
      <c r="U424" s="17">
        <v>2</v>
      </c>
      <c r="V424" s="17" t="s">
        <v>53</v>
      </c>
      <c r="W424" s="18">
        <v>14</v>
      </c>
      <c r="X424" s="18" t="s">
        <v>342</v>
      </c>
      <c r="Y424" s="18">
        <v>45</v>
      </c>
      <c r="Z424" s="17" t="s">
        <v>67</v>
      </c>
      <c r="AA424" s="17">
        <v>1</v>
      </c>
      <c r="AB424" s="17" t="s">
        <v>165</v>
      </c>
      <c r="AC424" s="1">
        <f t="shared" si="18"/>
        <v>0</v>
      </c>
      <c r="AD424" s="1">
        <f t="shared" si="19"/>
        <v>0</v>
      </c>
      <c r="AE424" s="1">
        <f t="shared" si="20"/>
        <v>1</v>
      </c>
    </row>
    <row r="425" spans="19:31">
      <c r="S425" s="17">
        <v>8</v>
      </c>
      <c r="T425" s="18"/>
      <c r="U425" s="17">
        <v>1</v>
      </c>
      <c r="V425" s="17" t="s">
        <v>53</v>
      </c>
      <c r="W425" s="18">
        <v>13</v>
      </c>
      <c r="X425" s="18" t="s">
        <v>342</v>
      </c>
      <c r="Y425" s="18">
        <v>45</v>
      </c>
      <c r="Z425" s="17" t="s">
        <v>39</v>
      </c>
      <c r="AA425" s="17">
        <v>2</v>
      </c>
      <c r="AB425" s="17" t="s">
        <v>173</v>
      </c>
      <c r="AC425" s="1">
        <f t="shared" si="18"/>
        <v>0</v>
      </c>
      <c r="AD425" s="1">
        <f t="shared" si="19"/>
        <v>0</v>
      </c>
      <c r="AE425" s="1">
        <f t="shared" si="20"/>
        <v>1</v>
      </c>
    </row>
    <row r="426" spans="19:31">
      <c r="S426" s="17">
        <v>9</v>
      </c>
      <c r="T426" s="18"/>
      <c r="U426" s="17">
        <v>2</v>
      </c>
      <c r="V426" s="17" t="s">
        <v>53</v>
      </c>
      <c r="W426" s="18">
        <v>33</v>
      </c>
      <c r="X426" s="18" t="s">
        <v>342</v>
      </c>
      <c r="Y426" s="18">
        <v>1</v>
      </c>
      <c r="Z426" s="17" t="s">
        <v>14</v>
      </c>
      <c r="AA426" s="17">
        <v>1</v>
      </c>
      <c r="AB426" s="17" t="s">
        <v>181</v>
      </c>
      <c r="AC426" s="1">
        <f t="shared" si="18"/>
        <v>1</v>
      </c>
      <c r="AD426" s="1">
        <f t="shared" si="19"/>
        <v>0</v>
      </c>
      <c r="AE426" s="1">
        <f t="shared" si="20"/>
        <v>0</v>
      </c>
    </row>
    <row r="427" spans="19:31">
      <c r="S427" s="17">
        <v>10</v>
      </c>
      <c r="T427" s="18"/>
      <c r="U427" s="17">
        <v>1</v>
      </c>
      <c r="V427" s="17" t="s">
        <v>53</v>
      </c>
      <c r="W427" s="18">
        <v>42</v>
      </c>
      <c r="X427" s="18" t="s">
        <v>342</v>
      </c>
      <c r="Y427" s="18">
        <v>6</v>
      </c>
      <c r="Z427" s="17" t="s">
        <v>57</v>
      </c>
      <c r="AA427" s="17">
        <v>2</v>
      </c>
      <c r="AB427" s="17" t="s">
        <v>177</v>
      </c>
      <c r="AC427" s="1">
        <f t="shared" si="18"/>
        <v>1</v>
      </c>
      <c r="AD427" s="1">
        <f t="shared" si="19"/>
        <v>0</v>
      </c>
      <c r="AE427" s="1">
        <f t="shared" si="20"/>
        <v>0</v>
      </c>
    </row>
    <row r="428" spans="19:31">
      <c r="S428" s="17">
        <v>11</v>
      </c>
      <c r="T428" s="18"/>
      <c r="U428" s="17">
        <v>1</v>
      </c>
      <c r="V428" s="17" t="s">
        <v>53</v>
      </c>
      <c r="W428" s="18">
        <v>45</v>
      </c>
      <c r="X428" s="18" t="s">
        <v>342</v>
      </c>
      <c r="Y428" s="18">
        <v>0</v>
      </c>
      <c r="Z428" s="17" t="s">
        <v>343</v>
      </c>
      <c r="AA428" s="17">
        <v>2</v>
      </c>
      <c r="AB428" s="17" t="s">
        <v>173</v>
      </c>
      <c r="AC428" s="1">
        <f t="shared" si="18"/>
        <v>1</v>
      </c>
      <c r="AD428" s="1">
        <f t="shared" si="19"/>
        <v>0</v>
      </c>
      <c r="AE428" s="1">
        <f t="shared" si="20"/>
        <v>0</v>
      </c>
    </row>
    <row r="429" spans="19:31">
      <c r="S429" s="17">
        <v>12</v>
      </c>
      <c r="T429" s="18"/>
      <c r="U429" s="17">
        <v>1</v>
      </c>
      <c r="V429" s="17" t="s">
        <v>53</v>
      </c>
      <c r="W429" s="18">
        <v>45</v>
      </c>
      <c r="X429" s="18" t="s">
        <v>342</v>
      </c>
      <c r="Y429" s="18">
        <v>0</v>
      </c>
      <c r="Z429" s="17" t="s">
        <v>343</v>
      </c>
      <c r="AA429" s="17">
        <v>2</v>
      </c>
      <c r="AB429" s="17" t="s">
        <v>165</v>
      </c>
      <c r="AC429" s="1">
        <f t="shared" si="18"/>
        <v>1</v>
      </c>
      <c r="AD429" s="1">
        <f t="shared" si="19"/>
        <v>0</v>
      </c>
      <c r="AE429" s="1">
        <f t="shared" si="20"/>
        <v>0</v>
      </c>
    </row>
    <row r="430" spans="19:31">
      <c r="S430" s="17">
        <v>13</v>
      </c>
      <c r="T430" s="18"/>
      <c r="U430" s="17">
        <v>2</v>
      </c>
      <c r="V430" s="17" t="s">
        <v>53</v>
      </c>
      <c r="W430" s="18">
        <v>21</v>
      </c>
      <c r="X430" s="18" t="s">
        <v>342</v>
      </c>
      <c r="Y430" s="18">
        <v>45</v>
      </c>
      <c r="Z430" s="17" t="s">
        <v>18</v>
      </c>
      <c r="AA430" s="17">
        <v>1</v>
      </c>
      <c r="AB430" s="17" t="s">
        <v>177</v>
      </c>
      <c r="AC430" s="1">
        <f t="shared" si="18"/>
        <v>0</v>
      </c>
      <c r="AD430" s="1">
        <f t="shared" si="19"/>
        <v>0</v>
      </c>
      <c r="AE430" s="1">
        <f t="shared" si="20"/>
        <v>1</v>
      </c>
    </row>
    <row r="431" spans="19:31">
      <c r="S431" s="17">
        <v>14</v>
      </c>
      <c r="T431" s="18"/>
      <c r="U431" s="17">
        <v>1</v>
      </c>
      <c r="V431" s="17" t="s">
        <v>53</v>
      </c>
      <c r="W431" s="18">
        <v>4</v>
      </c>
      <c r="X431" s="18" t="s">
        <v>342</v>
      </c>
      <c r="Y431" s="18">
        <v>42</v>
      </c>
      <c r="Z431" s="17" t="s">
        <v>31</v>
      </c>
      <c r="AA431" s="17">
        <v>2</v>
      </c>
      <c r="AB431" s="17" t="s">
        <v>165</v>
      </c>
      <c r="AC431" s="1">
        <f t="shared" si="18"/>
        <v>0</v>
      </c>
      <c r="AD431" s="1">
        <f t="shared" si="19"/>
        <v>0</v>
      </c>
      <c r="AE431" s="1">
        <f t="shared" si="20"/>
        <v>1</v>
      </c>
    </row>
    <row r="432" spans="19:31">
      <c r="S432" s="17">
        <v>15</v>
      </c>
      <c r="T432" s="18"/>
      <c r="U432" s="17">
        <v>2</v>
      </c>
      <c r="V432" s="17" t="s">
        <v>53</v>
      </c>
      <c r="W432" s="18">
        <v>27</v>
      </c>
      <c r="X432" s="18" t="s">
        <v>342</v>
      </c>
      <c r="Y432" s="18">
        <v>15</v>
      </c>
      <c r="Z432" s="17" t="s">
        <v>65</v>
      </c>
      <c r="AA432" s="17">
        <v>1</v>
      </c>
      <c r="AB432" s="17" t="s">
        <v>173</v>
      </c>
      <c r="AC432" s="1">
        <f t="shared" si="18"/>
        <v>1</v>
      </c>
      <c r="AD432" s="1">
        <f t="shared" si="19"/>
        <v>0</v>
      </c>
      <c r="AE432" s="1">
        <f t="shared" si="20"/>
        <v>0</v>
      </c>
    </row>
    <row r="433" spans="19:31">
      <c r="S433" s="58" t="s">
        <v>339</v>
      </c>
      <c r="T433" s="58" t="s">
        <v>340</v>
      </c>
      <c r="U433" s="58" t="s">
        <v>341</v>
      </c>
      <c r="V433" s="58" t="s">
        <v>1</v>
      </c>
      <c r="W433" s="66" t="s">
        <v>220</v>
      </c>
      <c r="X433" s="66"/>
      <c r="Y433" s="66"/>
      <c r="Z433" s="58" t="s">
        <v>1</v>
      </c>
      <c r="AA433" s="58" t="s">
        <v>341</v>
      </c>
      <c r="AB433" s="58" t="s">
        <v>395</v>
      </c>
      <c r="AC433" s="1">
        <f t="shared" si="18"/>
        <v>1</v>
      </c>
      <c r="AD433" s="1">
        <f t="shared" si="19"/>
        <v>0</v>
      </c>
      <c r="AE433" s="1">
        <f t="shared" si="20"/>
        <v>0</v>
      </c>
    </row>
    <row r="434" spans="19:31">
      <c r="S434" s="17">
        <v>1</v>
      </c>
      <c r="T434" s="18"/>
      <c r="U434" s="17">
        <v>1</v>
      </c>
      <c r="V434" s="17" t="s">
        <v>65</v>
      </c>
      <c r="W434" s="18">
        <v>16</v>
      </c>
      <c r="X434" s="18" t="s">
        <v>342</v>
      </c>
      <c r="Y434" s="18">
        <v>45</v>
      </c>
      <c r="Z434" s="17" t="s">
        <v>35</v>
      </c>
      <c r="AA434" s="17">
        <v>2</v>
      </c>
      <c r="AB434" s="17" t="s">
        <v>177</v>
      </c>
      <c r="AC434" s="1">
        <f t="shared" si="18"/>
        <v>0</v>
      </c>
      <c r="AD434" s="1">
        <f t="shared" si="19"/>
        <v>0</v>
      </c>
      <c r="AE434" s="1">
        <f t="shared" si="20"/>
        <v>1</v>
      </c>
    </row>
    <row r="435" spans="19:31">
      <c r="S435" s="17">
        <v>2</v>
      </c>
      <c r="T435" s="18"/>
      <c r="U435" s="17">
        <v>2</v>
      </c>
      <c r="V435" s="17" t="s">
        <v>65</v>
      </c>
      <c r="W435" s="18">
        <v>0</v>
      </c>
      <c r="X435" s="18" t="s">
        <v>342</v>
      </c>
      <c r="Y435" s="18">
        <v>45</v>
      </c>
      <c r="Z435" s="17" t="s">
        <v>119</v>
      </c>
      <c r="AA435" s="17">
        <v>1</v>
      </c>
      <c r="AB435" s="17" t="s">
        <v>165</v>
      </c>
      <c r="AC435" s="1">
        <f t="shared" si="18"/>
        <v>0</v>
      </c>
      <c r="AD435" s="1">
        <f t="shared" si="19"/>
        <v>0</v>
      </c>
      <c r="AE435" s="1">
        <f t="shared" si="20"/>
        <v>1</v>
      </c>
    </row>
    <row r="436" spans="19:31">
      <c r="S436" s="17">
        <v>3</v>
      </c>
      <c r="T436" s="18"/>
      <c r="U436" s="17">
        <v>2</v>
      </c>
      <c r="V436" s="17" t="s">
        <v>65</v>
      </c>
      <c r="W436" s="18">
        <v>6</v>
      </c>
      <c r="X436" s="18" t="s">
        <v>342</v>
      </c>
      <c r="Y436" s="18">
        <v>42</v>
      </c>
      <c r="Z436" s="17" t="s">
        <v>107</v>
      </c>
      <c r="AA436" s="17">
        <v>1</v>
      </c>
      <c r="AB436" s="17" t="s">
        <v>181</v>
      </c>
      <c r="AC436" s="1">
        <f t="shared" si="18"/>
        <v>0</v>
      </c>
      <c r="AD436" s="1">
        <f t="shared" si="19"/>
        <v>0</v>
      </c>
      <c r="AE436" s="1">
        <f t="shared" si="20"/>
        <v>1</v>
      </c>
    </row>
    <row r="437" spans="19:31">
      <c r="S437" s="17">
        <v>4</v>
      </c>
      <c r="T437" s="18"/>
      <c r="U437" s="17">
        <v>2</v>
      </c>
      <c r="V437" s="17" t="s">
        <v>65</v>
      </c>
      <c r="W437" s="18">
        <v>13</v>
      </c>
      <c r="X437" s="18" t="s">
        <v>342</v>
      </c>
      <c r="Y437" s="18">
        <v>45</v>
      </c>
      <c r="Z437" s="17" t="s">
        <v>125</v>
      </c>
      <c r="AA437" s="17">
        <v>1</v>
      </c>
      <c r="AB437" s="17" t="s">
        <v>173</v>
      </c>
      <c r="AC437" s="1">
        <f t="shared" si="18"/>
        <v>0</v>
      </c>
      <c r="AD437" s="1">
        <f t="shared" si="19"/>
        <v>0</v>
      </c>
      <c r="AE437" s="1">
        <f t="shared" si="20"/>
        <v>1</v>
      </c>
    </row>
    <row r="438" spans="19:31">
      <c r="S438" s="17">
        <v>5</v>
      </c>
      <c r="T438" s="18"/>
      <c r="U438" s="17">
        <v>2</v>
      </c>
      <c r="V438" s="17" t="s">
        <v>65</v>
      </c>
      <c r="W438" s="18">
        <v>0</v>
      </c>
      <c r="X438" s="18" t="s">
        <v>342</v>
      </c>
      <c r="Y438" s="18">
        <v>45</v>
      </c>
      <c r="Z438" s="17" t="s">
        <v>115</v>
      </c>
      <c r="AA438" s="17">
        <v>1</v>
      </c>
      <c r="AB438" s="17" t="s">
        <v>177</v>
      </c>
      <c r="AC438" s="1">
        <f t="shared" si="18"/>
        <v>0</v>
      </c>
      <c r="AD438" s="1">
        <f t="shared" si="19"/>
        <v>0</v>
      </c>
      <c r="AE438" s="1">
        <f t="shared" si="20"/>
        <v>1</v>
      </c>
    </row>
    <row r="439" spans="19:31">
      <c r="S439" s="17">
        <v>6</v>
      </c>
      <c r="T439" s="18"/>
      <c r="U439" s="17">
        <v>1</v>
      </c>
      <c r="V439" s="17" t="s">
        <v>65</v>
      </c>
      <c r="W439" s="18">
        <v>18</v>
      </c>
      <c r="X439" s="18" t="s">
        <v>342</v>
      </c>
      <c r="Y439" s="18">
        <v>45</v>
      </c>
      <c r="Z439" s="17" t="s">
        <v>123</v>
      </c>
      <c r="AA439" s="17">
        <v>2</v>
      </c>
      <c r="AB439" s="17" t="s">
        <v>181</v>
      </c>
      <c r="AC439" s="1">
        <f t="shared" si="18"/>
        <v>0</v>
      </c>
      <c r="AD439" s="1">
        <f t="shared" si="19"/>
        <v>0</v>
      </c>
      <c r="AE439" s="1">
        <f t="shared" si="20"/>
        <v>1</v>
      </c>
    </row>
    <row r="440" spans="19:31">
      <c r="S440" s="17">
        <v>7</v>
      </c>
      <c r="T440" s="18"/>
      <c r="U440" s="17">
        <v>1</v>
      </c>
      <c r="V440" s="17" t="s">
        <v>65</v>
      </c>
      <c r="W440" s="18">
        <v>15</v>
      </c>
      <c r="X440" s="18" t="s">
        <v>342</v>
      </c>
      <c r="Y440" s="18">
        <v>42</v>
      </c>
      <c r="Z440" s="17" t="s">
        <v>39</v>
      </c>
      <c r="AA440" s="17">
        <v>2</v>
      </c>
      <c r="AB440" s="17" t="s">
        <v>165</v>
      </c>
      <c r="AC440" s="1">
        <f t="shared" si="18"/>
        <v>0</v>
      </c>
      <c r="AD440" s="1">
        <f t="shared" si="19"/>
        <v>0</v>
      </c>
      <c r="AE440" s="1">
        <f t="shared" si="20"/>
        <v>1</v>
      </c>
    </row>
    <row r="441" spans="19:31">
      <c r="S441" s="17">
        <v>8</v>
      </c>
      <c r="T441" s="18"/>
      <c r="U441" s="17">
        <v>1</v>
      </c>
      <c r="V441" s="17" t="s">
        <v>65</v>
      </c>
      <c r="W441" s="18">
        <v>8</v>
      </c>
      <c r="X441" s="18" t="s">
        <v>342</v>
      </c>
      <c r="Y441" s="18">
        <v>45</v>
      </c>
      <c r="Z441" s="17" t="s">
        <v>67</v>
      </c>
      <c r="AA441" s="17">
        <v>2</v>
      </c>
      <c r="AB441" s="17" t="s">
        <v>173</v>
      </c>
      <c r="AC441" s="1">
        <f t="shared" si="18"/>
        <v>0</v>
      </c>
      <c r="AD441" s="1">
        <f t="shared" si="19"/>
        <v>0</v>
      </c>
      <c r="AE441" s="1">
        <f t="shared" si="20"/>
        <v>1</v>
      </c>
    </row>
    <row r="442" spans="19:31">
      <c r="S442" s="17">
        <v>9</v>
      </c>
      <c r="T442" s="18"/>
      <c r="U442" s="17">
        <v>2</v>
      </c>
      <c r="V442" s="17" t="s">
        <v>65</v>
      </c>
      <c r="W442" s="18">
        <v>27</v>
      </c>
      <c r="X442" s="18" t="s">
        <v>342</v>
      </c>
      <c r="Y442" s="18">
        <v>12</v>
      </c>
      <c r="Z442" s="17" t="s">
        <v>57</v>
      </c>
      <c r="AA442" s="17">
        <v>1</v>
      </c>
      <c r="AB442" s="17" t="s">
        <v>181</v>
      </c>
      <c r="AC442" s="1">
        <f t="shared" si="18"/>
        <v>1</v>
      </c>
      <c r="AD442" s="1">
        <f t="shared" si="19"/>
        <v>0</v>
      </c>
      <c r="AE442" s="1">
        <f t="shared" si="20"/>
        <v>0</v>
      </c>
    </row>
    <row r="443" spans="19:31">
      <c r="S443" s="17">
        <v>10</v>
      </c>
      <c r="T443" s="18"/>
      <c r="U443" s="17">
        <v>2</v>
      </c>
      <c r="V443" s="17" t="s">
        <v>65</v>
      </c>
      <c r="W443" s="18">
        <v>33</v>
      </c>
      <c r="X443" s="18" t="s">
        <v>342</v>
      </c>
      <c r="Y443" s="18">
        <v>19</v>
      </c>
      <c r="Z443" s="17" t="s">
        <v>14</v>
      </c>
      <c r="AA443" s="17">
        <v>1</v>
      </c>
      <c r="AB443" s="17" t="s">
        <v>177</v>
      </c>
      <c r="AC443" s="1">
        <f t="shared" si="18"/>
        <v>1</v>
      </c>
      <c r="AD443" s="1">
        <f t="shared" si="19"/>
        <v>0</v>
      </c>
      <c r="AE443" s="1">
        <f t="shared" si="20"/>
        <v>0</v>
      </c>
    </row>
    <row r="444" spans="19:31">
      <c r="S444" s="17">
        <v>11</v>
      </c>
      <c r="T444" s="18"/>
      <c r="U444" s="17">
        <v>1</v>
      </c>
      <c r="V444" s="17" t="s">
        <v>65</v>
      </c>
      <c r="W444" s="18">
        <v>45</v>
      </c>
      <c r="X444" s="18" t="s">
        <v>342</v>
      </c>
      <c r="Y444" s="18">
        <v>0</v>
      </c>
      <c r="Z444" s="17" t="s">
        <v>343</v>
      </c>
      <c r="AA444" s="17">
        <v>2</v>
      </c>
      <c r="AB444" s="17" t="s">
        <v>173</v>
      </c>
      <c r="AC444" s="1">
        <f t="shared" si="18"/>
        <v>1</v>
      </c>
      <c r="AD444" s="1">
        <f t="shared" si="19"/>
        <v>0</v>
      </c>
      <c r="AE444" s="1">
        <f t="shared" si="20"/>
        <v>0</v>
      </c>
    </row>
    <row r="445" spans="19:31">
      <c r="S445" s="17">
        <v>12</v>
      </c>
      <c r="T445" s="18"/>
      <c r="U445" s="17">
        <v>1</v>
      </c>
      <c r="V445" s="17" t="s">
        <v>65</v>
      </c>
      <c r="W445" s="18">
        <v>45</v>
      </c>
      <c r="X445" s="18" t="s">
        <v>342</v>
      </c>
      <c r="Y445" s="18">
        <v>0</v>
      </c>
      <c r="Z445" s="17" t="s">
        <v>343</v>
      </c>
      <c r="AA445" s="17">
        <v>2</v>
      </c>
      <c r="AB445" s="17" t="s">
        <v>165</v>
      </c>
      <c r="AC445" s="1">
        <f t="shared" si="18"/>
        <v>1</v>
      </c>
      <c r="AD445" s="1">
        <f t="shared" si="19"/>
        <v>0</v>
      </c>
      <c r="AE445" s="1">
        <f t="shared" si="20"/>
        <v>0</v>
      </c>
    </row>
    <row r="446" spans="19:31">
      <c r="S446" s="17">
        <v>13</v>
      </c>
      <c r="T446" s="18"/>
      <c r="U446" s="17">
        <v>1</v>
      </c>
      <c r="V446" s="17" t="s">
        <v>65</v>
      </c>
      <c r="W446" s="18">
        <v>18</v>
      </c>
      <c r="X446" s="18" t="s">
        <v>342</v>
      </c>
      <c r="Y446" s="18">
        <v>45</v>
      </c>
      <c r="Z446" s="17" t="s">
        <v>31</v>
      </c>
      <c r="AA446" s="17">
        <v>2</v>
      </c>
      <c r="AB446" s="17" t="s">
        <v>177</v>
      </c>
      <c r="AC446" s="1">
        <f t="shared" si="18"/>
        <v>0</v>
      </c>
      <c r="AD446" s="1">
        <f t="shared" si="19"/>
        <v>0</v>
      </c>
      <c r="AE446" s="1">
        <f t="shared" si="20"/>
        <v>1</v>
      </c>
    </row>
    <row r="447" spans="19:31">
      <c r="S447" s="17">
        <v>14</v>
      </c>
      <c r="T447" s="18"/>
      <c r="U447" s="17">
        <v>2</v>
      </c>
      <c r="V447" s="17" t="s">
        <v>65</v>
      </c>
      <c r="W447" s="18">
        <v>7</v>
      </c>
      <c r="X447" s="18" t="s">
        <v>342</v>
      </c>
      <c r="Y447" s="18">
        <v>36</v>
      </c>
      <c r="Z447" s="17" t="s">
        <v>18</v>
      </c>
      <c r="AA447" s="17">
        <v>1</v>
      </c>
      <c r="AB447" s="17" t="s">
        <v>165</v>
      </c>
      <c r="AC447" s="1">
        <f t="shared" si="18"/>
        <v>0</v>
      </c>
      <c r="AD447" s="1">
        <f t="shared" si="19"/>
        <v>0</v>
      </c>
      <c r="AE447" s="1">
        <f t="shared" si="20"/>
        <v>1</v>
      </c>
    </row>
    <row r="448" spans="19:31">
      <c r="S448" s="17">
        <v>15</v>
      </c>
      <c r="T448" s="18"/>
      <c r="U448" s="17">
        <v>1</v>
      </c>
      <c r="V448" s="17" t="s">
        <v>65</v>
      </c>
      <c r="W448" s="18">
        <v>15</v>
      </c>
      <c r="X448" s="18" t="s">
        <v>342</v>
      </c>
      <c r="Y448" s="18">
        <v>27</v>
      </c>
      <c r="Z448" s="17" t="s">
        <v>53</v>
      </c>
      <c r="AA448" s="17">
        <v>2</v>
      </c>
      <c r="AB448" s="17" t="s">
        <v>173</v>
      </c>
      <c r="AC448" s="1">
        <f t="shared" si="18"/>
        <v>0</v>
      </c>
      <c r="AD448" s="1">
        <f t="shared" si="19"/>
        <v>0</v>
      </c>
      <c r="AE448" s="1">
        <f t="shared" si="20"/>
        <v>1</v>
      </c>
    </row>
    <row r="449" spans="19:31">
      <c r="S449" s="58" t="s">
        <v>339</v>
      </c>
      <c r="T449" s="58" t="s">
        <v>340</v>
      </c>
      <c r="U449" s="58" t="s">
        <v>341</v>
      </c>
      <c r="V449" s="58" t="s">
        <v>1</v>
      </c>
      <c r="W449" s="66" t="s">
        <v>220</v>
      </c>
      <c r="X449" s="66"/>
      <c r="Y449" s="66"/>
      <c r="Z449" s="58" t="s">
        <v>1</v>
      </c>
      <c r="AA449" s="58" t="s">
        <v>341</v>
      </c>
      <c r="AB449" s="58" t="s">
        <v>395</v>
      </c>
      <c r="AC449" s="1">
        <f t="shared" ref="AC449:AC512" si="21">IF(W449="",0,IF(W449&gt;Y449,1,0))</f>
        <v>1</v>
      </c>
      <c r="AD449" s="1">
        <f t="shared" ref="AD449:AD512" si="22">IF(W449="",0,IF(W449=Y449,1,0))</f>
        <v>0</v>
      </c>
      <c r="AE449" s="1">
        <f t="shared" ref="AE449:AE512" si="23">IF(W449="",0,IF(W449&lt;Y449,1,0))</f>
        <v>0</v>
      </c>
    </row>
    <row r="450" spans="19:31">
      <c r="S450" s="17">
        <v>1</v>
      </c>
      <c r="T450" s="18"/>
      <c r="U450" s="17">
        <v>2</v>
      </c>
      <c r="V450" s="17" t="s">
        <v>57</v>
      </c>
      <c r="W450" s="18">
        <v>6</v>
      </c>
      <c r="X450" s="18" t="s">
        <v>342</v>
      </c>
      <c r="Y450" s="18">
        <v>45</v>
      </c>
      <c r="Z450" s="17" t="s">
        <v>67</v>
      </c>
      <c r="AA450" s="17">
        <v>1</v>
      </c>
      <c r="AB450" s="17" t="s">
        <v>177</v>
      </c>
      <c r="AC450" s="1">
        <f t="shared" si="21"/>
        <v>0</v>
      </c>
      <c r="AD450" s="1">
        <f t="shared" si="22"/>
        <v>0</v>
      </c>
      <c r="AE450" s="1">
        <f t="shared" si="23"/>
        <v>1</v>
      </c>
    </row>
    <row r="451" spans="19:31">
      <c r="S451" s="17">
        <v>2</v>
      </c>
      <c r="T451" s="18"/>
      <c r="U451" s="17">
        <v>2</v>
      </c>
      <c r="V451" s="17" t="s">
        <v>57</v>
      </c>
      <c r="W451" s="18">
        <v>0</v>
      </c>
      <c r="X451" s="18" t="s">
        <v>342</v>
      </c>
      <c r="Y451" s="18">
        <v>45</v>
      </c>
      <c r="Z451" s="17" t="s">
        <v>39</v>
      </c>
      <c r="AA451" s="17">
        <v>1</v>
      </c>
      <c r="AB451" s="17" t="s">
        <v>165</v>
      </c>
      <c r="AC451" s="1">
        <f t="shared" si="21"/>
        <v>0</v>
      </c>
      <c r="AD451" s="1">
        <f t="shared" si="22"/>
        <v>0</v>
      </c>
      <c r="AE451" s="1">
        <f t="shared" si="23"/>
        <v>1</v>
      </c>
    </row>
    <row r="452" spans="19:31">
      <c r="S452" s="17">
        <v>3</v>
      </c>
      <c r="T452" s="18"/>
      <c r="U452" s="17">
        <v>1</v>
      </c>
      <c r="V452" s="17" t="s">
        <v>57</v>
      </c>
      <c r="W452" s="18">
        <v>0</v>
      </c>
      <c r="X452" s="18" t="s">
        <v>342</v>
      </c>
      <c r="Y452" s="18">
        <v>45</v>
      </c>
      <c r="Z452" s="17" t="s">
        <v>123</v>
      </c>
      <c r="AA452" s="17">
        <v>2</v>
      </c>
      <c r="AB452" s="17" t="s">
        <v>181</v>
      </c>
      <c r="AC452" s="1">
        <f t="shared" si="21"/>
        <v>0</v>
      </c>
      <c r="AD452" s="1">
        <f t="shared" si="22"/>
        <v>0</v>
      </c>
      <c r="AE452" s="1">
        <f t="shared" si="23"/>
        <v>1</v>
      </c>
    </row>
    <row r="453" spans="19:31">
      <c r="S453" s="17">
        <v>4</v>
      </c>
      <c r="T453" s="18"/>
      <c r="U453" s="17">
        <v>2</v>
      </c>
      <c r="V453" s="17" t="s">
        <v>57</v>
      </c>
      <c r="W453" s="18">
        <v>14</v>
      </c>
      <c r="X453" s="18" t="s">
        <v>342</v>
      </c>
      <c r="Y453" s="18">
        <v>45</v>
      </c>
      <c r="Z453" s="17" t="s">
        <v>115</v>
      </c>
      <c r="AA453" s="17">
        <v>1</v>
      </c>
      <c r="AB453" s="17" t="s">
        <v>173</v>
      </c>
      <c r="AC453" s="1">
        <f t="shared" si="21"/>
        <v>0</v>
      </c>
      <c r="AD453" s="1">
        <f t="shared" si="22"/>
        <v>0</v>
      </c>
      <c r="AE453" s="1">
        <f t="shared" si="23"/>
        <v>1</v>
      </c>
    </row>
    <row r="454" spans="19:31">
      <c r="S454" s="17">
        <v>5</v>
      </c>
      <c r="T454" s="18"/>
      <c r="U454" s="17">
        <v>1</v>
      </c>
      <c r="V454" s="17" t="s">
        <v>57</v>
      </c>
      <c r="W454" s="18">
        <v>3</v>
      </c>
      <c r="X454" s="18" t="s">
        <v>342</v>
      </c>
      <c r="Y454" s="18">
        <v>39</v>
      </c>
      <c r="Z454" s="17" t="s">
        <v>125</v>
      </c>
      <c r="AA454" s="17">
        <v>2</v>
      </c>
      <c r="AB454" s="17" t="s">
        <v>177</v>
      </c>
      <c r="AC454" s="1">
        <f t="shared" si="21"/>
        <v>0</v>
      </c>
      <c r="AD454" s="1">
        <f t="shared" si="22"/>
        <v>0</v>
      </c>
      <c r="AE454" s="1">
        <f t="shared" si="23"/>
        <v>1</v>
      </c>
    </row>
    <row r="455" spans="19:31">
      <c r="S455" s="17">
        <v>6</v>
      </c>
      <c r="T455" s="18"/>
      <c r="U455" s="17">
        <v>1</v>
      </c>
      <c r="V455" s="17" t="s">
        <v>57</v>
      </c>
      <c r="W455" s="18">
        <v>9</v>
      </c>
      <c r="X455" s="18" t="s">
        <v>342</v>
      </c>
      <c r="Y455" s="18">
        <v>45</v>
      </c>
      <c r="Z455" s="17" t="s">
        <v>107</v>
      </c>
      <c r="AA455" s="17">
        <v>2</v>
      </c>
      <c r="AB455" s="17" t="s">
        <v>181</v>
      </c>
      <c r="AC455" s="1">
        <f t="shared" si="21"/>
        <v>0</v>
      </c>
      <c r="AD455" s="1">
        <f t="shared" si="22"/>
        <v>0</v>
      </c>
      <c r="AE455" s="1">
        <f t="shared" si="23"/>
        <v>1</v>
      </c>
    </row>
    <row r="456" spans="19:31">
      <c r="S456" s="17">
        <v>7</v>
      </c>
      <c r="T456" s="18"/>
      <c r="U456" s="17">
        <v>1</v>
      </c>
      <c r="V456" s="17" t="s">
        <v>57</v>
      </c>
      <c r="W456" s="18">
        <v>7</v>
      </c>
      <c r="X456" s="18" t="s">
        <v>342</v>
      </c>
      <c r="Y456" s="18">
        <v>33</v>
      </c>
      <c r="Z456" s="17" t="s">
        <v>119</v>
      </c>
      <c r="AA456" s="17">
        <v>2</v>
      </c>
      <c r="AB456" s="17" t="s">
        <v>165</v>
      </c>
      <c r="AC456" s="1">
        <f t="shared" si="21"/>
        <v>0</v>
      </c>
      <c r="AD456" s="1">
        <f t="shared" si="22"/>
        <v>0</v>
      </c>
      <c r="AE456" s="1">
        <f t="shared" si="23"/>
        <v>1</v>
      </c>
    </row>
    <row r="457" spans="19:31">
      <c r="S457" s="17">
        <v>8</v>
      </c>
      <c r="T457" s="18"/>
      <c r="U457" s="17">
        <v>1</v>
      </c>
      <c r="V457" s="17" t="s">
        <v>57</v>
      </c>
      <c r="W457" s="18">
        <v>0</v>
      </c>
      <c r="X457" s="18" t="s">
        <v>342</v>
      </c>
      <c r="Y457" s="18">
        <v>45</v>
      </c>
      <c r="Z457" s="17" t="s">
        <v>35</v>
      </c>
      <c r="AA457" s="17">
        <v>2</v>
      </c>
      <c r="AB457" s="17" t="s">
        <v>173</v>
      </c>
      <c r="AC457" s="1">
        <f t="shared" si="21"/>
        <v>0</v>
      </c>
      <c r="AD457" s="1">
        <f t="shared" si="22"/>
        <v>0</v>
      </c>
      <c r="AE457" s="1">
        <f t="shared" si="23"/>
        <v>1</v>
      </c>
    </row>
    <row r="458" spans="19:31">
      <c r="S458" s="17">
        <v>9</v>
      </c>
      <c r="T458" s="18"/>
      <c r="U458" s="17">
        <v>1</v>
      </c>
      <c r="V458" s="17" t="s">
        <v>57</v>
      </c>
      <c r="W458" s="18">
        <v>12</v>
      </c>
      <c r="X458" s="18" t="s">
        <v>342</v>
      </c>
      <c r="Y458" s="18">
        <v>27</v>
      </c>
      <c r="Z458" s="17" t="s">
        <v>65</v>
      </c>
      <c r="AA458" s="17">
        <v>2</v>
      </c>
      <c r="AB458" s="17" t="s">
        <v>181</v>
      </c>
      <c r="AC458" s="1">
        <f t="shared" si="21"/>
        <v>0</v>
      </c>
      <c r="AD458" s="1">
        <f t="shared" si="22"/>
        <v>0</v>
      </c>
      <c r="AE458" s="1">
        <f t="shared" si="23"/>
        <v>1</v>
      </c>
    </row>
    <row r="459" spans="19:31">
      <c r="S459" s="17">
        <v>10</v>
      </c>
      <c r="T459" s="18"/>
      <c r="U459" s="17">
        <v>2</v>
      </c>
      <c r="V459" s="17" t="s">
        <v>57</v>
      </c>
      <c r="W459" s="18">
        <v>6</v>
      </c>
      <c r="X459" s="18" t="s">
        <v>342</v>
      </c>
      <c r="Y459" s="18">
        <v>42</v>
      </c>
      <c r="Z459" s="17" t="s">
        <v>53</v>
      </c>
      <c r="AA459" s="17">
        <v>1</v>
      </c>
      <c r="AB459" s="17" t="s">
        <v>177</v>
      </c>
      <c r="AC459" s="1">
        <f t="shared" si="21"/>
        <v>0</v>
      </c>
      <c r="AD459" s="1">
        <f t="shared" si="22"/>
        <v>0</v>
      </c>
      <c r="AE459" s="1">
        <f t="shared" si="23"/>
        <v>1</v>
      </c>
    </row>
    <row r="460" spans="19:31">
      <c r="S460" s="17">
        <v>11</v>
      </c>
      <c r="T460" s="18"/>
      <c r="U460" s="17">
        <v>1</v>
      </c>
      <c r="V460" s="17" t="s">
        <v>57</v>
      </c>
      <c r="W460" s="18">
        <v>9</v>
      </c>
      <c r="X460" s="18" t="s">
        <v>342</v>
      </c>
      <c r="Y460" s="18">
        <v>36</v>
      </c>
      <c r="Z460" s="17" t="s">
        <v>18</v>
      </c>
      <c r="AA460" s="17">
        <v>2</v>
      </c>
      <c r="AB460" s="17" t="s">
        <v>173</v>
      </c>
      <c r="AC460" s="1">
        <f t="shared" si="21"/>
        <v>0</v>
      </c>
      <c r="AD460" s="1">
        <f t="shared" si="22"/>
        <v>0</v>
      </c>
      <c r="AE460" s="1">
        <f t="shared" si="23"/>
        <v>1</v>
      </c>
    </row>
    <row r="461" spans="19:31">
      <c r="S461" s="17">
        <v>12</v>
      </c>
      <c r="T461" s="18"/>
      <c r="U461" s="17">
        <v>1</v>
      </c>
      <c r="V461" s="17" t="s">
        <v>57</v>
      </c>
      <c r="W461" s="18">
        <v>1</v>
      </c>
      <c r="X461" s="18" t="s">
        <v>342</v>
      </c>
      <c r="Y461" s="18">
        <v>45</v>
      </c>
      <c r="Z461" s="17" t="s">
        <v>31</v>
      </c>
      <c r="AA461" s="17">
        <v>2</v>
      </c>
      <c r="AB461" s="17" t="s">
        <v>165</v>
      </c>
      <c r="AC461" s="1">
        <f t="shared" si="21"/>
        <v>0</v>
      </c>
      <c r="AD461" s="1">
        <f t="shared" si="22"/>
        <v>0</v>
      </c>
      <c r="AE461" s="1">
        <f t="shared" si="23"/>
        <v>1</v>
      </c>
    </row>
    <row r="462" spans="19:31">
      <c r="S462" s="17">
        <v>13</v>
      </c>
      <c r="T462" s="18"/>
      <c r="U462" s="17">
        <v>2</v>
      </c>
      <c r="V462" s="17" t="s">
        <v>57</v>
      </c>
      <c r="W462" s="18">
        <v>45</v>
      </c>
      <c r="X462" s="18" t="s">
        <v>342</v>
      </c>
      <c r="Y462" s="18">
        <v>0</v>
      </c>
      <c r="Z462" s="17" t="s">
        <v>343</v>
      </c>
      <c r="AA462" s="17">
        <v>1</v>
      </c>
      <c r="AB462" s="17" t="s">
        <v>177</v>
      </c>
      <c r="AC462" s="1">
        <f t="shared" si="21"/>
        <v>1</v>
      </c>
      <c r="AD462" s="1">
        <f t="shared" si="22"/>
        <v>0</v>
      </c>
      <c r="AE462" s="1">
        <f t="shared" si="23"/>
        <v>0</v>
      </c>
    </row>
    <row r="463" spans="19:31">
      <c r="S463" s="17">
        <v>14</v>
      </c>
      <c r="T463" s="18"/>
      <c r="U463" s="17">
        <v>1</v>
      </c>
      <c r="V463" s="17" t="s">
        <v>57</v>
      </c>
      <c r="W463" s="18">
        <v>45</v>
      </c>
      <c r="X463" s="18" t="s">
        <v>342</v>
      </c>
      <c r="Y463" s="18">
        <v>0</v>
      </c>
      <c r="Z463" s="17" t="s">
        <v>343</v>
      </c>
      <c r="AA463" s="17">
        <v>2</v>
      </c>
      <c r="AB463" s="17" t="s">
        <v>165</v>
      </c>
      <c r="AC463" s="1">
        <f t="shared" si="21"/>
        <v>1</v>
      </c>
      <c r="AD463" s="1">
        <f t="shared" si="22"/>
        <v>0</v>
      </c>
      <c r="AE463" s="1">
        <f t="shared" si="23"/>
        <v>0</v>
      </c>
    </row>
    <row r="464" spans="19:31">
      <c r="S464" s="17">
        <v>15</v>
      </c>
      <c r="T464" s="18"/>
      <c r="U464" s="17">
        <v>1</v>
      </c>
      <c r="V464" s="17" t="s">
        <v>57</v>
      </c>
      <c r="W464" s="18">
        <v>3</v>
      </c>
      <c r="X464" s="18" t="s">
        <v>342</v>
      </c>
      <c r="Y464" s="18">
        <v>4</v>
      </c>
      <c r="Z464" s="17" t="s">
        <v>14</v>
      </c>
      <c r="AA464" s="17">
        <v>2</v>
      </c>
      <c r="AB464" s="17" t="s">
        <v>173</v>
      </c>
      <c r="AC464" s="1">
        <f t="shared" si="21"/>
        <v>0</v>
      </c>
      <c r="AD464" s="1">
        <f t="shared" si="22"/>
        <v>0</v>
      </c>
      <c r="AE464" s="1">
        <f t="shared" si="23"/>
        <v>1</v>
      </c>
    </row>
    <row r="465" spans="19:31">
      <c r="S465" s="58" t="s">
        <v>339</v>
      </c>
      <c r="T465" s="58" t="s">
        <v>340</v>
      </c>
      <c r="U465" s="58" t="s">
        <v>341</v>
      </c>
      <c r="V465" s="58" t="s">
        <v>1</v>
      </c>
      <c r="W465" s="66" t="s">
        <v>220</v>
      </c>
      <c r="X465" s="66"/>
      <c r="Y465" s="66"/>
      <c r="Z465" s="58" t="s">
        <v>1</v>
      </c>
      <c r="AA465" s="58" t="s">
        <v>341</v>
      </c>
      <c r="AB465" s="58" t="s">
        <v>395</v>
      </c>
      <c r="AC465" s="1">
        <f t="shared" si="21"/>
        <v>1</v>
      </c>
      <c r="AD465" s="1">
        <f t="shared" si="22"/>
        <v>0</v>
      </c>
      <c r="AE465" s="1">
        <f t="shared" si="23"/>
        <v>0</v>
      </c>
    </row>
    <row r="466" spans="19:31">
      <c r="S466" s="17">
        <v>1</v>
      </c>
      <c r="T466" s="18"/>
      <c r="U466" s="17">
        <v>1</v>
      </c>
      <c r="V466" s="17" t="s">
        <v>14</v>
      </c>
      <c r="W466" s="18">
        <v>1</v>
      </c>
      <c r="X466" s="18" t="s">
        <v>342</v>
      </c>
      <c r="Y466" s="18">
        <v>45</v>
      </c>
      <c r="Z466" s="17" t="s">
        <v>39</v>
      </c>
      <c r="AA466" s="17">
        <v>2</v>
      </c>
      <c r="AB466" s="17" t="s">
        <v>177</v>
      </c>
      <c r="AC466" s="1">
        <f t="shared" si="21"/>
        <v>0</v>
      </c>
      <c r="AD466" s="1">
        <f t="shared" si="22"/>
        <v>0</v>
      </c>
      <c r="AE466" s="1">
        <f t="shared" si="23"/>
        <v>1</v>
      </c>
    </row>
    <row r="467" spans="19:31">
      <c r="S467" s="17">
        <v>2</v>
      </c>
      <c r="T467" s="18"/>
      <c r="U467" s="17">
        <v>1</v>
      </c>
      <c r="V467" s="17" t="s">
        <v>14</v>
      </c>
      <c r="W467" s="18">
        <v>0</v>
      </c>
      <c r="X467" s="18" t="s">
        <v>342</v>
      </c>
      <c r="Y467" s="18">
        <v>45</v>
      </c>
      <c r="Z467" s="17" t="s">
        <v>67</v>
      </c>
      <c r="AA467" s="17">
        <v>2</v>
      </c>
      <c r="AB467" s="17" t="s">
        <v>165</v>
      </c>
      <c r="AC467" s="1">
        <f t="shared" si="21"/>
        <v>0</v>
      </c>
      <c r="AD467" s="1">
        <f t="shared" si="22"/>
        <v>0</v>
      </c>
      <c r="AE467" s="1">
        <f t="shared" si="23"/>
        <v>1</v>
      </c>
    </row>
    <row r="468" spans="19:31">
      <c r="S468" s="17">
        <v>3</v>
      </c>
      <c r="T468" s="18"/>
      <c r="U468" s="17">
        <v>1</v>
      </c>
      <c r="V468" s="17" t="s">
        <v>14</v>
      </c>
      <c r="W468" s="18">
        <v>6</v>
      </c>
      <c r="X468" s="18" t="s">
        <v>342</v>
      </c>
      <c r="Y468" s="18">
        <v>45</v>
      </c>
      <c r="Z468" s="17" t="s">
        <v>115</v>
      </c>
      <c r="AA468" s="17">
        <v>2</v>
      </c>
      <c r="AB468" s="17" t="s">
        <v>181</v>
      </c>
      <c r="AC468" s="1">
        <f t="shared" si="21"/>
        <v>0</v>
      </c>
      <c r="AD468" s="1">
        <f t="shared" si="22"/>
        <v>0</v>
      </c>
      <c r="AE468" s="1">
        <f t="shared" si="23"/>
        <v>1</v>
      </c>
    </row>
    <row r="469" spans="19:31">
      <c r="S469" s="17">
        <v>4</v>
      </c>
      <c r="T469" s="18"/>
      <c r="U469" s="17">
        <v>1</v>
      </c>
      <c r="V469" s="17" t="s">
        <v>14</v>
      </c>
      <c r="W469" s="18">
        <v>4</v>
      </c>
      <c r="X469" s="18" t="s">
        <v>342</v>
      </c>
      <c r="Y469" s="18">
        <v>45</v>
      </c>
      <c r="Z469" s="17" t="s">
        <v>123</v>
      </c>
      <c r="AA469" s="17">
        <v>2</v>
      </c>
      <c r="AB469" s="17" t="s">
        <v>173</v>
      </c>
      <c r="AC469" s="1">
        <f t="shared" si="21"/>
        <v>0</v>
      </c>
      <c r="AD469" s="1">
        <f t="shared" si="22"/>
        <v>0</v>
      </c>
      <c r="AE469" s="1">
        <f t="shared" si="23"/>
        <v>1</v>
      </c>
    </row>
    <row r="470" spans="19:31">
      <c r="S470" s="17">
        <v>5</v>
      </c>
      <c r="T470" s="18"/>
      <c r="U470" s="17">
        <v>1</v>
      </c>
      <c r="V470" s="17" t="s">
        <v>14</v>
      </c>
      <c r="W470" s="18">
        <v>6</v>
      </c>
      <c r="X470" s="18" t="s">
        <v>342</v>
      </c>
      <c r="Y470" s="18">
        <v>45</v>
      </c>
      <c r="Z470" s="17" t="s">
        <v>107</v>
      </c>
      <c r="AA470" s="17">
        <v>2</v>
      </c>
      <c r="AB470" s="17" t="s">
        <v>177</v>
      </c>
      <c r="AC470" s="1">
        <f t="shared" si="21"/>
        <v>0</v>
      </c>
      <c r="AD470" s="1">
        <f t="shared" si="22"/>
        <v>0</v>
      </c>
      <c r="AE470" s="1">
        <f t="shared" si="23"/>
        <v>1</v>
      </c>
    </row>
    <row r="471" spans="19:31">
      <c r="S471" s="17">
        <v>6</v>
      </c>
      <c r="T471" s="18"/>
      <c r="U471" s="17">
        <v>2</v>
      </c>
      <c r="V471" s="17" t="s">
        <v>14</v>
      </c>
      <c r="W471" s="18">
        <v>10</v>
      </c>
      <c r="X471" s="18" t="s">
        <v>342</v>
      </c>
      <c r="Y471" s="18">
        <v>45</v>
      </c>
      <c r="Z471" s="17" t="s">
        <v>125</v>
      </c>
      <c r="AA471" s="17">
        <v>1</v>
      </c>
      <c r="AB471" s="17" t="s">
        <v>181</v>
      </c>
      <c r="AC471" s="1">
        <f t="shared" si="21"/>
        <v>0</v>
      </c>
      <c r="AD471" s="1">
        <f t="shared" si="22"/>
        <v>0</v>
      </c>
      <c r="AE471" s="1">
        <f t="shared" si="23"/>
        <v>1</v>
      </c>
    </row>
    <row r="472" spans="19:31">
      <c r="S472" s="17">
        <v>7</v>
      </c>
      <c r="T472" s="18"/>
      <c r="U472" s="17">
        <v>1</v>
      </c>
      <c r="V472" s="17" t="s">
        <v>14</v>
      </c>
      <c r="W472" s="18">
        <v>1</v>
      </c>
      <c r="X472" s="18" t="s">
        <v>342</v>
      </c>
      <c r="Y472" s="18">
        <v>45</v>
      </c>
      <c r="Z472" s="17" t="s">
        <v>35</v>
      </c>
      <c r="AA472" s="17">
        <v>2</v>
      </c>
      <c r="AB472" s="17" t="s">
        <v>165</v>
      </c>
      <c r="AC472" s="1">
        <f t="shared" si="21"/>
        <v>0</v>
      </c>
      <c r="AD472" s="1">
        <f t="shared" si="22"/>
        <v>0</v>
      </c>
      <c r="AE472" s="1">
        <f t="shared" si="23"/>
        <v>1</v>
      </c>
    </row>
    <row r="473" spans="19:31">
      <c r="S473" s="17">
        <v>8</v>
      </c>
      <c r="T473" s="18"/>
      <c r="U473" s="17">
        <v>2</v>
      </c>
      <c r="V473" s="17" t="s">
        <v>14</v>
      </c>
      <c r="W473" s="18">
        <v>3</v>
      </c>
      <c r="X473" s="18" t="s">
        <v>342</v>
      </c>
      <c r="Y473" s="18">
        <v>45</v>
      </c>
      <c r="Z473" s="17" t="s">
        <v>119</v>
      </c>
      <c r="AA473" s="17">
        <v>1</v>
      </c>
      <c r="AB473" s="17" t="s">
        <v>173</v>
      </c>
      <c r="AC473" s="1">
        <f t="shared" si="21"/>
        <v>0</v>
      </c>
      <c r="AD473" s="1">
        <f t="shared" si="22"/>
        <v>0</v>
      </c>
      <c r="AE473" s="1">
        <f t="shared" si="23"/>
        <v>1</v>
      </c>
    </row>
    <row r="474" spans="19:31">
      <c r="S474" s="17">
        <v>9</v>
      </c>
      <c r="T474" s="18"/>
      <c r="U474" s="17">
        <v>1</v>
      </c>
      <c r="V474" s="17" t="s">
        <v>14</v>
      </c>
      <c r="W474" s="18">
        <v>1</v>
      </c>
      <c r="X474" s="18" t="s">
        <v>342</v>
      </c>
      <c r="Y474" s="18">
        <v>33</v>
      </c>
      <c r="Z474" s="17" t="s">
        <v>53</v>
      </c>
      <c r="AA474" s="17">
        <v>2</v>
      </c>
      <c r="AB474" s="17" t="s">
        <v>181</v>
      </c>
      <c r="AC474" s="1">
        <f t="shared" si="21"/>
        <v>0</v>
      </c>
      <c r="AD474" s="1">
        <f t="shared" si="22"/>
        <v>0</v>
      </c>
      <c r="AE474" s="1">
        <f t="shared" si="23"/>
        <v>1</v>
      </c>
    </row>
    <row r="475" spans="19:31">
      <c r="S475" s="17">
        <v>10</v>
      </c>
      <c r="T475" s="18"/>
      <c r="U475" s="17">
        <v>1</v>
      </c>
      <c r="V475" s="17" t="s">
        <v>14</v>
      </c>
      <c r="W475" s="18">
        <v>19</v>
      </c>
      <c r="X475" s="18" t="s">
        <v>342</v>
      </c>
      <c r="Y475" s="18">
        <v>33</v>
      </c>
      <c r="Z475" s="17" t="s">
        <v>65</v>
      </c>
      <c r="AA475" s="17">
        <v>2</v>
      </c>
      <c r="AB475" s="17" t="s">
        <v>177</v>
      </c>
      <c r="AC475" s="1">
        <f t="shared" si="21"/>
        <v>0</v>
      </c>
      <c r="AD475" s="1">
        <f t="shared" si="22"/>
        <v>0</v>
      </c>
      <c r="AE475" s="1">
        <f t="shared" si="23"/>
        <v>1</v>
      </c>
    </row>
    <row r="476" spans="19:31">
      <c r="S476" s="17">
        <v>11</v>
      </c>
      <c r="T476" s="18"/>
      <c r="U476" s="17">
        <v>1</v>
      </c>
      <c r="V476" s="17" t="s">
        <v>14</v>
      </c>
      <c r="W476" s="18">
        <v>16</v>
      </c>
      <c r="X476" s="18" t="s">
        <v>342</v>
      </c>
      <c r="Y476" s="18">
        <v>45</v>
      </c>
      <c r="Z476" s="17" t="s">
        <v>31</v>
      </c>
      <c r="AA476" s="17">
        <v>2</v>
      </c>
      <c r="AB476" s="17" t="s">
        <v>173</v>
      </c>
      <c r="AC476" s="1">
        <f t="shared" si="21"/>
        <v>0</v>
      </c>
      <c r="AD476" s="1">
        <f t="shared" si="22"/>
        <v>0</v>
      </c>
      <c r="AE476" s="1">
        <f t="shared" si="23"/>
        <v>1</v>
      </c>
    </row>
    <row r="477" spans="19:31">
      <c r="S477" s="17">
        <v>12</v>
      </c>
      <c r="T477" s="18"/>
      <c r="U477" s="17">
        <v>2</v>
      </c>
      <c r="V477" s="17" t="s">
        <v>14</v>
      </c>
      <c r="W477" s="18">
        <v>9</v>
      </c>
      <c r="X477" s="18" t="s">
        <v>342</v>
      </c>
      <c r="Y477" s="18">
        <v>45</v>
      </c>
      <c r="Z477" s="17" t="s">
        <v>18</v>
      </c>
      <c r="AA477" s="17">
        <v>1</v>
      </c>
      <c r="AB477" s="17" t="s">
        <v>165</v>
      </c>
      <c r="AC477" s="1">
        <f t="shared" si="21"/>
        <v>0</v>
      </c>
      <c r="AD477" s="1">
        <f t="shared" si="22"/>
        <v>0</v>
      </c>
      <c r="AE477" s="1">
        <f t="shared" si="23"/>
        <v>1</v>
      </c>
    </row>
    <row r="478" spans="19:31">
      <c r="S478" s="17">
        <v>13</v>
      </c>
      <c r="T478" s="18"/>
      <c r="U478" s="17">
        <v>2</v>
      </c>
      <c r="V478" s="17" t="s">
        <v>14</v>
      </c>
      <c r="W478" s="18">
        <v>45</v>
      </c>
      <c r="X478" s="18" t="s">
        <v>342</v>
      </c>
      <c r="Y478" s="18">
        <v>0</v>
      </c>
      <c r="Z478" s="17" t="s">
        <v>343</v>
      </c>
      <c r="AA478" s="17">
        <v>1</v>
      </c>
      <c r="AB478" s="17" t="s">
        <v>177</v>
      </c>
      <c r="AC478" s="1">
        <f t="shared" si="21"/>
        <v>1</v>
      </c>
      <c r="AD478" s="1">
        <f t="shared" si="22"/>
        <v>0</v>
      </c>
      <c r="AE478" s="1">
        <f t="shared" si="23"/>
        <v>0</v>
      </c>
    </row>
    <row r="479" spans="19:31">
      <c r="S479" s="17">
        <v>14</v>
      </c>
      <c r="T479" s="18"/>
      <c r="U479" s="17">
        <v>2</v>
      </c>
      <c r="V479" s="17" t="s">
        <v>14</v>
      </c>
      <c r="W479" s="18">
        <v>45</v>
      </c>
      <c r="X479" s="18" t="s">
        <v>342</v>
      </c>
      <c r="Y479" s="18">
        <v>0</v>
      </c>
      <c r="Z479" s="17" t="s">
        <v>343</v>
      </c>
      <c r="AA479" s="17">
        <v>1</v>
      </c>
      <c r="AB479" s="17" t="s">
        <v>165</v>
      </c>
      <c r="AC479" s="1">
        <f t="shared" si="21"/>
        <v>1</v>
      </c>
      <c r="AD479" s="1">
        <f t="shared" si="22"/>
        <v>0</v>
      </c>
      <c r="AE479" s="1">
        <f t="shared" si="23"/>
        <v>0</v>
      </c>
    </row>
    <row r="480" spans="19:31">
      <c r="S480" s="17">
        <v>15</v>
      </c>
      <c r="T480" s="18"/>
      <c r="U480" s="17">
        <v>2</v>
      </c>
      <c r="V480" s="17" t="s">
        <v>14</v>
      </c>
      <c r="W480" s="18">
        <v>4</v>
      </c>
      <c r="X480" s="18" t="s">
        <v>342</v>
      </c>
      <c r="Y480" s="18">
        <v>3</v>
      </c>
      <c r="Z480" s="17" t="s">
        <v>57</v>
      </c>
      <c r="AA480" s="17">
        <v>1</v>
      </c>
      <c r="AB480" s="17" t="s">
        <v>173</v>
      </c>
      <c r="AC480" s="1">
        <f t="shared" si="21"/>
        <v>1</v>
      </c>
      <c r="AD480" s="1">
        <f t="shared" si="22"/>
        <v>0</v>
      </c>
      <c r="AE480" s="1">
        <f t="shared" si="23"/>
        <v>0</v>
      </c>
    </row>
    <row r="481" spans="19:31">
      <c r="S481" s="58" t="s">
        <v>339</v>
      </c>
      <c r="T481" s="58" t="s">
        <v>340</v>
      </c>
      <c r="U481" s="58" t="s">
        <v>341</v>
      </c>
      <c r="V481" s="58" t="s">
        <v>1</v>
      </c>
      <c r="W481" s="66" t="s">
        <v>220</v>
      </c>
      <c r="X481" s="66"/>
      <c r="Y481" s="66"/>
      <c r="Z481" s="58" t="s">
        <v>1</v>
      </c>
      <c r="AA481" s="58" t="s">
        <v>341</v>
      </c>
      <c r="AB481" s="58" t="s">
        <v>395</v>
      </c>
      <c r="AC481" s="1">
        <f t="shared" si="21"/>
        <v>1</v>
      </c>
      <c r="AD481" s="1">
        <f t="shared" si="22"/>
        <v>0</v>
      </c>
      <c r="AE481" s="1">
        <f t="shared" si="23"/>
        <v>0</v>
      </c>
    </row>
    <row r="482" spans="19:31">
      <c r="S482" s="17">
        <v>1</v>
      </c>
      <c r="T482" s="18"/>
      <c r="U482" s="17">
        <v>1</v>
      </c>
      <c r="V482" s="17" t="s">
        <v>343</v>
      </c>
      <c r="W482" s="18">
        <v>0</v>
      </c>
      <c r="X482" s="18" t="s">
        <v>342</v>
      </c>
      <c r="Y482" s="18">
        <v>1</v>
      </c>
      <c r="Z482" s="17" t="s">
        <v>115</v>
      </c>
      <c r="AA482" s="17">
        <v>2</v>
      </c>
      <c r="AB482" s="17" t="s">
        <v>177</v>
      </c>
      <c r="AC482" s="1">
        <f t="shared" si="21"/>
        <v>0</v>
      </c>
      <c r="AD482" s="1">
        <f t="shared" si="22"/>
        <v>0</v>
      </c>
      <c r="AE482" s="1">
        <f t="shared" si="23"/>
        <v>1</v>
      </c>
    </row>
    <row r="483" spans="19:31">
      <c r="S483" s="17">
        <v>2</v>
      </c>
      <c r="T483" s="18"/>
      <c r="U483" s="17">
        <v>2</v>
      </c>
      <c r="V483" s="17" t="s">
        <v>343</v>
      </c>
      <c r="W483" s="18">
        <v>0</v>
      </c>
      <c r="X483" s="18" t="s">
        <v>342</v>
      </c>
      <c r="Y483" s="18">
        <v>1</v>
      </c>
      <c r="Z483" s="17" t="s">
        <v>115</v>
      </c>
      <c r="AA483" s="17">
        <v>1</v>
      </c>
      <c r="AB483" s="17" t="s">
        <v>165</v>
      </c>
      <c r="AC483" s="1">
        <f t="shared" si="21"/>
        <v>0</v>
      </c>
      <c r="AD483" s="1">
        <f t="shared" si="22"/>
        <v>0</v>
      </c>
      <c r="AE483" s="1">
        <f t="shared" si="23"/>
        <v>1</v>
      </c>
    </row>
    <row r="484" spans="19:31">
      <c r="S484" s="17">
        <v>3</v>
      </c>
      <c r="T484" s="18"/>
      <c r="U484" s="17">
        <v>2</v>
      </c>
      <c r="V484" s="17" t="s">
        <v>343</v>
      </c>
      <c r="W484" s="18">
        <v>0</v>
      </c>
      <c r="X484" s="18" t="s">
        <v>342</v>
      </c>
      <c r="Y484" s="18">
        <v>1</v>
      </c>
      <c r="Z484" s="17" t="s">
        <v>39</v>
      </c>
      <c r="AA484" s="17">
        <v>1</v>
      </c>
      <c r="AB484" s="17" t="s">
        <v>181</v>
      </c>
      <c r="AC484" s="1">
        <f t="shared" si="21"/>
        <v>0</v>
      </c>
      <c r="AD484" s="1">
        <f t="shared" si="22"/>
        <v>0</v>
      </c>
      <c r="AE484" s="1">
        <f t="shared" si="23"/>
        <v>1</v>
      </c>
    </row>
    <row r="485" spans="19:31">
      <c r="S485" s="17">
        <v>4</v>
      </c>
      <c r="T485" s="18"/>
      <c r="U485" s="17">
        <v>2</v>
      </c>
      <c r="V485" s="17" t="s">
        <v>343</v>
      </c>
      <c r="W485" s="18">
        <v>0</v>
      </c>
      <c r="X485" s="18" t="s">
        <v>342</v>
      </c>
      <c r="Y485" s="18">
        <v>1</v>
      </c>
      <c r="Z485" s="17" t="s">
        <v>39</v>
      </c>
      <c r="AA485" s="17">
        <v>1</v>
      </c>
      <c r="AB485" s="17" t="s">
        <v>173</v>
      </c>
      <c r="AC485" s="1">
        <f t="shared" si="21"/>
        <v>0</v>
      </c>
      <c r="AD485" s="1">
        <f t="shared" si="22"/>
        <v>0</v>
      </c>
      <c r="AE485" s="1">
        <f t="shared" si="23"/>
        <v>1</v>
      </c>
    </row>
    <row r="486" spans="19:31">
      <c r="S486" s="17">
        <v>5</v>
      </c>
      <c r="T486" s="18"/>
      <c r="U486" s="17">
        <v>1</v>
      </c>
      <c r="V486" s="17" t="s">
        <v>343</v>
      </c>
      <c r="W486" s="18">
        <v>0</v>
      </c>
      <c r="X486" s="18" t="s">
        <v>342</v>
      </c>
      <c r="Y486" s="18">
        <v>1</v>
      </c>
      <c r="Z486" s="17" t="s">
        <v>35</v>
      </c>
      <c r="AA486" s="17">
        <v>2</v>
      </c>
      <c r="AB486" s="17" t="s">
        <v>177</v>
      </c>
      <c r="AC486" s="1">
        <f t="shared" si="21"/>
        <v>0</v>
      </c>
      <c r="AD486" s="1">
        <f t="shared" si="22"/>
        <v>0</v>
      </c>
      <c r="AE486" s="1">
        <f t="shared" si="23"/>
        <v>1</v>
      </c>
    </row>
    <row r="487" spans="19:31">
      <c r="S487" s="17">
        <v>6</v>
      </c>
      <c r="T487" s="18"/>
      <c r="U487" s="17">
        <v>2</v>
      </c>
      <c r="V487" s="17" t="s">
        <v>343</v>
      </c>
      <c r="W487" s="18">
        <v>0</v>
      </c>
      <c r="X487" s="18" t="s">
        <v>342</v>
      </c>
      <c r="Y487" s="18">
        <v>1</v>
      </c>
      <c r="Z487" s="17" t="s">
        <v>35</v>
      </c>
      <c r="AA487" s="17">
        <v>1</v>
      </c>
      <c r="AB487" s="17" t="s">
        <v>181</v>
      </c>
      <c r="AC487" s="1">
        <f t="shared" si="21"/>
        <v>0</v>
      </c>
      <c r="AD487" s="1">
        <f t="shared" si="22"/>
        <v>0</v>
      </c>
      <c r="AE487" s="1">
        <f t="shared" si="23"/>
        <v>1</v>
      </c>
    </row>
    <row r="488" spans="19:31">
      <c r="S488" s="17">
        <v>7</v>
      </c>
      <c r="T488" s="18"/>
      <c r="U488" s="17">
        <v>2</v>
      </c>
      <c r="V488" s="17" t="s">
        <v>343</v>
      </c>
      <c r="W488" s="18">
        <v>0</v>
      </c>
      <c r="X488" s="18" t="s">
        <v>342</v>
      </c>
      <c r="Y488" s="18">
        <v>1</v>
      </c>
      <c r="Z488" s="17" t="s">
        <v>107</v>
      </c>
      <c r="AA488" s="17">
        <v>1</v>
      </c>
      <c r="AB488" s="17" t="s">
        <v>165</v>
      </c>
      <c r="AC488" s="1">
        <f t="shared" si="21"/>
        <v>0</v>
      </c>
      <c r="AD488" s="1">
        <f t="shared" si="22"/>
        <v>0</v>
      </c>
      <c r="AE488" s="1">
        <f t="shared" si="23"/>
        <v>1</v>
      </c>
    </row>
    <row r="489" spans="19:31">
      <c r="S489" s="17">
        <v>8</v>
      </c>
      <c r="T489" s="18"/>
      <c r="U489" s="17">
        <v>1</v>
      </c>
      <c r="V489" s="17" t="s">
        <v>343</v>
      </c>
      <c r="W489" s="18">
        <v>0</v>
      </c>
      <c r="X489" s="18" t="s">
        <v>342</v>
      </c>
      <c r="Y489" s="18">
        <v>1</v>
      </c>
      <c r="Z489" s="17" t="s">
        <v>107</v>
      </c>
      <c r="AA489" s="17">
        <v>2</v>
      </c>
      <c r="AB489" s="17" t="s">
        <v>173</v>
      </c>
      <c r="AC489" s="1">
        <f t="shared" si="21"/>
        <v>0</v>
      </c>
      <c r="AD489" s="1">
        <f t="shared" si="22"/>
        <v>0</v>
      </c>
      <c r="AE489" s="1">
        <f t="shared" si="23"/>
        <v>1</v>
      </c>
    </row>
    <row r="490" spans="19:31">
      <c r="S490" s="17">
        <v>9</v>
      </c>
      <c r="T490" s="18"/>
      <c r="U490" s="17">
        <v>2</v>
      </c>
      <c r="V490" s="17" t="s">
        <v>343</v>
      </c>
      <c r="W490" s="18">
        <v>0</v>
      </c>
      <c r="X490" s="18" t="s">
        <v>342</v>
      </c>
      <c r="Y490" s="18">
        <v>1</v>
      </c>
      <c r="Z490" s="17" t="s">
        <v>31</v>
      </c>
      <c r="AA490" s="17">
        <v>1</v>
      </c>
      <c r="AB490" s="17" t="s">
        <v>181</v>
      </c>
      <c r="AC490" s="1">
        <f t="shared" si="21"/>
        <v>0</v>
      </c>
      <c r="AD490" s="1">
        <f t="shared" si="22"/>
        <v>0</v>
      </c>
      <c r="AE490" s="1">
        <f t="shared" si="23"/>
        <v>1</v>
      </c>
    </row>
    <row r="491" spans="19:31">
      <c r="S491" s="17">
        <v>10</v>
      </c>
      <c r="T491" s="18"/>
      <c r="U491" s="17">
        <v>1</v>
      </c>
      <c r="V491" s="17" t="s">
        <v>343</v>
      </c>
      <c r="W491" s="18">
        <v>0</v>
      </c>
      <c r="X491" s="18" t="s">
        <v>342</v>
      </c>
      <c r="Y491" s="18">
        <v>1</v>
      </c>
      <c r="Z491" s="17" t="s">
        <v>31</v>
      </c>
      <c r="AA491" s="17">
        <v>2</v>
      </c>
      <c r="AB491" s="17" t="s">
        <v>177</v>
      </c>
      <c r="AC491" s="1">
        <f t="shared" si="21"/>
        <v>0</v>
      </c>
      <c r="AD491" s="1">
        <f t="shared" si="22"/>
        <v>0</v>
      </c>
      <c r="AE491" s="1">
        <f t="shared" si="23"/>
        <v>1</v>
      </c>
    </row>
    <row r="492" spans="19:31">
      <c r="S492" s="17">
        <v>11</v>
      </c>
      <c r="T492" s="18"/>
      <c r="U492" s="17">
        <v>2</v>
      </c>
      <c r="V492" s="17" t="s">
        <v>343</v>
      </c>
      <c r="W492" s="18">
        <v>0</v>
      </c>
      <c r="X492" s="18" t="s">
        <v>342</v>
      </c>
      <c r="Y492" s="18">
        <v>1</v>
      </c>
      <c r="Z492" s="17" t="s">
        <v>53</v>
      </c>
      <c r="AA492" s="17">
        <v>1</v>
      </c>
      <c r="AB492" s="17" t="s">
        <v>173</v>
      </c>
      <c r="AC492" s="1">
        <f t="shared" si="21"/>
        <v>0</v>
      </c>
      <c r="AD492" s="1">
        <f t="shared" si="22"/>
        <v>0</v>
      </c>
      <c r="AE492" s="1">
        <f t="shared" si="23"/>
        <v>1</v>
      </c>
    </row>
    <row r="493" spans="19:31">
      <c r="S493" s="17">
        <v>12</v>
      </c>
      <c r="T493" s="18"/>
      <c r="U493" s="17">
        <v>2</v>
      </c>
      <c r="V493" s="17" t="s">
        <v>343</v>
      </c>
      <c r="W493" s="18">
        <v>0</v>
      </c>
      <c r="X493" s="18" t="s">
        <v>342</v>
      </c>
      <c r="Y493" s="18">
        <v>1</v>
      </c>
      <c r="Z493" s="17" t="s">
        <v>53</v>
      </c>
      <c r="AA493" s="17">
        <v>1</v>
      </c>
      <c r="AB493" s="17" t="s">
        <v>165</v>
      </c>
      <c r="AC493" s="1">
        <f t="shared" si="21"/>
        <v>0</v>
      </c>
      <c r="AD493" s="1">
        <f t="shared" si="22"/>
        <v>0</v>
      </c>
      <c r="AE493" s="1">
        <f t="shared" si="23"/>
        <v>1</v>
      </c>
    </row>
    <row r="494" spans="19:31">
      <c r="S494" s="17">
        <v>13</v>
      </c>
      <c r="T494" s="18"/>
      <c r="U494" s="17">
        <v>1</v>
      </c>
      <c r="V494" s="17" t="s">
        <v>343</v>
      </c>
      <c r="W494" s="18">
        <v>0</v>
      </c>
      <c r="X494" s="18" t="s">
        <v>342</v>
      </c>
      <c r="Y494" s="18">
        <v>1</v>
      </c>
      <c r="Z494" s="17" t="s">
        <v>57</v>
      </c>
      <c r="AA494" s="17">
        <v>2</v>
      </c>
      <c r="AB494" s="17" t="s">
        <v>177</v>
      </c>
      <c r="AC494" s="1">
        <f t="shared" si="21"/>
        <v>0</v>
      </c>
      <c r="AD494" s="1">
        <f t="shared" si="22"/>
        <v>0</v>
      </c>
      <c r="AE494" s="1">
        <f t="shared" si="23"/>
        <v>1</v>
      </c>
    </row>
    <row r="495" spans="19:31">
      <c r="S495" s="17">
        <v>14</v>
      </c>
      <c r="T495" s="18"/>
      <c r="U495" s="17">
        <v>2</v>
      </c>
      <c r="V495" s="17" t="s">
        <v>343</v>
      </c>
      <c r="W495" s="18">
        <v>0</v>
      </c>
      <c r="X495" s="18" t="s">
        <v>342</v>
      </c>
      <c r="Y495" s="18">
        <v>1</v>
      </c>
      <c r="Z495" s="17" t="s">
        <v>57</v>
      </c>
      <c r="AA495" s="17">
        <v>1</v>
      </c>
      <c r="AB495" s="17" t="s">
        <v>165</v>
      </c>
      <c r="AC495" s="1">
        <f t="shared" si="21"/>
        <v>0</v>
      </c>
      <c r="AD495" s="1">
        <f t="shared" si="22"/>
        <v>0</v>
      </c>
      <c r="AE495" s="1">
        <f t="shared" si="23"/>
        <v>1</v>
      </c>
    </row>
    <row r="496" spans="19:31">
      <c r="S496" s="17">
        <v>15</v>
      </c>
      <c r="T496" s="18"/>
      <c r="U496" s="17">
        <v>2</v>
      </c>
      <c r="V496" s="17" t="s">
        <v>343</v>
      </c>
      <c r="W496" s="18">
        <v>0</v>
      </c>
      <c r="X496" s="18" t="s">
        <v>342</v>
      </c>
      <c r="Y496" s="18">
        <v>1</v>
      </c>
      <c r="Z496" s="17" t="s">
        <v>343</v>
      </c>
      <c r="AA496" s="17">
        <v>1</v>
      </c>
      <c r="AB496" s="17" t="s">
        <v>173</v>
      </c>
      <c r="AC496" s="1">
        <f t="shared" si="21"/>
        <v>0</v>
      </c>
      <c r="AD496" s="1">
        <f t="shared" si="22"/>
        <v>0</v>
      </c>
      <c r="AE496" s="1">
        <f t="shared" si="23"/>
        <v>1</v>
      </c>
    </row>
    <row r="497" spans="19:31">
      <c r="S497" s="58" t="s">
        <v>339</v>
      </c>
      <c r="T497" s="58" t="s">
        <v>340</v>
      </c>
      <c r="U497" s="58" t="s">
        <v>341</v>
      </c>
      <c r="V497" s="58" t="s">
        <v>1</v>
      </c>
      <c r="W497" s="66" t="s">
        <v>220</v>
      </c>
      <c r="X497" s="66"/>
      <c r="Y497" s="66"/>
      <c r="Z497" s="58" t="s">
        <v>1</v>
      </c>
      <c r="AA497" s="58" t="s">
        <v>341</v>
      </c>
      <c r="AB497" s="58" t="s">
        <v>395</v>
      </c>
      <c r="AC497" s="1">
        <f t="shared" si="21"/>
        <v>1</v>
      </c>
      <c r="AD497" s="1">
        <f t="shared" si="22"/>
        <v>0</v>
      </c>
      <c r="AE497" s="1">
        <f t="shared" si="23"/>
        <v>0</v>
      </c>
    </row>
    <row r="498" spans="19:31">
      <c r="S498" s="17">
        <v>1</v>
      </c>
      <c r="T498" s="18"/>
      <c r="U498" s="17">
        <v>1</v>
      </c>
      <c r="V498" s="17" t="s">
        <v>343</v>
      </c>
      <c r="W498" s="18">
        <v>0</v>
      </c>
      <c r="X498" s="18" t="s">
        <v>342</v>
      </c>
      <c r="Y498" s="18">
        <v>1</v>
      </c>
      <c r="Z498" s="17" t="s">
        <v>115</v>
      </c>
      <c r="AA498" s="17">
        <v>2</v>
      </c>
      <c r="AB498" s="17" t="s">
        <v>177</v>
      </c>
      <c r="AC498" s="1">
        <f t="shared" si="21"/>
        <v>0</v>
      </c>
      <c r="AD498" s="1">
        <f t="shared" si="22"/>
        <v>0</v>
      </c>
      <c r="AE498" s="1">
        <f t="shared" si="23"/>
        <v>1</v>
      </c>
    </row>
    <row r="499" spans="19:31">
      <c r="S499" s="17">
        <v>2</v>
      </c>
      <c r="T499" s="18"/>
      <c r="U499" s="17">
        <v>2</v>
      </c>
      <c r="V499" s="17" t="s">
        <v>343</v>
      </c>
      <c r="W499" s="18">
        <v>0</v>
      </c>
      <c r="X499" s="18" t="s">
        <v>342</v>
      </c>
      <c r="Y499" s="18">
        <v>1</v>
      </c>
      <c r="Z499" s="17" t="s">
        <v>115</v>
      </c>
      <c r="AA499" s="17">
        <v>1</v>
      </c>
      <c r="AB499" s="17" t="s">
        <v>165</v>
      </c>
      <c r="AC499" s="1">
        <f t="shared" si="21"/>
        <v>0</v>
      </c>
      <c r="AD499" s="1">
        <f t="shared" si="22"/>
        <v>0</v>
      </c>
      <c r="AE499" s="1">
        <f t="shared" si="23"/>
        <v>1</v>
      </c>
    </row>
    <row r="500" spans="19:31">
      <c r="S500" s="17">
        <v>3</v>
      </c>
      <c r="T500" s="18"/>
      <c r="U500" s="17">
        <v>2</v>
      </c>
      <c r="V500" s="17" t="s">
        <v>343</v>
      </c>
      <c r="W500" s="18">
        <v>0</v>
      </c>
      <c r="X500" s="18" t="s">
        <v>342</v>
      </c>
      <c r="Y500" s="18">
        <v>1</v>
      </c>
      <c r="Z500" s="17" t="s">
        <v>39</v>
      </c>
      <c r="AA500" s="17">
        <v>1</v>
      </c>
      <c r="AB500" s="17" t="s">
        <v>181</v>
      </c>
      <c r="AC500" s="1">
        <f t="shared" si="21"/>
        <v>0</v>
      </c>
      <c r="AD500" s="1">
        <f t="shared" si="22"/>
        <v>0</v>
      </c>
      <c r="AE500" s="1">
        <f t="shared" si="23"/>
        <v>1</v>
      </c>
    </row>
    <row r="501" spans="19:31">
      <c r="S501" s="17">
        <v>4</v>
      </c>
      <c r="T501" s="18"/>
      <c r="U501" s="17">
        <v>2</v>
      </c>
      <c r="V501" s="17" t="s">
        <v>343</v>
      </c>
      <c r="W501" s="18">
        <v>0</v>
      </c>
      <c r="X501" s="18" t="s">
        <v>342</v>
      </c>
      <c r="Y501" s="18">
        <v>1</v>
      </c>
      <c r="Z501" s="17" t="s">
        <v>39</v>
      </c>
      <c r="AA501" s="17">
        <v>1</v>
      </c>
      <c r="AB501" s="17" t="s">
        <v>173</v>
      </c>
      <c r="AC501" s="1">
        <f t="shared" si="21"/>
        <v>0</v>
      </c>
      <c r="AD501" s="1">
        <f t="shared" si="22"/>
        <v>0</v>
      </c>
      <c r="AE501" s="1">
        <f t="shared" si="23"/>
        <v>1</v>
      </c>
    </row>
    <row r="502" spans="19:31">
      <c r="S502" s="17">
        <v>5</v>
      </c>
      <c r="T502" s="18"/>
      <c r="U502" s="17">
        <v>1</v>
      </c>
      <c r="V502" s="17" t="s">
        <v>343</v>
      </c>
      <c r="W502" s="18">
        <v>0</v>
      </c>
      <c r="X502" s="18" t="s">
        <v>342</v>
      </c>
      <c r="Y502" s="18">
        <v>1</v>
      </c>
      <c r="Z502" s="17" t="s">
        <v>35</v>
      </c>
      <c r="AA502" s="17">
        <v>2</v>
      </c>
      <c r="AB502" s="17" t="s">
        <v>177</v>
      </c>
      <c r="AC502" s="1">
        <f t="shared" si="21"/>
        <v>0</v>
      </c>
      <c r="AD502" s="1">
        <f t="shared" si="22"/>
        <v>0</v>
      </c>
      <c r="AE502" s="1">
        <f t="shared" si="23"/>
        <v>1</v>
      </c>
    </row>
    <row r="503" spans="19:31">
      <c r="S503" s="17">
        <v>6</v>
      </c>
      <c r="T503" s="18"/>
      <c r="U503" s="17">
        <v>2</v>
      </c>
      <c r="V503" s="17" t="s">
        <v>343</v>
      </c>
      <c r="W503" s="18">
        <v>0</v>
      </c>
      <c r="X503" s="18" t="s">
        <v>342</v>
      </c>
      <c r="Y503" s="18">
        <v>1</v>
      </c>
      <c r="Z503" s="17" t="s">
        <v>35</v>
      </c>
      <c r="AA503" s="17">
        <v>1</v>
      </c>
      <c r="AB503" s="17" t="s">
        <v>181</v>
      </c>
      <c r="AC503" s="1">
        <f t="shared" si="21"/>
        <v>0</v>
      </c>
      <c r="AD503" s="1">
        <f t="shared" si="22"/>
        <v>0</v>
      </c>
      <c r="AE503" s="1">
        <f t="shared" si="23"/>
        <v>1</v>
      </c>
    </row>
    <row r="504" spans="19:31">
      <c r="S504" s="17">
        <v>7</v>
      </c>
      <c r="T504" s="18"/>
      <c r="U504" s="17">
        <v>2</v>
      </c>
      <c r="V504" s="17" t="s">
        <v>343</v>
      </c>
      <c r="W504" s="18">
        <v>0</v>
      </c>
      <c r="X504" s="18" t="s">
        <v>342</v>
      </c>
      <c r="Y504" s="18">
        <v>1</v>
      </c>
      <c r="Z504" s="17" t="s">
        <v>107</v>
      </c>
      <c r="AA504" s="17">
        <v>1</v>
      </c>
      <c r="AB504" s="17" t="s">
        <v>165</v>
      </c>
      <c r="AC504" s="1">
        <f t="shared" si="21"/>
        <v>0</v>
      </c>
      <c r="AD504" s="1">
        <f t="shared" si="22"/>
        <v>0</v>
      </c>
      <c r="AE504" s="1">
        <f t="shared" si="23"/>
        <v>1</v>
      </c>
    </row>
    <row r="505" spans="19:31">
      <c r="S505" s="17">
        <v>8</v>
      </c>
      <c r="T505" s="18"/>
      <c r="U505" s="17">
        <v>1</v>
      </c>
      <c r="V505" s="17" t="s">
        <v>343</v>
      </c>
      <c r="W505" s="18">
        <v>0</v>
      </c>
      <c r="X505" s="18" t="s">
        <v>342</v>
      </c>
      <c r="Y505" s="18">
        <v>1</v>
      </c>
      <c r="Z505" s="17" t="s">
        <v>107</v>
      </c>
      <c r="AA505" s="17">
        <v>2</v>
      </c>
      <c r="AB505" s="17" t="s">
        <v>173</v>
      </c>
      <c r="AC505" s="1">
        <f t="shared" si="21"/>
        <v>0</v>
      </c>
      <c r="AD505" s="1">
        <f t="shared" si="22"/>
        <v>0</v>
      </c>
      <c r="AE505" s="1">
        <f t="shared" si="23"/>
        <v>1</v>
      </c>
    </row>
    <row r="506" spans="19:31">
      <c r="S506" s="17">
        <v>9</v>
      </c>
      <c r="T506" s="18"/>
      <c r="U506" s="17">
        <v>2</v>
      </c>
      <c r="V506" s="17" t="s">
        <v>343</v>
      </c>
      <c r="W506" s="18">
        <v>0</v>
      </c>
      <c r="X506" s="18" t="s">
        <v>342</v>
      </c>
      <c r="Y506" s="18">
        <v>1</v>
      </c>
      <c r="Z506" s="17" t="s">
        <v>31</v>
      </c>
      <c r="AA506" s="17">
        <v>1</v>
      </c>
      <c r="AB506" s="17" t="s">
        <v>181</v>
      </c>
      <c r="AC506" s="1">
        <f t="shared" si="21"/>
        <v>0</v>
      </c>
      <c r="AD506" s="1">
        <f t="shared" si="22"/>
        <v>0</v>
      </c>
      <c r="AE506" s="1">
        <f t="shared" si="23"/>
        <v>1</v>
      </c>
    </row>
    <row r="507" spans="19:31">
      <c r="S507" s="17">
        <v>10</v>
      </c>
      <c r="T507" s="18"/>
      <c r="U507" s="17">
        <v>1</v>
      </c>
      <c r="V507" s="17" t="s">
        <v>343</v>
      </c>
      <c r="W507" s="18">
        <v>0</v>
      </c>
      <c r="X507" s="18" t="s">
        <v>342</v>
      </c>
      <c r="Y507" s="18">
        <v>1</v>
      </c>
      <c r="Z507" s="17" t="s">
        <v>31</v>
      </c>
      <c r="AA507" s="17">
        <v>2</v>
      </c>
      <c r="AB507" s="17" t="s">
        <v>177</v>
      </c>
      <c r="AC507" s="1">
        <f t="shared" si="21"/>
        <v>0</v>
      </c>
      <c r="AD507" s="1">
        <f t="shared" si="22"/>
        <v>0</v>
      </c>
      <c r="AE507" s="1">
        <f t="shared" si="23"/>
        <v>1</v>
      </c>
    </row>
    <row r="508" spans="19:31">
      <c r="S508" s="17">
        <v>11</v>
      </c>
      <c r="T508" s="18"/>
      <c r="U508" s="17">
        <v>2</v>
      </c>
      <c r="V508" s="17" t="s">
        <v>343</v>
      </c>
      <c r="W508" s="18">
        <v>0</v>
      </c>
      <c r="X508" s="18" t="s">
        <v>342</v>
      </c>
      <c r="Y508" s="18">
        <v>1</v>
      </c>
      <c r="Z508" s="17" t="s">
        <v>53</v>
      </c>
      <c r="AA508" s="17">
        <v>1</v>
      </c>
      <c r="AB508" s="17" t="s">
        <v>173</v>
      </c>
      <c r="AC508" s="1">
        <f t="shared" si="21"/>
        <v>0</v>
      </c>
      <c r="AD508" s="1">
        <f t="shared" si="22"/>
        <v>0</v>
      </c>
      <c r="AE508" s="1">
        <f t="shared" si="23"/>
        <v>1</v>
      </c>
    </row>
    <row r="509" spans="19:31">
      <c r="S509" s="17">
        <v>12</v>
      </c>
      <c r="T509" s="18"/>
      <c r="U509" s="17">
        <v>2</v>
      </c>
      <c r="V509" s="17" t="s">
        <v>343</v>
      </c>
      <c r="W509" s="18">
        <v>0</v>
      </c>
      <c r="X509" s="18" t="s">
        <v>342</v>
      </c>
      <c r="Y509" s="18">
        <v>1</v>
      </c>
      <c r="Z509" s="17" t="s">
        <v>53</v>
      </c>
      <c r="AA509" s="17">
        <v>1</v>
      </c>
      <c r="AB509" s="17" t="s">
        <v>165</v>
      </c>
      <c r="AC509" s="1">
        <f t="shared" si="21"/>
        <v>0</v>
      </c>
      <c r="AD509" s="1">
        <f t="shared" si="22"/>
        <v>0</v>
      </c>
      <c r="AE509" s="1">
        <f t="shared" si="23"/>
        <v>1</v>
      </c>
    </row>
    <row r="510" spans="19:31">
      <c r="S510" s="17">
        <v>13</v>
      </c>
      <c r="T510" s="18"/>
      <c r="U510" s="17">
        <v>1</v>
      </c>
      <c r="V510" s="17" t="s">
        <v>343</v>
      </c>
      <c r="W510" s="18">
        <v>0</v>
      </c>
      <c r="X510" s="18" t="s">
        <v>342</v>
      </c>
      <c r="Y510" s="18">
        <v>1</v>
      </c>
      <c r="Z510" s="17" t="s">
        <v>57</v>
      </c>
      <c r="AA510" s="17">
        <v>2</v>
      </c>
      <c r="AB510" s="17" t="s">
        <v>177</v>
      </c>
      <c r="AC510" s="1">
        <f t="shared" si="21"/>
        <v>0</v>
      </c>
      <c r="AD510" s="1">
        <f t="shared" si="22"/>
        <v>0</v>
      </c>
      <c r="AE510" s="1">
        <f t="shared" si="23"/>
        <v>1</v>
      </c>
    </row>
    <row r="511" spans="19:31">
      <c r="S511" s="17">
        <v>14</v>
      </c>
      <c r="T511" s="18"/>
      <c r="U511" s="17">
        <v>2</v>
      </c>
      <c r="V511" s="17" t="s">
        <v>343</v>
      </c>
      <c r="W511" s="18">
        <v>0</v>
      </c>
      <c r="X511" s="18" t="s">
        <v>342</v>
      </c>
      <c r="Y511" s="18">
        <v>1</v>
      </c>
      <c r="Z511" s="17" t="s">
        <v>57</v>
      </c>
      <c r="AA511" s="17">
        <v>1</v>
      </c>
      <c r="AB511" s="17" t="s">
        <v>165</v>
      </c>
      <c r="AC511" s="1">
        <f t="shared" si="21"/>
        <v>0</v>
      </c>
      <c r="AD511" s="1">
        <f t="shared" si="22"/>
        <v>0</v>
      </c>
      <c r="AE511" s="1">
        <f t="shared" si="23"/>
        <v>1</v>
      </c>
    </row>
    <row r="512" spans="19:31">
      <c r="S512" s="17">
        <v>15</v>
      </c>
      <c r="T512" s="18"/>
      <c r="U512" s="17">
        <v>2</v>
      </c>
      <c r="V512" s="17" t="s">
        <v>343</v>
      </c>
      <c r="W512" s="18">
        <v>0</v>
      </c>
      <c r="X512" s="18" t="s">
        <v>342</v>
      </c>
      <c r="Y512" s="18">
        <v>1</v>
      </c>
      <c r="Z512" s="17" t="s">
        <v>343</v>
      </c>
      <c r="AA512" s="17">
        <v>1</v>
      </c>
      <c r="AB512" s="17" t="s">
        <v>173</v>
      </c>
      <c r="AC512" s="1">
        <f t="shared" si="21"/>
        <v>0</v>
      </c>
      <c r="AD512" s="1">
        <f t="shared" si="22"/>
        <v>0</v>
      </c>
      <c r="AE512" s="1">
        <f t="shared" si="23"/>
        <v>1</v>
      </c>
    </row>
    <row r="513" spans="19:31">
      <c r="S513" s="58" t="s">
        <v>339</v>
      </c>
      <c r="T513" s="58" t="s">
        <v>340</v>
      </c>
      <c r="U513" s="58" t="s">
        <v>341</v>
      </c>
      <c r="V513" s="58" t="s">
        <v>1</v>
      </c>
      <c r="W513" s="66" t="s">
        <v>220</v>
      </c>
      <c r="X513" s="66"/>
      <c r="Y513" s="66"/>
      <c r="Z513" s="58" t="s">
        <v>1</v>
      </c>
      <c r="AA513" s="58" t="s">
        <v>341</v>
      </c>
      <c r="AB513" s="58" t="s">
        <v>395</v>
      </c>
      <c r="AC513" s="1">
        <f t="shared" ref="AC513:AC576" si="24">IF(W513="",0,IF(W513&gt;Y513,1,0))</f>
        <v>1</v>
      </c>
      <c r="AD513" s="1">
        <f t="shared" ref="AD513:AD576" si="25">IF(W513="",0,IF(W513=Y513,1,0))</f>
        <v>0</v>
      </c>
      <c r="AE513" s="1">
        <f t="shared" ref="AE513:AE576" si="26">IF(W513="",0,IF(W513&lt;Y513,1,0))</f>
        <v>0</v>
      </c>
    </row>
    <row r="514" spans="19:31">
      <c r="S514" s="17">
        <v>1</v>
      </c>
      <c r="T514" s="18"/>
      <c r="U514" s="17">
        <v>1</v>
      </c>
      <c r="V514" s="17" t="s">
        <v>81</v>
      </c>
      <c r="W514" s="18">
        <v>45</v>
      </c>
      <c r="X514" s="18" t="s">
        <v>342</v>
      </c>
      <c r="Y514" s="18">
        <v>0</v>
      </c>
      <c r="Z514" s="17" t="s">
        <v>343</v>
      </c>
      <c r="AA514" s="17">
        <v>2</v>
      </c>
      <c r="AB514" s="17" t="s">
        <v>177</v>
      </c>
      <c r="AC514" s="1">
        <f t="shared" si="24"/>
        <v>1</v>
      </c>
      <c r="AD514" s="1">
        <f t="shared" si="25"/>
        <v>0</v>
      </c>
      <c r="AE514" s="1">
        <f t="shared" si="26"/>
        <v>0</v>
      </c>
    </row>
    <row r="515" spans="19:31">
      <c r="S515" s="17">
        <v>2</v>
      </c>
      <c r="T515" s="18"/>
      <c r="U515" s="17">
        <v>1</v>
      </c>
      <c r="V515" s="17" t="s">
        <v>81</v>
      </c>
      <c r="W515" s="18">
        <v>45</v>
      </c>
      <c r="X515" s="18" t="s">
        <v>342</v>
      </c>
      <c r="Y515" s="18">
        <v>0</v>
      </c>
      <c r="Z515" s="17" t="s">
        <v>343</v>
      </c>
      <c r="AA515" s="17">
        <v>2</v>
      </c>
      <c r="AB515" s="17" t="s">
        <v>165</v>
      </c>
      <c r="AC515" s="1">
        <f t="shared" si="24"/>
        <v>1</v>
      </c>
      <c r="AD515" s="1">
        <f t="shared" si="25"/>
        <v>0</v>
      </c>
      <c r="AE515" s="1">
        <f t="shared" si="26"/>
        <v>0</v>
      </c>
    </row>
    <row r="516" spans="19:31">
      <c r="S516" s="17">
        <v>3</v>
      </c>
      <c r="T516" s="18"/>
      <c r="U516" s="17">
        <v>2</v>
      </c>
      <c r="V516" s="17" t="s">
        <v>81</v>
      </c>
      <c r="W516" s="18">
        <v>45</v>
      </c>
      <c r="X516" s="18" t="s">
        <v>342</v>
      </c>
      <c r="Y516" s="18">
        <v>8</v>
      </c>
      <c r="Z516" s="17" t="s">
        <v>109</v>
      </c>
      <c r="AA516" s="17">
        <v>1</v>
      </c>
      <c r="AB516" s="17" t="s">
        <v>181</v>
      </c>
      <c r="AC516" s="1">
        <f t="shared" si="24"/>
        <v>1</v>
      </c>
      <c r="AD516" s="1">
        <f t="shared" si="25"/>
        <v>0</v>
      </c>
      <c r="AE516" s="1">
        <f t="shared" si="26"/>
        <v>0</v>
      </c>
    </row>
    <row r="517" spans="19:31">
      <c r="S517" s="17">
        <v>4</v>
      </c>
      <c r="T517" s="18"/>
      <c r="U517" s="17">
        <v>1</v>
      </c>
      <c r="V517" s="17" t="s">
        <v>81</v>
      </c>
      <c r="W517" s="18">
        <v>45</v>
      </c>
      <c r="X517" s="18" t="s">
        <v>342</v>
      </c>
      <c r="Y517" s="18">
        <v>3</v>
      </c>
      <c r="Z517" s="17" t="s">
        <v>91</v>
      </c>
      <c r="AA517" s="17">
        <v>2</v>
      </c>
      <c r="AB517" s="17" t="s">
        <v>173</v>
      </c>
      <c r="AC517" s="1">
        <f t="shared" si="24"/>
        <v>1</v>
      </c>
      <c r="AD517" s="1">
        <f t="shared" si="25"/>
        <v>0</v>
      </c>
      <c r="AE517" s="1">
        <f t="shared" si="26"/>
        <v>0</v>
      </c>
    </row>
    <row r="518" spans="19:31">
      <c r="S518" s="17">
        <v>5</v>
      </c>
      <c r="T518" s="18"/>
      <c r="U518" s="17">
        <v>1</v>
      </c>
      <c r="V518" s="17" t="s">
        <v>81</v>
      </c>
      <c r="W518" s="18">
        <v>45</v>
      </c>
      <c r="X518" s="18" t="s">
        <v>342</v>
      </c>
      <c r="Y518" s="18">
        <v>0</v>
      </c>
      <c r="Z518" s="17" t="s">
        <v>95</v>
      </c>
      <c r="AA518" s="17">
        <v>2</v>
      </c>
      <c r="AB518" s="17" t="s">
        <v>177</v>
      </c>
      <c r="AC518" s="1">
        <f t="shared" si="24"/>
        <v>1</v>
      </c>
      <c r="AD518" s="1">
        <f t="shared" si="25"/>
        <v>0</v>
      </c>
      <c r="AE518" s="1">
        <f t="shared" si="26"/>
        <v>0</v>
      </c>
    </row>
    <row r="519" spans="19:31">
      <c r="S519" s="17">
        <v>6</v>
      </c>
      <c r="T519" s="18"/>
      <c r="U519" s="17">
        <v>1</v>
      </c>
      <c r="V519" s="17" t="s">
        <v>81</v>
      </c>
      <c r="W519" s="18">
        <v>45</v>
      </c>
      <c r="X519" s="18" t="s">
        <v>342</v>
      </c>
      <c r="Y519" s="18">
        <v>24</v>
      </c>
      <c r="Z519" s="17" t="s">
        <v>61</v>
      </c>
      <c r="AA519" s="17">
        <v>2</v>
      </c>
      <c r="AB519" s="17" t="s">
        <v>181</v>
      </c>
      <c r="AC519" s="1">
        <f t="shared" si="24"/>
        <v>1</v>
      </c>
      <c r="AD519" s="1">
        <f t="shared" si="25"/>
        <v>0</v>
      </c>
      <c r="AE519" s="1">
        <f t="shared" si="26"/>
        <v>0</v>
      </c>
    </row>
    <row r="520" spans="19:31">
      <c r="S520" s="17">
        <v>7</v>
      </c>
      <c r="T520" s="18"/>
      <c r="U520" s="17">
        <v>1</v>
      </c>
      <c r="V520" s="17" t="s">
        <v>81</v>
      </c>
      <c r="W520" s="18">
        <v>45</v>
      </c>
      <c r="X520" s="18" t="s">
        <v>342</v>
      </c>
      <c r="Y520" s="18">
        <v>18</v>
      </c>
      <c r="Z520" s="17" t="s">
        <v>37</v>
      </c>
      <c r="AA520" s="17">
        <v>2</v>
      </c>
      <c r="AB520" s="17" t="s">
        <v>165</v>
      </c>
      <c r="AC520" s="1">
        <f t="shared" si="24"/>
        <v>1</v>
      </c>
      <c r="AD520" s="1">
        <f t="shared" si="25"/>
        <v>0</v>
      </c>
      <c r="AE520" s="1">
        <f t="shared" si="26"/>
        <v>0</v>
      </c>
    </row>
    <row r="521" spans="19:31">
      <c r="S521" s="17">
        <v>8</v>
      </c>
      <c r="T521" s="18"/>
      <c r="U521" s="17">
        <v>1</v>
      </c>
      <c r="V521" s="17" t="s">
        <v>81</v>
      </c>
      <c r="W521" s="18">
        <v>45</v>
      </c>
      <c r="X521" s="18" t="s">
        <v>342</v>
      </c>
      <c r="Y521" s="18">
        <v>30</v>
      </c>
      <c r="Z521" s="17" t="s">
        <v>45</v>
      </c>
      <c r="AA521" s="17">
        <v>2</v>
      </c>
      <c r="AB521" s="17" t="s">
        <v>173</v>
      </c>
      <c r="AC521" s="1">
        <f t="shared" si="24"/>
        <v>1</v>
      </c>
      <c r="AD521" s="1">
        <f t="shared" si="25"/>
        <v>0</v>
      </c>
      <c r="AE521" s="1">
        <f t="shared" si="26"/>
        <v>0</v>
      </c>
    </row>
    <row r="522" spans="19:31">
      <c r="S522" s="17">
        <v>9</v>
      </c>
      <c r="T522" s="18"/>
      <c r="U522" s="17">
        <v>1</v>
      </c>
      <c r="V522" s="17" t="s">
        <v>81</v>
      </c>
      <c r="W522" s="18">
        <v>45</v>
      </c>
      <c r="X522" s="18" t="s">
        <v>342</v>
      </c>
      <c r="Y522" s="18">
        <v>27</v>
      </c>
      <c r="Z522" s="17" t="s">
        <v>99</v>
      </c>
      <c r="AA522" s="17">
        <v>2</v>
      </c>
      <c r="AB522" s="17" t="s">
        <v>181</v>
      </c>
      <c r="AC522" s="1">
        <f t="shared" si="24"/>
        <v>1</v>
      </c>
      <c r="AD522" s="1">
        <f t="shared" si="25"/>
        <v>0</v>
      </c>
      <c r="AE522" s="1">
        <f t="shared" si="26"/>
        <v>0</v>
      </c>
    </row>
    <row r="523" spans="19:31">
      <c r="S523" s="17">
        <v>10</v>
      </c>
      <c r="T523" s="18"/>
      <c r="U523" s="17">
        <v>2</v>
      </c>
      <c r="V523" s="17" t="s">
        <v>81</v>
      </c>
      <c r="W523" s="18">
        <v>45</v>
      </c>
      <c r="X523" s="18" t="s">
        <v>342</v>
      </c>
      <c r="Y523" s="18">
        <v>19</v>
      </c>
      <c r="Z523" s="17" t="s">
        <v>103</v>
      </c>
      <c r="AA523" s="17">
        <v>1</v>
      </c>
      <c r="AB523" s="17" t="s">
        <v>177</v>
      </c>
      <c r="AC523" s="1">
        <f t="shared" si="24"/>
        <v>1</v>
      </c>
      <c r="AD523" s="1">
        <f t="shared" si="25"/>
        <v>0</v>
      </c>
      <c r="AE523" s="1">
        <f t="shared" si="26"/>
        <v>0</v>
      </c>
    </row>
    <row r="524" spans="19:31">
      <c r="S524" s="17">
        <v>11</v>
      </c>
      <c r="T524" s="18"/>
      <c r="U524" s="17">
        <v>2</v>
      </c>
      <c r="V524" s="17" t="s">
        <v>81</v>
      </c>
      <c r="W524" s="18">
        <v>42</v>
      </c>
      <c r="X524" s="18" t="s">
        <v>342</v>
      </c>
      <c r="Y524" s="18">
        <v>33</v>
      </c>
      <c r="Z524" s="17" t="s">
        <v>49</v>
      </c>
      <c r="AA524" s="17">
        <v>1</v>
      </c>
      <c r="AB524" s="17" t="s">
        <v>173</v>
      </c>
      <c r="AC524" s="1">
        <f t="shared" si="24"/>
        <v>1</v>
      </c>
      <c r="AD524" s="1">
        <f t="shared" si="25"/>
        <v>0</v>
      </c>
      <c r="AE524" s="1">
        <f t="shared" si="26"/>
        <v>0</v>
      </c>
    </row>
    <row r="525" spans="19:31">
      <c r="S525" s="17">
        <v>12</v>
      </c>
      <c r="T525" s="18"/>
      <c r="U525" s="17">
        <v>2</v>
      </c>
      <c r="V525" s="17" t="s">
        <v>81</v>
      </c>
      <c r="W525" s="18">
        <v>42</v>
      </c>
      <c r="X525" s="18" t="s">
        <v>342</v>
      </c>
      <c r="Y525" s="18">
        <v>33</v>
      </c>
      <c r="Z525" s="17" t="s">
        <v>29</v>
      </c>
      <c r="AA525" s="17">
        <v>1</v>
      </c>
      <c r="AB525" s="17" t="s">
        <v>165</v>
      </c>
      <c r="AC525" s="1">
        <f t="shared" si="24"/>
        <v>1</v>
      </c>
      <c r="AD525" s="1">
        <f t="shared" si="25"/>
        <v>0</v>
      </c>
      <c r="AE525" s="1">
        <f t="shared" si="26"/>
        <v>0</v>
      </c>
    </row>
    <row r="526" spans="19:31">
      <c r="S526" s="17">
        <v>13</v>
      </c>
      <c r="T526" s="18"/>
      <c r="U526" s="17">
        <v>1</v>
      </c>
      <c r="V526" s="17" t="s">
        <v>81</v>
      </c>
      <c r="W526" s="18">
        <v>42</v>
      </c>
      <c r="X526" s="18" t="s">
        <v>342</v>
      </c>
      <c r="Y526" s="18">
        <v>33</v>
      </c>
      <c r="Z526" s="17" t="s">
        <v>71</v>
      </c>
      <c r="AA526" s="17">
        <v>2</v>
      </c>
      <c r="AB526" s="17" t="s">
        <v>177</v>
      </c>
      <c r="AC526" s="1">
        <f t="shared" si="24"/>
        <v>1</v>
      </c>
      <c r="AD526" s="1">
        <f t="shared" si="25"/>
        <v>0</v>
      </c>
      <c r="AE526" s="1">
        <f t="shared" si="26"/>
        <v>0</v>
      </c>
    </row>
    <row r="527" spans="19:31">
      <c r="S527" s="17">
        <v>14</v>
      </c>
      <c r="T527" s="18"/>
      <c r="U527" s="17">
        <v>2</v>
      </c>
      <c r="V527" s="17" t="s">
        <v>81</v>
      </c>
      <c r="W527" s="18">
        <v>45</v>
      </c>
      <c r="X527" s="18" t="s">
        <v>342</v>
      </c>
      <c r="Y527" s="18">
        <v>30</v>
      </c>
      <c r="Z527" s="17" t="s">
        <v>83</v>
      </c>
      <c r="AA527" s="17">
        <v>1</v>
      </c>
      <c r="AB527" s="17" t="s">
        <v>165</v>
      </c>
      <c r="AC527" s="1">
        <f t="shared" si="24"/>
        <v>1</v>
      </c>
      <c r="AD527" s="1">
        <f t="shared" si="25"/>
        <v>0</v>
      </c>
      <c r="AE527" s="1">
        <f t="shared" si="26"/>
        <v>0</v>
      </c>
    </row>
    <row r="528" spans="19:31">
      <c r="S528" s="17">
        <v>15</v>
      </c>
      <c r="T528" s="18"/>
      <c r="U528" s="17">
        <v>1</v>
      </c>
      <c r="V528" s="17" t="s">
        <v>81</v>
      </c>
      <c r="W528" s="18">
        <v>42</v>
      </c>
      <c r="X528" s="18" t="s">
        <v>342</v>
      </c>
      <c r="Y528" s="18">
        <v>33</v>
      </c>
      <c r="Z528" s="17" t="s">
        <v>121</v>
      </c>
      <c r="AA528" s="17">
        <v>2</v>
      </c>
      <c r="AB528" s="17" t="s">
        <v>173</v>
      </c>
      <c r="AC528" s="1">
        <f t="shared" si="24"/>
        <v>1</v>
      </c>
      <c r="AD528" s="1">
        <f t="shared" si="25"/>
        <v>0</v>
      </c>
      <c r="AE528" s="1">
        <f t="shared" si="26"/>
        <v>0</v>
      </c>
    </row>
    <row r="529" spans="19:31">
      <c r="S529" s="58" t="s">
        <v>339</v>
      </c>
      <c r="T529" s="58" t="s">
        <v>340</v>
      </c>
      <c r="U529" s="58" t="s">
        <v>341</v>
      </c>
      <c r="V529" s="58" t="s">
        <v>1</v>
      </c>
      <c r="W529" s="66" t="s">
        <v>220</v>
      </c>
      <c r="X529" s="66"/>
      <c r="Y529" s="66"/>
      <c r="Z529" s="58" t="s">
        <v>1</v>
      </c>
      <c r="AA529" s="58" t="s">
        <v>341</v>
      </c>
      <c r="AB529" s="58" t="s">
        <v>395</v>
      </c>
      <c r="AC529" s="1">
        <f t="shared" si="24"/>
        <v>1</v>
      </c>
      <c r="AD529" s="1">
        <f t="shared" si="25"/>
        <v>0</v>
      </c>
      <c r="AE529" s="1">
        <f t="shared" si="26"/>
        <v>0</v>
      </c>
    </row>
    <row r="530" spans="19:31">
      <c r="S530" s="17">
        <v>1</v>
      </c>
      <c r="T530" s="18"/>
      <c r="U530" s="17">
        <v>1</v>
      </c>
      <c r="V530" s="17" t="s">
        <v>121</v>
      </c>
      <c r="W530" s="18">
        <v>45</v>
      </c>
      <c r="X530" s="18" t="s">
        <v>342</v>
      </c>
      <c r="Y530" s="18">
        <v>0</v>
      </c>
      <c r="Z530" s="17" t="s">
        <v>343</v>
      </c>
      <c r="AA530" s="17">
        <v>2</v>
      </c>
      <c r="AB530" s="17" t="s">
        <v>177</v>
      </c>
      <c r="AC530" s="1">
        <f t="shared" si="24"/>
        <v>1</v>
      </c>
      <c r="AD530" s="1">
        <f t="shared" si="25"/>
        <v>0</v>
      </c>
      <c r="AE530" s="1">
        <f t="shared" si="26"/>
        <v>0</v>
      </c>
    </row>
    <row r="531" spans="19:31">
      <c r="S531" s="17">
        <v>2</v>
      </c>
      <c r="T531" s="18"/>
      <c r="U531" s="17">
        <v>2</v>
      </c>
      <c r="V531" s="17" t="s">
        <v>121</v>
      </c>
      <c r="W531" s="18">
        <v>45</v>
      </c>
      <c r="X531" s="18" t="s">
        <v>342</v>
      </c>
      <c r="Y531" s="18">
        <v>0</v>
      </c>
      <c r="Z531" s="17" t="s">
        <v>343</v>
      </c>
      <c r="AA531" s="17">
        <v>1</v>
      </c>
      <c r="AB531" s="17" t="s">
        <v>165</v>
      </c>
      <c r="AC531" s="1">
        <f t="shared" si="24"/>
        <v>1</v>
      </c>
      <c r="AD531" s="1">
        <f t="shared" si="25"/>
        <v>0</v>
      </c>
      <c r="AE531" s="1">
        <f t="shared" si="26"/>
        <v>0</v>
      </c>
    </row>
    <row r="532" spans="19:31">
      <c r="S532" s="17">
        <v>3</v>
      </c>
      <c r="T532" s="18"/>
      <c r="U532" s="17">
        <v>2</v>
      </c>
      <c r="V532" s="17" t="s">
        <v>121</v>
      </c>
      <c r="W532" s="18">
        <v>45</v>
      </c>
      <c r="X532" s="18" t="s">
        <v>342</v>
      </c>
      <c r="Y532" s="18">
        <v>0</v>
      </c>
      <c r="Z532" s="17" t="s">
        <v>91</v>
      </c>
      <c r="AA532" s="17">
        <v>1</v>
      </c>
      <c r="AB532" s="17" t="s">
        <v>181</v>
      </c>
      <c r="AC532" s="1">
        <f t="shared" si="24"/>
        <v>1</v>
      </c>
      <c r="AD532" s="1">
        <f t="shared" si="25"/>
        <v>0</v>
      </c>
      <c r="AE532" s="1">
        <f t="shared" si="26"/>
        <v>0</v>
      </c>
    </row>
    <row r="533" spans="19:31">
      <c r="S533" s="17">
        <v>4</v>
      </c>
      <c r="T533" s="18"/>
      <c r="U533" s="17">
        <v>2</v>
      </c>
      <c r="V533" s="17" t="s">
        <v>121</v>
      </c>
      <c r="W533" s="18">
        <v>45</v>
      </c>
      <c r="X533" s="18" t="s">
        <v>342</v>
      </c>
      <c r="Y533" s="18">
        <v>18</v>
      </c>
      <c r="Z533" s="17" t="s">
        <v>109</v>
      </c>
      <c r="AA533" s="17">
        <v>1</v>
      </c>
      <c r="AB533" s="17" t="s">
        <v>173</v>
      </c>
      <c r="AC533" s="1">
        <f t="shared" si="24"/>
        <v>1</v>
      </c>
      <c r="AD533" s="1">
        <f t="shared" si="25"/>
        <v>0</v>
      </c>
      <c r="AE533" s="1">
        <f t="shared" si="26"/>
        <v>0</v>
      </c>
    </row>
    <row r="534" spans="19:31">
      <c r="S534" s="17">
        <v>5</v>
      </c>
      <c r="T534" s="18"/>
      <c r="U534" s="17">
        <v>1</v>
      </c>
      <c r="V534" s="17" t="s">
        <v>121</v>
      </c>
      <c r="W534" s="18">
        <v>45</v>
      </c>
      <c r="X534" s="18" t="s">
        <v>342</v>
      </c>
      <c r="Y534" s="18">
        <v>2</v>
      </c>
      <c r="Z534" s="17" t="s">
        <v>61</v>
      </c>
      <c r="AA534" s="17">
        <v>2</v>
      </c>
      <c r="AB534" s="17" t="s">
        <v>177</v>
      </c>
      <c r="AC534" s="1">
        <f t="shared" si="24"/>
        <v>1</v>
      </c>
      <c r="AD534" s="1">
        <f t="shared" si="25"/>
        <v>0</v>
      </c>
      <c r="AE534" s="1">
        <f t="shared" si="26"/>
        <v>0</v>
      </c>
    </row>
    <row r="535" spans="19:31">
      <c r="S535" s="17">
        <v>6</v>
      </c>
      <c r="T535" s="18"/>
      <c r="U535" s="17">
        <v>2</v>
      </c>
      <c r="V535" s="17" t="s">
        <v>121</v>
      </c>
      <c r="W535" s="18">
        <v>45</v>
      </c>
      <c r="X535" s="18" t="s">
        <v>342</v>
      </c>
      <c r="Y535" s="18">
        <v>12</v>
      </c>
      <c r="Z535" s="17" t="s">
        <v>95</v>
      </c>
      <c r="AA535" s="17">
        <v>1</v>
      </c>
      <c r="AB535" s="17" t="s">
        <v>181</v>
      </c>
      <c r="AC535" s="1">
        <f t="shared" si="24"/>
        <v>1</v>
      </c>
      <c r="AD535" s="1">
        <f t="shared" si="25"/>
        <v>0</v>
      </c>
      <c r="AE535" s="1">
        <f t="shared" si="26"/>
        <v>0</v>
      </c>
    </row>
    <row r="536" spans="19:31">
      <c r="S536" s="17">
        <v>7</v>
      </c>
      <c r="T536" s="18"/>
      <c r="U536" s="17">
        <v>1</v>
      </c>
      <c r="V536" s="17" t="s">
        <v>121</v>
      </c>
      <c r="W536" s="18">
        <v>45</v>
      </c>
      <c r="X536" s="18" t="s">
        <v>342</v>
      </c>
      <c r="Y536" s="18">
        <v>18</v>
      </c>
      <c r="Z536" s="17" t="s">
        <v>45</v>
      </c>
      <c r="AA536" s="17">
        <v>2</v>
      </c>
      <c r="AB536" s="17" t="s">
        <v>165</v>
      </c>
      <c r="AC536" s="1">
        <f t="shared" si="24"/>
        <v>1</v>
      </c>
      <c r="AD536" s="1">
        <f t="shared" si="25"/>
        <v>0</v>
      </c>
      <c r="AE536" s="1">
        <f t="shared" si="26"/>
        <v>0</v>
      </c>
    </row>
    <row r="537" spans="19:31">
      <c r="S537" s="17">
        <v>8</v>
      </c>
      <c r="T537" s="18"/>
      <c r="U537" s="17">
        <v>1</v>
      </c>
      <c r="V537" s="17" t="s">
        <v>121</v>
      </c>
      <c r="W537" s="18">
        <v>42</v>
      </c>
      <c r="X537" s="18" t="s">
        <v>342</v>
      </c>
      <c r="Y537" s="18">
        <v>30</v>
      </c>
      <c r="Z537" s="17" t="s">
        <v>37</v>
      </c>
      <c r="AA537" s="17">
        <v>2</v>
      </c>
      <c r="AB537" s="17" t="s">
        <v>173</v>
      </c>
      <c r="AC537" s="1">
        <f t="shared" si="24"/>
        <v>1</v>
      </c>
      <c r="AD537" s="1">
        <f t="shared" si="25"/>
        <v>0</v>
      </c>
      <c r="AE537" s="1">
        <f t="shared" si="26"/>
        <v>0</v>
      </c>
    </row>
    <row r="538" spans="19:31">
      <c r="S538" s="17">
        <v>9</v>
      </c>
      <c r="T538" s="18"/>
      <c r="U538" s="17">
        <v>2</v>
      </c>
      <c r="V538" s="17" t="s">
        <v>121</v>
      </c>
      <c r="W538" s="18">
        <v>45</v>
      </c>
      <c r="X538" s="18" t="s">
        <v>342</v>
      </c>
      <c r="Y538" s="18">
        <v>30</v>
      </c>
      <c r="Z538" s="17" t="s">
        <v>103</v>
      </c>
      <c r="AA538" s="17">
        <v>1</v>
      </c>
      <c r="AB538" s="17" t="s">
        <v>181</v>
      </c>
      <c r="AC538" s="1">
        <f t="shared" si="24"/>
        <v>1</v>
      </c>
      <c r="AD538" s="1">
        <f t="shared" si="25"/>
        <v>0</v>
      </c>
      <c r="AE538" s="1">
        <f t="shared" si="26"/>
        <v>0</v>
      </c>
    </row>
    <row r="539" spans="19:31">
      <c r="S539" s="17">
        <v>10</v>
      </c>
      <c r="T539" s="18"/>
      <c r="U539" s="17">
        <v>2</v>
      </c>
      <c r="V539" s="17" t="s">
        <v>121</v>
      </c>
      <c r="W539" s="18">
        <v>45</v>
      </c>
      <c r="X539" s="18" t="s">
        <v>342</v>
      </c>
      <c r="Y539" s="18">
        <v>30</v>
      </c>
      <c r="Z539" s="17" t="s">
        <v>99</v>
      </c>
      <c r="AA539" s="17">
        <v>1</v>
      </c>
      <c r="AB539" s="17" t="s">
        <v>177</v>
      </c>
      <c r="AC539" s="1">
        <f t="shared" si="24"/>
        <v>1</v>
      </c>
      <c r="AD539" s="1">
        <f t="shared" si="25"/>
        <v>0</v>
      </c>
      <c r="AE539" s="1">
        <f t="shared" si="26"/>
        <v>0</v>
      </c>
    </row>
    <row r="540" spans="19:31">
      <c r="S540" s="17">
        <v>11</v>
      </c>
      <c r="T540" s="18"/>
      <c r="U540" s="17">
        <v>1</v>
      </c>
      <c r="V540" s="17" t="s">
        <v>121</v>
      </c>
      <c r="W540" s="18">
        <v>42</v>
      </c>
      <c r="X540" s="18" t="s">
        <v>342</v>
      </c>
      <c r="Y540" s="18">
        <v>33</v>
      </c>
      <c r="Z540" s="17" t="s">
        <v>29</v>
      </c>
      <c r="AA540" s="17">
        <v>2</v>
      </c>
      <c r="AB540" s="17" t="s">
        <v>173</v>
      </c>
      <c r="AC540" s="1">
        <f t="shared" si="24"/>
        <v>1</v>
      </c>
      <c r="AD540" s="1">
        <f t="shared" si="25"/>
        <v>0</v>
      </c>
      <c r="AE540" s="1">
        <f t="shared" si="26"/>
        <v>0</v>
      </c>
    </row>
    <row r="541" spans="19:31">
      <c r="S541" s="17">
        <v>12</v>
      </c>
      <c r="T541" s="18"/>
      <c r="U541" s="17">
        <v>2</v>
      </c>
      <c r="V541" s="17" t="s">
        <v>121</v>
      </c>
      <c r="W541" s="18">
        <v>39</v>
      </c>
      <c r="X541" s="18" t="s">
        <v>342</v>
      </c>
      <c r="Y541" s="18">
        <v>36</v>
      </c>
      <c r="Z541" s="17" t="s">
        <v>49</v>
      </c>
      <c r="AA541" s="17">
        <v>1</v>
      </c>
      <c r="AB541" s="17" t="s">
        <v>165</v>
      </c>
      <c r="AC541" s="1">
        <f t="shared" si="24"/>
        <v>1</v>
      </c>
      <c r="AD541" s="1">
        <f t="shared" si="25"/>
        <v>0</v>
      </c>
      <c r="AE541" s="1">
        <f t="shared" si="26"/>
        <v>0</v>
      </c>
    </row>
    <row r="542" spans="19:31">
      <c r="S542" s="17">
        <v>13</v>
      </c>
      <c r="T542" s="18"/>
      <c r="U542" s="17">
        <v>1</v>
      </c>
      <c r="V542" s="17" t="s">
        <v>121</v>
      </c>
      <c r="W542" s="18">
        <v>33</v>
      </c>
      <c r="X542" s="18" t="s">
        <v>342</v>
      </c>
      <c r="Y542" s="18">
        <v>42</v>
      </c>
      <c r="Z542" s="17" t="s">
        <v>83</v>
      </c>
      <c r="AA542" s="17">
        <v>2</v>
      </c>
      <c r="AB542" s="17" t="s">
        <v>177</v>
      </c>
      <c r="AC542" s="1">
        <f t="shared" si="24"/>
        <v>0</v>
      </c>
      <c r="AD542" s="1">
        <f t="shared" si="25"/>
        <v>0</v>
      </c>
      <c r="AE542" s="1">
        <f t="shared" si="26"/>
        <v>1</v>
      </c>
    </row>
    <row r="543" spans="19:31">
      <c r="S543" s="17">
        <v>14</v>
      </c>
      <c r="T543" s="18"/>
      <c r="U543" s="17">
        <v>1</v>
      </c>
      <c r="V543" s="17" t="s">
        <v>121</v>
      </c>
      <c r="W543" s="18">
        <v>33</v>
      </c>
      <c r="X543" s="18" t="s">
        <v>342</v>
      </c>
      <c r="Y543" s="18">
        <v>42</v>
      </c>
      <c r="Z543" s="17" t="s">
        <v>71</v>
      </c>
      <c r="AA543" s="17">
        <v>2</v>
      </c>
      <c r="AB543" s="17" t="s">
        <v>165</v>
      </c>
      <c r="AC543" s="1">
        <f t="shared" si="24"/>
        <v>0</v>
      </c>
      <c r="AD543" s="1">
        <f t="shared" si="25"/>
        <v>0</v>
      </c>
      <c r="AE543" s="1">
        <f t="shared" si="26"/>
        <v>1</v>
      </c>
    </row>
    <row r="544" spans="19:31">
      <c r="S544" s="17">
        <v>15</v>
      </c>
      <c r="T544" s="18"/>
      <c r="U544" s="17">
        <v>2</v>
      </c>
      <c r="V544" s="17" t="s">
        <v>121</v>
      </c>
      <c r="W544" s="18">
        <v>33</v>
      </c>
      <c r="X544" s="18" t="s">
        <v>342</v>
      </c>
      <c r="Y544" s="18">
        <v>42</v>
      </c>
      <c r="Z544" s="17" t="s">
        <v>81</v>
      </c>
      <c r="AA544" s="17">
        <v>1</v>
      </c>
      <c r="AB544" s="17" t="s">
        <v>173</v>
      </c>
      <c r="AC544" s="1">
        <f t="shared" si="24"/>
        <v>0</v>
      </c>
      <c r="AD544" s="1">
        <f t="shared" si="25"/>
        <v>0</v>
      </c>
      <c r="AE544" s="1">
        <f t="shared" si="26"/>
        <v>1</v>
      </c>
    </row>
    <row r="545" spans="19:31">
      <c r="S545" s="58" t="s">
        <v>339</v>
      </c>
      <c r="T545" s="58" t="s">
        <v>340</v>
      </c>
      <c r="U545" s="58" t="s">
        <v>341</v>
      </c>
      <c r="V545" s="58" t="s">
        <v>1</v>
      </c>
      <c r="W545" s="66" t="s">
        <v>220</v>
      </c>
      <c r="X545" s="66"/>
      <c r="Y545" s="66"/>
      <c r="Z545" s="58" t="s">
        <v>1</v>
      </c>
      <c r="AA545" s="58" t="s">
        <v>341</v>
      </c>
      <c r="AB545" s="58" t="s">
        <v>395</v>
      </c>
      <c r="AC545" s="1">
        <f t="shared" si="24"/>
        <v>1</v>
      </c>
      <c r="AD545" s="1">
        <f t="shared" si="25"/>
        <v>0</v>
      </c>
      <c r="AE545" s="1">
        <f t="shared" si="26"/>
        <v>0</v>
      </c>
    </row>
    <row r="546" spans="19:31">
      <c r="S546" s="17">
        <v>1</v>
      </c>
      <c r="T546" s="18"/>
      <c r="U546" s="17">
        <v>2</v>
      </c>
      <c r="V546" s="17" t="s">
        <v>83</v>
      </c>
      <c r="W546" s="18">
        <v>45</v>
      </c>
      <c r="X546" s="18" t="s">
        <v>342</v>
      </c>
      <c r="Y546" s="18">
        <v>4</v>
      </c>
      <c r="Z546" s="17" t="s">
        <v>109</v>
      </c>
      <c r="AA546" s="17">
        <v>1</v>
      </c>
      <c r="AB546" s="17" t="s">
        <v>177</v>
      </c>
      <c r="AC546" s="1">
        <f t="shared" si="24"/>
        <v>1</v>
      </c>
      <c r="AD546" s="1">
        <f t="shared" si="25"/>
        <v>0</v>
      </c>
      <c r="AE546" s="1">
        <f t="shared" si="26"/>
        <v>0</v>
      </c>
    </row>
    <row r="547" spans="19:31">
      <c r="S547" s="17">
        <v>2</v>
      </c>
      <c r="T547" s="18"/>
      <c r="U547" s="17">
        <v>1</v>
      </c>
      <c r="V547" s="17" t="s">
        <v>83</v>
      </c>
      <c r="W547" s="18">
        <v>45</v>
      </c>
      <c r="X547" s="18" t="s">
        <v>342</v>
      </c>
      <c r="Y547" s="18">
        <v>0</v>
      </c>
      <c r="Z547" s="17" t="s">
        <v>91</v>
      </c>
      <c r="AA547" s="17">
        <v>2</v>
      </c>
      <c r="AB547" s="17" t="s">
        <v>165</v>
      </c>
      <c r="AC547" s="1">
        <f t="shared" si="24"/>
        <v>1</v>
      </c>
      <c r="AD547" s="1">
        <f t="shared" si="25"/>
        <v>0</v>
      </c>
      <c r="AE547" s="1">
        <f t="shared" si="26"/>
        <v>0</v>
      </c>
    </row>
    <row r="548" spans="19:31">
      <c r="S548" s="17">
        <v>3</v>
      </c>
      <c r="T548" s="18"/>
      <c r="U548" s="17">
        <v>1</v>
      </c>
      <c r="V548" s="17" t="s">
        <v>83</v>
      </c>
      <c r="W548" s="18">
        <v>45</v>
      </c>
      <c r="X548" s="18" t="s">
        <v>342</v>
      </c>
      <c r="Y548" s="18">
        <v>0</v>
      </c>
      <c r="Z548" s="17" t="s">
        <v>343</v>
      </c>
      <c r="AA548" s="17">
        <v>2</v>
      </c>
      <c r="AB548" s="17" t="s">
        <v>181</v>
      </c>
      <c r="AC548" s="1">
        <f t="shared" si="24"/>
        <v>1</v>
      </c>
      <c r="AD548" s="1">
        <f t="shared" si="25"/>
        <v>0</v>
      </c>
      <c r="AE548" s="1">
        <f t="shared" si="26"/>
        <v>0</v>
      </c>
    </row>
    <row r="549" spans="19:31">
      <c r="S549" s="17">
        <v>4</v>
      </c>
      <c r="T549" s="18"/>
      <c r="U549" s="17">
        <v>1</v>
      </c>
      <c r="V549" s="17" t="s">
        <v>83</v>
      </c>
      <c r="W549" s="18">
        <v>45</v>
      </c>
      <c r="X549" s="18" t="s">
        <v>342</v>
      </c>
      <c r="Y549" s="18">
        <v>0</v>
      </c>
      <c r="Z549" s="17" t="s">
        <v>343</v>
      </c>
      <c r="AA549" s="17">
        <v>2</v>
      </c>
      <c r="AB549" s="17" t="s">
        <v>173</v>
      </c>
      <c r="AC549" s="1">
        <f t="shared" si="24"/>
        <v>1</v>
      </c>
      <c r="AD549" s="1">
        <f t="shared" si="25"/>
        <v>0</v>
      </c>
      <c r="AE549" s="1">
        <f t="shared" si="26"/>
        <v>0</v>
      </c>
    </row>
    <row r="550" spans="19:31">
      <c r="S550" s="17">
        <v>5</v>
      </c>
      <c r="T550" s="18"/>
      <c r="U550" s="17">
        <v>1</v>
      </c>
      <c r="V550" s="17" t="s">
        <v>83</v>
      </c>
      <c r="W550" s="18">
        <v>45</v>
      </c>
      <c r="X550" s="18" t="s">
        <v>342</v>
      </c>
      <c r="Y550" s="18">
        <v>24</v>
      </c>
      <c r="Z550" s="17" t="s">
        <v>37</v>
      </c>
      <c r="AA550" s="17">
        <v>2</v>
      </c>
      <c r="AB550" s="17" t="s">
        <v>177</v>
      </c>
      <c r="AC550" s="1">
        <f t="shared" si="24"/>
        <v>1</v>
      </c>
      <c r="AD550" s="1">
        <f t="shared" si="25"/>
        <v>0</v>
      </c>
      <c r="AE550" s="1">
        <f t="shared" si="26"/>
        <v>0</v>
      </c>
    </row>
    <row r="551" spans="19:31">
      <c r="S551" s="17">
        <v>6</v>
      </c>
      <c r="T551" s="18"/>
      <c r="U551" s="17">
        <v>2</v>
      </c>
      <c r="V551" s="17" t="s">
        <v>83</v>
      </c>
      <c r="W551" s="18">
        <v>42</v>
      </c>
      <c r="X551" s="18" t="s">
        <v>342</v>
      </c>
      <c r="Y551" s="18">
        <v>28</v>
      </c>
      <c r="Z551" s="17" t="s">
        <v>45</v>
      </c>
      <c r="AA551" s="17">
        <v>1</v>
      </c>
      <c r="AB551" s="17" t="s">
        <v>181</v>
      </c>
      <c r="AC551" s="1">
        <f t="shared" si="24"/>
        <v>1</v>
      </c>
      <c r="AD551" s="1">
        <f t="shared" si="25"/>
        <v>0</v>
      </c>
      <c r="AE551" s="1">
        <f t="shared" si="26"/>
        <v>0</v>
      </c>
    </row>
    <row r="552" spans="19:31">
      <c r="S552" s="17">
        <v>7</v>
      </c>
      <c r="T552" s="18"/>
      <c r="U552" s="17">
        <v>2</v>
      </c>
      <c r="V552" s="17" t="s">
        <v>83</v>
      </c>
      <c r="W552" s="18">
        <v>45</v>
      </c>
      <c r="X552" s="18" t="s">
        <v>342</v>
      </c>
      <c r="Y552" s="18">
        <v>4</v>
      </c>
      <c r="Z552" s="17" t="s">
        <v>95</v>
      </c>
      <c r="AA552" s="17">
        <v>1</v>
      </c>
      <c r="AB552" s="17" t="s">
        <v>165</v>
      </c>
      <c r="AC552" s="1">
        <f t="shared" si="24"/>
        <v>1</v>
      </c>
      <c r="AD552" s="1">
        <f t="shared" si="25"/>
        <v>0</v>
      </c>
      <c r="AE552" s="1">
        <f t="shared" si="26"/>
        <v>0</v>
      </c>
    </row>
    <row r="553" spans="19:31">
      <c r="S553" s="17">
        <v>8</v>
      </c>
      <c r="T553" s="18"/>
      <c r="U553" s="17">
        <v>2</v>
      </c>
      <c r="V553" s="17" t="s">
        <v>83</v>
      </c>
      <c r="W553" s="18">
        <v>45</v>
      </c>
      <c r="X553" s="18" t="s">
        <v>342</v>
      </c>
      <c r="Y553" s="18">
        <v>21</v>
      </c>
      <c r="Z553" s="17" t="s">
        <v>61</v>
      </c>
      <c r="AA553" s="17">
        <v>1</v>
      </c>
      <c r="AB553" s="17" t="s">
        <v>173</v>
      </c>
      <c r="AC553" s="1">
        <f t="shared" si="24"/>
        <v>1</v>
      </c>
      <c r="AD553" s="1">
        <f t="shared" si="25"/>
        <v>0</v>
      </c>
      <c r="AE553" s="1">
        <f t="shared" si="26"/>
        <v>0</v>
      </c>
    </row>
    <row r="554" spans="19:31">
      <c r="S554" s="17">
        <v>9</v>
      </c>
      <c r="T554" s="18"/>
      <c r="U554" s="17">
        <v>2</v>
      </c>
      <c r="V554" s="17" t="s">
        <v>83</v>
      </c>
      <c r="W554" s="18">
        <v>42</v>
      </c>
      <c r="X554" s="18" t="s">
        <v>342</v>
      </c>
      <c r="Y554" s="18">
        <v>30</v>
      </c>
      <c r="Z554" s="17" t="s">
        <v>49</v>
      </c>
      <c r="AA554" s="17">
        <v>1</v>
      </c>
      <c r="AB554" s="17" t="s">
        <v>181</v>
      </c>
      <c r="AC554" s="1">
        <f t="shared" si="24"/>
        <v>1</v>
      </c>
      <c r="AD554" s="1">
        <f t="shared" si="25"/>
        <v>0</v>
      </c>
      <c r="AE554" s="1">
        <f t="shared" si="26"/>
        <v>0</v>
      </c>
    </row>
    <row r="555" spans="19:31">
      <c r="S555" s="17">
        <v>10</v>
      </c>
      <c r="T555" s="18"/>
      <c r="U555" s="17">
        <v>1</v>
      </c>
      <c r="V555" s="17" t="s">
        <v>83</v>
      </c>
      <c r="W555" s="18">
        <v>39</v>
      </c>
      <c r="X555" s="18" t="s">
        <v>342</v>
      </c>
      <c r="Y555" s="18">
        <v>36</v>
      </c>
      <c r="Z555" s="17" t="s">
        <v>29</v>
      </c>
      <c r="AA555" s="17">
        <v>2</v>
      </c>
      <c r="AB555" s="17" t="s">
        <v>177</v>
      </c>
      <c r="AC555" s="1">
        <f t="shared" si="24"/>
        <v>1</v>
      </c>
      <c r="AD555" s="1">
        <f t="shared" si="25"/>
        <v>0</v>
      </c>
      <c r="AE555" s="1">
        <f t="shared" si="26"/>
        <v>0</v>
      </c>
    </row>
    <row r="556" spans="19:31">
      <c r="S556" s="17">
        <v>11</v>
      </c>
      <c r="T556" s="18"/>
      <c r="U556" s="17">
        <v>2</v>
      </c>
      <c r="V556" s="17" t="s">
        <v>83</v>
      </c>
      <c r="W556" s="18">
        <v>42</v>
      </c>
      <c r="X556" s="18" t="s">
        <v>342</v>
      </c>
      <c r="Y556" s="18">
        <v>27</v>
      </c>
      <c r="Z556" s="17" t="s">
        <v>99</v>
      </c>
      <c r="AA556" s="17">
        <v>1</v>
      </c>
      <c r="AB556" s="17" t="s">
        <v>173</v>
      </c>
      <c r="AC556" s="1">
        <f t="shared" si="24"/>
        <v>1</v>
      </c>
      <c r="AD556" s="1">
        <f t="shared" si="25"/>
        <v>0</v>
      </c>
      <c r="AE556" s="1">
        <f t="shared" si="26"/>
        <v>0</v>
      </c>
    </row>
    <row r="557" spans="19:31">
      <c r="S557" s="17">
        <v>12</v>
      </c>
      <c r="T557" s="18"/>
      <c r="U557" s="17">
        <v>2</v>
      </c>
      <c r="V557" s="17" t="s">
        <v>83</v>
      </c>
      <c r="W557" s="18">
        <v>39</v>
      </c>
      <c r="X557" s="18" t="s">
        <v>342</v>
      </c>
      <c r="Y557" s="18">
        <v>36</v>
      </c>
      <c r="Z557" s="17" t="s">
        <v>103</v>
      </c>
      <c r="AA557" s="17">
        <v>1</v>
      </c>
      <c r="AB557" s="17" t="s">
        <v>165</v>
      </c>
      <c r="AC557" s="1">
        <f t="shared" si="24"/>
        <v>1</v>
      </c>
      <c r="AD557" s="1">
        <f t="shared" si="25"/>
        <v>0</v>
      </c>
      <c r="AE557" s="1">
        <f t="shared" si="26"/>
        <v>0</v>
      </c>
    </row>
    <row r="558" spans="19:31">
      <c r="S558" s="17">
        <v>13</v>
      </c>
      <c r="T558" s="18"/>
      <c r="U558" s="17">
        <v>2</v>
      </c>
      <c r="V558" s="17" t="s">
        <v>83</v>
      </c>
      <c r="W558" s="18">
        <v>42</v>
      </c>
      <c r="X558" s="18" t="s">
        <v>342</v>
      </c>
      <c r="Y558" s="18">
        <v>33</v>
      </c>
      <c r="Z558" s="17" t="s">
        <v>121</v>
      </c>
      <c r="AA558" s="17">
        <v>1</v>
      </c>
      <c r="AB558" s="17" t="s">
        <v>177</v>
      </c>
      <c r="AC558" s="1">
        <f t="shared" si="24"/>
        <v>1</v>
      </c>
      <c r="AD558" s="1">
        <f t="shared" si="25"/>
        <v>0</v>
      </c>
      <c r="AE558" s="1">
        <f t="shared" si="26"/>
        <v>0</v>
      </c>
    </row>
    <row r="559" spans="19:31">
      <c r="S559" s="17">
        <v>14</v>
      </c>
      <c r="T559" s="18"/>
      <c r="U559" s="17">
        <v>1</v>
      </c>
      <c r="V559" s="17" t="s">
        <v>83</v>
      </c>
      <c r="W559" s="18">
        <v>30</v>
      </c>
      <c r="X559" s="18" t="s">
        <v>342</v>
      </c>
      <c r="Y559" s="18">
        <v>45</v>
      </c>
      <c r="Z559" s="17" t="s">
        <v>81</v>
      </c>
      <c r="AA559" s="17">
        <v>2</v>
      </c>
      <c r="AB559" s="17" t="s">
        <v>165</v>
      </c>
      <c r="AC559" s="1">
        <f t="shared" si="24"/>
        <v>0</v>
      </c>
      <c r="AD559" s="1">
        <f t="shared" si="25"/>
        <v>0</v>
      </c>
      <c r="AE559" s="1">
        <f t="shared" si="26"/>
        <v>1</v>
      </c>
    </row>
    <row r="560" spans="19:31">
      <c r="S560" s="17">
        <v>15</v>
      </c>
      <c r="T560" s="18"/>
      <c r="U560" s="17">
        <v>1</v>
      </c>
      <c r="V560" s="17" t="s">
        <v>83</v>
      </c>
      <c r="W560" s="18">
        <v>36</v>
      </c>
      <c r="X560" s="18" t="s">
        <v>342</v>
      </c>
      <c r="Y560" s="18">
        <v>39</v>
      </c>
      <c r="Z560" s="17" t="s">
        <v>71</v>
      </c>
      <c r="AA560" s="17">
        <v>2</v>
      </c>
      <c r="AB560" s="17" t="s">
        <v>173</v>
      </c>
      <c r="AC560" s="1">
        <f t="shared" si="24"/>
        <v>0</v>
      </c>
      <c r="AD560" s="1">
        <f t="shared" si="25"/>
        <v>0</v>
      </c>
      <c r="AE560" s="1">
        <f t="shared" si="26"/>
        <v>1</v>
      </c>
    </row>
    <row r="561" spans="19:31">
      <c r="S561" s="58" t="s">
        <v>339</v>
      </c>
      <c r="T561" s="58" t="s">
        <v>340</v>
      </c>
      <c r="U561" s="58" t="s">
        <v>341</v>
      </c>
      <c r="V561" s="58" t="s">
        <v>1</v>
      </c>
      <c r="W561" s="66" t="s">
        <v>220</v>
      </c>
      <c r="X561" s="66"/>
      <c r="Y561" s="66"/>
      <c r="Z561" s="58" t="s">
        <v>1</v>
      </c>
      <c r="AA561" s="58" t="s">
        <v>341</v>
      </c>
      <c r="AB561" s="58" t="s">
        <v>395</v>
      </c>
      <c r="AC561" s="1">
        <f t="shared" si="24"/>
        <v>1</v>
      </c>
      <c r="AD561" s="1">
        <f t="shared" si="25"/>
        <v>0</v>
      </c>
      <c r="AE561" s="1">
        <f t="shared" si="26"/>
        <v>0</v>
      </c>
    </row>
    <row r="562" spans="19:31">
      <c r="S562" s="17">
        <v>1</v>
      </c>
      <c r="T562" s="18"/>
      <c r="U562" s="17">
        <v>1</v>
      </c>
      <c r="V562" s="17" t="s">
        <v>71</v>
      </c>
      <c r="W562" s="18">
        <v>45</v>
      </c>
      <c r="X562" s="18" t="s">
        <v>342</v>
      </c>
      <c r="Y562" s="18">
        <v>6</v>
      </c>
      <c r="Z562" s="17" t="s">
        <v>91</v>
      </c>
      <c r="AA562" s="17">
        <v>2</v>
      </c>
      <c r="AB562" s="17" t="s">
        <v>177</v>
      </c>
      <c r="AC562" s="1">
        <f t="shared" si="24"/>
        <v>1</v>
      </c>
      <c r="AD562" s="1">
        <f t="shared" si="25"/>
        <v>0</v>
      </c>
      <c r="AE562" s="1">
        <f t="shared" si="26"/>
        <v>0</v>
      </c>
    </row>
    <row r="563" spans="19:31">
      <c r="S563" s="17">
        <v>2</v>
      </c>
      <c r="T563" s="18"/>
      <c r="U563" s="17">
        <v>2</v>
      </c>
      <c r="V563" s="17" t="s">
        <v>71</v>
      </c>
      <c r="W563" s="18">
        <v>45</v>
      </c>
      <c r="X563" s="18" t="s">
        <v>342</v>
      </c>
      <c r="Y563" s="18">
        <v>0</v>
      </c>
      <c r="Z563" s="17" t="s">
        <v>109</v>
      </c>
      <c r="AA563" s="17">
        <v>1</v>
      </c>
      <c r="AB563" s="17" t="s">
        <v>165</v>
      </c>
      <c r="AC563" s="1">
        <f t="shared" si="24"/>
        <v>1</v>
      </c>
      <c r="AD563" s="1">
        <f t="shared" si="25"/>
        <v>0</v>
      </c>
      <c r="AE563" s="1">
        <f t="shared" si="26"/>
        <v>0</v>
      </c>
    </row>
    <row r="564" spans="19:31">
      <c r="S564" s="17">
        <v>3</v>
      </c>
      <c r="T564" s="18"/>
      <c r="U564" s="17">
        <v>2</v>
      </c>
      <c r="V564" s="17" t="s">
        <v>71</v>
      </c>
      <c r="W564" s="18">
        <v>45</v>
      </c>
      <c r="X564" s="18" t="s">
        <v>342</v>
      </c>
      <c r="Y564" s="18">
        <v>0</v>
      </c>
      <c r="Z564" s="17" t="s">
        <v>343</v>
      </c>
      <c r="AA564" s="17">
        <v>1</v>
      </c>
      <c r="AB564" s="17" t="s">
        <v>181</v>
      </c>
      <c r="AC564" s="1">
        <f t="shared" si="24"/>
        <v>1</v>
      </c>
      <c r="AD564" s="1">
        <f t="shared" si="25"/>
        <v>0</v>
      </c>
      <c r="AE564" s="1">
        <f t="shared" si="26"/>
        <v>0</v>
      </c>
    </row>
    <row r="565" spans="19:31">
      <c r="S565" s="17">
        <v>4</v>
      </c>
      <c r="T565" s="18"/>
      <c r="U565" s="17">
        <v>1</v>
      </c>
      <c r="V565" s="17" t="s">
        <v>71</v>
      </c>
      <c r="W565" s="18">
        <v>45</v>
      </c>
      <c r="X565" s="18" t="s">
        <v>342</v>
      </c>
      <c r="Y565" s="18">
        <v>0</v>
      </c>
      <c r="Z565" s="17" t="s">
        <v>343</v>
      </c>
      <c r="AA565" s="17">
        <v>2</v>
      </c>
      <c r="AB565" s="17" t="s">
        <v>173</v>
      </c>
      <c r="AC565" s="1">
        <f t="shared" si="24"/>
        <v>1</v>
      </c>
      <c r="AD565" s="1">
        <f t="shared" si="25"/>
        <v>0</v>
      </c>
      <c r="AE565" s="1">
        <f t="shared" si="26"/>
        <v>0</v>
      </c>
    </row>
    <row r="566" spans="19:31">
      <c r="S566" s="17">
        <v>5</v>
      </c>
      <c r="T566" s="18"/>
      <c r="U566" s="17">
        <v>2</v>
      </c>
      <c r="V566" s="17" t="s">
        <v>71</v>
      </c>
      <c r="W566" s="18">
        <v>45</v>
      </c>
      <c r="X566" s="18" t="s">
        <v>342</v>
      </c>
      <c r="Y566" s="18">
        <v>7</v>
      </c>
      <c r="Z566" s="17" t="s">
        <v>45</v>
      </c>
      <c r="AA566" s="17">
        <v>1</v>
      </c>
      <c r="AB566" s="17" t="s">
        <v>177</v>
      </c>
      <c r="AC566" s="1">
        <f t="shared" si="24"/>
        <v>1</v>
      </c>
      <c r="AD566" s="1">
        <f t="shared" si="25"/>
        <v>0</v>
      </c>
      <c r="AE566" s="1">
        <f t="shared" si="26"/>
        <v>0</v>
      </c>
    </row>
    <row r="567" spans="19:31">
      <c r="S567" s="17">
        <v>6</v>
      </c>
      <c r="T567" s="18"/>
      <c r="U567" s="17">
        <v>2</v>
      </c>
      <c r="V567" s="17" t="s">
        <v>71</v>
      </c>
      <c r="W567" s="18">
        <v>45</v>
      </c>
      <c r="X567" s="18" t="s">
        <v>342</v>
      </c>
      <c r="Y567" s="18">
        <v>30</v>
      </c>
      <c r="Z567" s="17" t="s">
        <v>37</v>
      </c>
      <c r="AA567" s="17">
        <v>1</v>
      </c>
      <c r="AB567" s="17" t="s">
        <v>181</v>
      </c>
      <c r="AC567" s="1">
        <f t="shared" si="24"/>
        <v>1</v>
      </c>
      <c r="AD567" s="1">
        <f t="shared" si="25"/>
        <v>0</v>
      </c>
      <c r="AE567" s="1">
        <f t="shared" si="26"/>
        <v>0</v>
      </c>
    </row>
    <row r="568" spans="19:31">
      <c r="S568" s="17">
        <v>7</v>
      </c>
      <c r="T568" s="18"/>
      <c r="U568" s="17">
        <v>1</v>
      </c>
      <c r="V568" s="17" t="s">
        <v>71</v>
      </c>
      <c r="W568" s="18">
        <v>45</v>
      </c>
      <c r="X568" s="18" t="s">
        <v>342</v>
      </c>
      <c r="Y568" s="18">
        <v>10</v>
      </c>
      <c r="Z568" s="17" t="s">
        <v>61</v>
      </c>
      <c r="AA568" s="17">
        <v>2</v>
      </c>
      <c r="AB568" s="17" t="s">
        <v>165</v>
      </c>
      <c r="AC568" s="1">
        <f t="shared" si="24"/>
        <v>1</v>
      </c>
      <c r="AD568" s="1">
        <f t="shared" si="25"/>
        <v>0</v>
      </c>
      <c r="AE568" s="1">
        <f t="shared" si="26"/>
        <v>0</v>
      </c>
    </row>
    <row r="569" spans="19:31">
      <c r="S569" s="17">
        <v>8</v>
      </c>
      <c r="T569" s="18"/>
      <c r="U569" s="17">
        <v>2</v>
      </c>
      <c r="V569" s="17" t="s">
        <v>71</v>
      </c>
      <c r="W569" s="18">
        <v>45</v>
      </c>
      <c r="X569" s="18" t="s">
        <v>342</v>
      </c>
      <c r="Y569" s="18">
        <v>4</v>
      </c>
      <c r="Z569" s="17" t="s">
        <v>95</v>
      </c>
      <c r="AA569" s="17">
        <v>1</v>
      </c>
      <c r="AB569" s="17" t="s">
        <v>173</v>
      </c>
      <c r="AC569" s="1">
        <f t="shared" si="24"/>
        <v>1</v>
      </c>
      <c r="AD569" s="1">
        <f t="shared" si="25"/>
        <v>0</v>
      </c>
      <c r="AE569" s="1">
        <f t="shared" si="26"/>
        <v>0</v>
      </c>
    </row>
    <row r="570" spans="19:31">
      <c r="S570" s="17">
        <v>9</v>
      </c>
      <c r="T570" s="18"/>
      <c r="U570" s="17">
        <v>1</v>
      </c>
      <c r="V570" s="17" t="s">
        <v>71</v>
      </c>
      <c r="W570" s="18">
        <v>42</v>
      </c>
      <c r="X570" s="18" t="s">
        <v>342</v>
      </c>
      <c r="Y570" s="18">
        <v>27</v>
      </c>
      <c r="Z570" s="17" t="s">
        <v>29</v>
      </c>
      <c r="AA570" s="17">
        <v>2</v>
      </c>
      <c r="AB570" s="17" t="s">
        <v>181</v>
      </c>
      <c r="AC570" s="1">
        <f t="shared" si="24"/>
        <v>1</v>
      </c>
      <c r="AD570" s="1">
        <f t="shared" si="25"/>
        <v>0</v>
      </c>
      <c r="AE570" s="1">
        <f t="shared" si="26"/>
        <v>0</v>
      </c>
    </row>
    <row r="571" spans="19:31">
      <c r="S571" s="17">
        <v>10</v>
      </c>
      <c r="T571" s="18"/>
      <c r="U571" s="17">
        <v>2</v>
      </c>
      <c r="V571" s="17" t="s">
        <v>71</v>
      </c>
      <c r="W571" s="18">
        <v>45</v>
      </c>
      <c r="X571" s="18" t="s">
        <v>342</v>
      </c>
      <c r="Y571" s="18">
        <v>30</v>
      </c>
      <c r="Z571" s="17" t="s">
        <v>49</v>
      </c>
      <c r="AA571" s="17">
        <v>1</v>
      </c>
      <c r="AB571" s="17" t="s">
        <v>177</v>
      </c>
      <c r="AC571" s="1">
        <f t="shared" si="24"/>
        <v>1</v>
      </c>
      <c r="AD571" s="1">
        <f t="shared" si="25"/>
        <v>0</v>
      </c>
      <c r="AE571" s="1">
        <f t="shared" si="26"/>
        <v>0</v>
      </c>
    </row>
    <row r="572" spans="19:31">
      <c r="S572" s="17">
        <v>11</v>
      </c>
      <c r="T572" s="18"/>
      <c r="U572" s="17">
        <v>1</v>
      </c>
      <c r="V572" s="17" t="s">
        <v>71</v>
      </c>
      <c r="W572" s="18">
        <v>42</v>
      </c>
      <c r="X572" s="18" t="s">
        <v>342</v>
      </c>
      <c r="Y572" s="18">
        <v>33</v>
      </c>
      <c r="Z572" s="17" t="s">
        <v>103</v>
      </c>
      <c r="AA572" s="17">
        <v>2</v>
      </c>
      <c r="AB572" s="17" t="s">
        <v>173</v>
      </c>
      <c r="AC572" s="1">
        <f t="shared" si="24"/>
        <v>1</v>
      </c>
      <c r="AD572" s="1">
        <f t="shared" si="25"/>
        <v>0</v>
      </c>
      <c r="AE572" s="1">
        <f t="shared" si="26"/>
        <v>0</v>
      </c>
    </row>
    <row r="573" spans="19:31">
      <c r="S573" s="17">
        <v>12</v>
      </c>
      <c r="T573" s="18"/>
      <c r="U573" s="17">
        <v>2</v>
      </c>
      <c r="V573" s="17" t="s">
        <v>71</v>
      </c>
      <c r="W573" s="18">
        <v>42</v>
      </c>
      <c r="X573" s="18" t="s">
        <v>342</v>
      </c>
      <c r="Y573" s="18">
        <v>30</v>
      </c>
      <c r="Z573" s="17" t="s">
        <v>99</v>
      </c>
      <c r="AA573" s="17">
        <v>1</v>
      </c>
      <c r="AB573" s="17" t="s">
        <v>165</v>
      </c>
      <c r="AC573" s="1">
        <f t="shared" si="24"/>
        <v>1</v>
      </c>
      <c r="AD573" s="1">
        <f t="shared" si="25"/>
        <v>0</v>
      </c>
      <c r="AE573" s="1">
        <f t="shared" si="26"/>
        <v>0</v>
      </c>
    </row>
    <row r="574" spans="19:31">
      <c r="S574" s="17">
        <v>13</v>
      </c>
      <c r="T574" s="18"/>
      <c r="U574" s="17">
        <v>2</v>
      </c>
      <c r="V574" s="17" t="s">
        <v>71</v>
      </c>
      <c r="W574" s="18">
        <v>33</v>
      </c>
      <c r="X574" s="18" t="s">
        <v>342</v>
      </c>
      <c r="Y574" s="18">
        <v>42</v>
      </c>
      <c r="Z574" s="17" t="s">
        <v>81</v>
      </c>
      <c r="AA574" s="17">
        <v>1</v>
      </c>
      <c r="AB574" s="17" t="s">
        <v>177</v>
      </c>
      <c r="AC574" s="1">
        <f t="shared" si="24"/>
        <v>0</v>
      </c>
      <c r="AD574" s="1">
        <f t="shared" si="25"/>
        <v>0</v>
      </c>
      <c r="AE574" s="1">
        <f t="shared" si="26"/>
        <v>1</v>
      </c>
    </row>
    <row r="575" spans="19:31">
      <c r="S575" s="17">
        <v>14</v>
      </c>
      <c r="T575" s="18"/>
      <c r="U575" s="17">
        <v>2</v>
      </c>
      <c r="V575" s="17" t="s">
        <v>71</v>
      </c>
      <c r="W575" s="18">
        <v>42</v>
      </c>
      <c r="X575" s="18" t="s">
        <v>342</v>
      </c>
      <c r="Y575" s="18">
        <v>33</v>
      </c>
      <c r="Z575" s="17" t="s">
        <v>121</v>
      </c>
      <c r="AA575" s="17">
        <v>1</v>
      </c>
      <c r="AB575" s="17" t="s">
        <v>165</v>
      </c>
      <c r="AC575" s="1">
        <f t="shared" si="24"/>
        <v>1</v>
      </c>
      <c r="AD575" s="1">
        <f t="shared" si="25"/>
        <v>0</v>
      </c>
      <c r="AE575" s="1">
        <f t="shared" si="26"/>
        <v>0</v>
      </c>
    </row>
    <row r="576" spans="19:31">
      <c r="S576" s="17">
        <v>15</v>
      </c>
      <c r="T576" s="18"/>
      <c r="U576" s="17">
        <v>2</v>
      </c>
      <c r="V576" s="17" t="s">
        <v>71</v>
      </c>
      <c r="W576" s="18">
        <v>39</v>
      </c>
      <c r="X576" s="18" t="s">
        <v>342</v>
      </c>
      <c r="Y576" s="18">
        <v>36</v>
      </c>
      <c r="Z576" s="17" t="s">
        <v>83</v>
      </c>
      <c r="AA576" s="17">
        <v>1</v>
      </c>
      <c r="AB576" s="17" t="s">
        <v>173</v>
      </c>
      <c r="AC576" s="1">
        <f t="shared" si="24"/>
        <v>1</v>
      </c>
      <c r="AD576" s="1">
        <f t="shared" si="25"/>
        <v>0</v>
      </c>
      <c r="AE576" s="1">
        <f t="shared" si="26"/>
        <v>0</v>
      </c>
    </row>
    <row r="577" spans="19:31">
      <c r="S577" s="58" t="s">
        <v>339</v>
      </c>
      <c r="T577" s="58" t="s">
        <v>340</v>
      </c>
      <c r="U577" s="58" t="s">
        <v>341</v>
      </c>
      <c r="V577" s="58" t="s">
        <v>1</v>
      </c>
      <c r="W577" s="66" t="s">
        <v>220</v>
      </c>
      <c r="X577" s="66"/>
      <c r="Y577" s="66"/>
      <c r="Z577" s="58" t="s">
        <v>1</v>
      </c>
      <c r="AA577" s="58" t="s">
        <v>341</v>
      </c>
      <c r="AB577" s="58" t="s">
        <v>395</v>
      </c>
      <c r="AC577" s="1">
        <f t="shared" ref="AC577:AC640" si="27">IF(W577="",0,IF(W577&gt;Y577,1,0))</f>
        <v>1</v>
      </c>
      <c r="AD577" s="1">
        <f t="shared" ref="AD577:AD640" si="28">IF(W577="",0,IF(W577=Y577,1,0))</f>
        <v>0</v>
      </c>
      <c r="AE577" s="1">
        <f t="shared" ref="AE577:AE640" si="29">IF(W577="",0,IF(W577&lt;Y577,1,0))</f>
        <v>0</v>
      </c>
    </row>
    <row r="578" spans="19:31">
      <c r="S578" s="17">
        <v>1</v>
      </c>
      <c r="T578" s="18"/>
      <c r="U578" s="17">
        <v>2</v>
      </c>
      <c r="V578" s="17" t="s">
        <v>29</v>
      </c>
      <c r="W578" s="18">
        <v>45</v>
      </c>
      <c r="X578" s="18" t="s">
        <v>342</v>
      </c>
      <c r="Y578" s="18">
        <v>4</v>
      </c>
      <c r="Z578" s="17" t="s">
        <v>95</v>
      </c>
      <c r="AA578" s="17">
        <v>1</v>
      </c>
      <c r="AB578" s="17" t="s">
        <v>177</v>
      </c>
      <c r="AC578" s="1">
        <f t="shared" si="27"/>
        <v>1</v>
      </c>
      <c r="AD578" s="1">
        <f t="shared" si="28"/>
        <v>0</v>
      </c>
      <c r="AE578" s="1">
        <f t="shared" si="29"/>
        <v>0</v>
      </c>
    </row>
    <row r="579" spans="19:31">
      <c r="S579" s="17">
        <v>2</v>
      </c>
      <c r="T579" s="18"/>
      <c r="U579" s="17">
        <v>2</v>
      </c>
      <c r="V579" s="17" t="s">
        <v>29</v>
      </c>
      <c r="W579" s="18">
        <v>45</v>
      </c>
      <c r="X579" s="18" t="s">
        <v>342</v>
      </c>
      <c r="Y579" s="18">
        <v>1</v>
      </c>
      <c r="Z579" s="17" t="s">
        <v>61</v>
      </c>
      <c r="AA579" s="17">
        <v>1</v>
      </c>
      <c r="AB579" s="17" t="s">
        <v>165</v>
      </c>
      <c r="AC579" s="1">
        <f t="shared" si="27"/>
        <v>1</v>
      </c>
      <c r="AD579" s="1">
        <f t="shared" si="28"/>
        <v>0</v>
      </c>
      <c r="AE579" s="1">
        <f t="shared" si="29"/>
        <v>0</v>
      </c>
    </row>
    <row r="580" spans="19:31">
      <c r="S580" s="17">
        <v>3</v>
      </c>
      <c r="T580" s="18"/>
      <c r="U580" s="17">
        <v>2</v>
      </c>
      <c r="V580" s="17" t="s">
        <v>29</v>
      </c>
      <c r="W580" s="18">
        <v>25</v>
      </c>
      <c r="X580" s="18" t="s">
        <v>342</v>
      </c>
      <c r="Y580" s="18">
        <v>39</v>
      </c>
      <c r="Z580" s="17" t="s">
        <v>37</v>
      </c>
      <c r="AA580" s="17">
        <v>1</v>
      </c>
      <c r="AB580" s="17" t="s">
        <v>181</v>
      </c>
      <c r="AC580" s="1">
        <f t="shared" si="27"/>
        <v>0</v>
      </c>
      <c r="AD580" s="1">
        <f t="shared" si="28"/>
        <v>0</v>
      </c>
      <c r="AE580" s="1">
        <f t="shared" si="29"/>
        <v>1</v>
      </c>
    </row>
    <row r="581" spans="19:31">
      <c r="S581" s="17">
        <v>4</v>
      </c>
      <c r="T581" s="18"/>
      <c r="U581" s="17">
        <v>1</v>
      </c>
      <c r="V581" s="17" t="s">
        <v>29</v>
      </c>
      <c r="W581" s="18">
        <v>45</v>
      </c>
      <c r="X581" s="18" t="s">
        <v>342</v>
      </c>
      <c r="Y581" s="18">
        <v>30</v>
      </c>
      <c r="Z581" s="17" t="s">
        <v>45</v>
      </c>
      <c r="AA581" s="17">
        <v>2</v>
      </c>
      <c r="AB581" s="17" t="s">
        <v>173</v>
      </c>
      <c r="AC581" s="1">
        <f t="shared" si="27"/>
        <v>1</v>
      </c>
      <c r="AD581" s="1">
        <f t="shared" si="28"/>
        <v>0</v>
      </c>
      <c r="AE581" s="1">
        <f t="shared" si="29"/>
        <v>0</v>
      </c>
    </row>
    <row r="582" spans="19:31">
      <c r="S582" s="17">
        <v>5</v>
      </c>
      <c r="T582" s="18"/>
      <c r="U582" s="17">
        <v>2</v>
      </c>
      <c r="V582" s="17" t="s">
        <v>29</v>
      </c>
      <c r="W582" s="18">
        <v>45</v>
      </c>
      <c r="X582" s="18" t="s">
        <v>342</v>
      </c>
      <c r="Y582" s="18">
        <v>0</v>
      </c>
      <c r="Z582" s="17" t="s">
        <v>343</v>
      </c>
      <c r="AA582" s="17">
        <v>1</v>
      </c>
      <c r="AB582" s="17" t="s">
        <v>177</v>
      </c>
      <c r="AC582" s="1">
        <f t="shared" si="27"/>
        <v>1</v>
      </c>
      <c r="AD582" s="1">
        <f t="shared" si="28"/>
        <v>0</v>
      </c>
      <c r="AE582" s="1">
        <f t="shared" si="29"/>
        <v>0</v>
      </c>
    </row>
    <row r="583" spans="19:31">
      <c r="S583" s="17">
        <v>6</v>
      </c>
      <c r="T583" s="18"/>
      <c r="U583" s="17">
        <v>1</v>
      </c>
      <c r="V583" s="17" t="s">
        <v>29</v>
      </c>
      <c r="W583" s="18">
        <v>45</v>
      </c>
      <c r="X583" s="18" t="s">
        <v>342</v>
      </c>
      <c r="Y583" s="18">
        <v>0</v>
      </c>
      <c r="Z583" s="17" t="s">
        <v>343</v>
      </c>
      <c r="AA583" s="17">
        <v>2</v>
      </c>
      <c r="AB583" s="17" t="s">
        <v>181</v>
      </c>
      <c r="AC583" s="1">
        <f t="shared" si="27"/>
        <v>1</v>
      </c>
      <c r="AD583" s="1">
        <f t="shared" si="28"/>
        <v>0</v>
      </c>
      <c r="AE583" s="1">
        <f t="shared" si="29"/>
        <v>0</v>
      </c>
    </row>
    <row r="584" spans="19:31">
      <c r="S584" s="17">
        <v>7</v>
      </c>
      <c r="T584" s="18"/>
      <c r="U584" s="17">
        <v>2</v>
      </c>
      <c r="V584" s="17" t="s">
        <v>29</v>
      </c>
      <c r="W584" s="18">
        <v>45</v>
      </c>
      <c r="X584" s="18" t="s">
        <v>342</v>
      </c>
      <c r="Y584" s="18">
        <v>0</v>
      </c>
      <c r="Z584" s="17" t="s">
        <v>109</v>
      </c>
      <c r="AA584" s="17">
        <v>1</v>
      </c>
      <c r="AB584" s="17" t="s">
        <v>165</v>
      </c>
      <c r="AC584" s="1">
        <f t="shared" si="27"/>
        <v>1</v>
      </c>
      <c r="AD584" s="1">
        <f t="shared" si="28"/>
        <v>0</v>
      </c>
      <c r="AE584" s="1">
        <f t="shared" si="29"/>
        <v>0</v>
      </c>
    </row>
    <row r="585" spans="19:31">
      <c r="S585" s="17">
        <v>8</v>
      </c>
      <c r="T585" s="18"/>
      <c r="U585" s="17">
        <v>2</v>
      </c>
      <c r="V585" s="17" t="s">
        <v>29</v>
      </c>
      <c r="W585" s="18">
        <v>45</v>
      </c>
      <c r="X585" s="18" t="s">
        <v>342</v>
      </c>
      <c r="Y585" s="18">
        <v>6</v>
      </c>
      <c r="Z585" s="17" t="s">
        <v>91</v>
      </c>
      <c r="AA585" s="17">
        <v>1</v>
      </c>
      <c r="AB585" s="17" t="s">
        <v>173</v>
      </c>
      <c r="AC585" s="1">
        <f t="shared" si="27"/>
        <v>1</v>
      </c>
      <c r="AD585" s="1">
        <f t="shared" si="28"/>
        <v>0</v>
      </c>
      <c r="AE585" s="1">
        <f t="shared" si="29"/>
        <v>0</v>
      </c>
    </row>
    <row r="586" spans="19:31">
      <c r="S586" s="17">
        <v>9</v>
      </c>
      <c r="T586" s="18"/>
      <c r="U586" s="17">
        <v>2</v>
      </c>
      <c r="V586" s="17" t="s">
        <v>29</v>
      </c>
      <c r="W586" s="18">
        <v>27</v>
      </c>
      <c r="X586" s="18" t="s">
        <v>342</v>
      </c>
      <c r="Y586" s="18">
        <v>42</v>
      </c>
      <c r="Z586" s="17" t="s">
        <v>71</v>
      </c>
      <c r="AA586" s="17">
        <v>1</v>
      </c>
      <c r="AB586" s="17" t="s">
        <v>181</v>
      </c>
      <c r="AC586" s="1">
        <f t="shared" si="27"/>
        <v>0</v>
      </c>
      <c r="AD586" s="1">
        <f t="shared" si="28"/>
        <v>0</v>
      </c>
      <c r="AE586" s="1">
        <f t="shared" si="29"/>
        <v>1</v>
      </c>
    </row>
    <row r="587" spans="19:31">
      <c r="S587" s="17">
        <v>10</v>
      </c>
      <c r="T587" s="18"/>
      <c r="U587" s="17">
        <v>2</v>
      </c>
      <c r="V587" s="17" t="s">
        <v>29</v>
      </c>
      <c r="W587" s="18">
        <v>36</v>
      </c>
      <c r="X587" s="18" t="s">
        <v>342</v>
      </c>
      <c r="Y587" s="18">
        <v>39</v>
      </c>
      <c r="Z587" s="17" t="s">
        <v>83</v>
      </c>
      <c r="AA587" s="17">
        <v>1</v>
      </c>
      <c r="AB587" s="17" t="s">
        <v>177</v>
      </c>
      <c r="AC587" s="1">
        <f t="shared" si="27"/>
        <v>0</v>
      </c>
      <c r="AD587" s="1">
        <f t="shared" si="28"/>
        <v>0</v>
      </c>
      <c r="AE587" s="1">
        <f t="shared" si="29"/>
        <v>1</v>
      </c>
    </row>
    <row r="588" spans="19:31">
      <c r="S588" s="17">
        <v>11</v>
      </c>
      <c r="T588" s="18"/>
      <c r="U588" s="17">
        <v>2</v>
      </c>
      <c r="V588" s="17" t="s">
        <v>29</v>
      </c>
      <c r="W588" s="18">
        <v>33</v>
      </c>
      <c r="X588" s="18" t="s">
        <v>342</v>
      </c>
      <c r="Y588" s="18">
        <v>42</v>
      </c>
      <c r="Z588" s="17" t="s">
        <v>121</v>
      </c>
      <c r="AA588" s="17">
        <v>1</v>
      </c>
      <c r="AB588" s="17" t="s">
        <v>173</v>
      </c>
      <c r="AC588" s="1">
        <f t="shared" si="27"/>
        <v>0</v>
      </c>
      <c r="AD588" s="1">
        <f t="shared" si="28"/>
        <v>0</v>
      </c>
      <c r="AE588" s="1">
        <f t="shared" si="29"/>
        <v>1</v>
      </c>
    </row>
    <row r="589" spans="19:31">
      <c r="S589" s="17">
        <v>12</v>
      </c>
      <c r="T589" s="18"/>
      <c r="U589" s="17">
        <v>1</v>
      </c>
      <c r="V589" s="17" t="s">
        <v>29</v>
      </c>
      <c r="W589" s="18">
        <v>33</v>
      </c>
      <c r="X589" s="18" t="s">
        <v>342</v>
      </c>
      <c r="Y589" s="18">
        <v>42</v>
      </c>
      <c r="Z589" s="17" t="s">
        <v>81</v>
      </c>
      <c r="AA589" s="17">
        <v>2</v>
      </c>
      <c r="AB589" s="17" t="s">
        <v>165</v>
      </c>
      <c r="AC589" s="1">
        <f t="shared" si="27"/>
        <v>0</v>
      </c>
      <c r="AD589" s="1">
        <f t="shared" si="28"/>
        <v>0</v>
      </c>
      <c r="AE589" s="1">
        <f t="shared" si="29"/>
        <v>1</v>
      </c>
    </row>
    <row r="590" spans="19:31">
      <c r="S590" s="17">
        <v>13</v>
      </c>
      <c r="T590" s="18"/>
      <c r="U590" s="17">
        <v>1</v>
      </c>
      <c r="V590" s="17" t="s">
        <v>29</v>
      </c>
      <c r="W590" s="18">
        <v>42</v>
      </c>
      <c r="X590" s="18" t="s">
        <v>342</v>
      </c>
      <c r="Y590" s="18">
        <v>28</v>
      </c>
      <c r="Z590" s="17" t="s">
        <v>99</v>
      </c>
      <c r="AA590" s="17">
        <v>2</v>
      </c>
      <c r="AB590" s="17" t="s">
        <v>177</v>
      </c>
      <c r="AC590" s="1">
        <f t="shared" si="27"/>
        <v>1</v>
      </c>
      <c r="AD590" s="1">
        <f t="shared" si="28"/>
        <v>0</v>
      </c>
      <c r="AE590" s="1">
        <f t="shared" si="29"/>
        <v>0</v>
      </c>
    </row>
    <row r="591" spans="19:31">
      <c r="S591" s="17">
        <v>14</v>
      </c>
      <c r="T591" s="18"/>
      <c r="U591" s="17">
        <v>2</v>
      </c>
      <c r="V591" s="17" t="s">
        <v>29</v>
      </c>
      <c r="W591" s="18">
        <v>31</v>
      </c>
      <c r="X591" s="18" t="s">
        <v>342</v>
      </c>
      <c r="Y591" s="18">
        <v>36</v>
      </c>
      <c r="Z591" s="17" t="s">
        <v>103</v>
      </c>
      <c r="AA591" s="17">
        <v>1</v>
      </c>
      <c r="AB591" s="17" t="s">
        <v>165</v>
      </c>
      <c r="AC591" s="1">
        <f t="shared" si="27"/>
        <v>0</v>
      </c>
      <c r="AD591" s="1">
        <f t="shared" si="28"/>
        <v>0</v>
      </c>
      <c r="AE591" s="1">
        <f t="shared" si="29"/>
        <v>1</v>
      </c>
    </row>
    <row r="592" spans="19:31">
      <c r="S592" s="17">
        <v>15</v>
      </c>
      <c r="T592" s="18"/>
      <c r="U592" s="17">
        <v>2</v>
      </c>
      <c r="V592" s="17" t="s">
        <v>29</v>
      </c>
      <c r="W592" s="18">
        <v>39</v>
      </c>
      <c r="X592" s="18" t="s">
        <v>342</v>
      </c>
      <c r="Y592" s="18">
        <v>36</v>
      </c>
      <c r="Z592" s="17" t="s">
        <v>49</v>
      </c>
      <c r="AA592" s="17">
        <v>1</v>
      </c>
      <c r="AB592" s="17" t="s">
        <v>173</v>
      </c>
      <c r="AC592" s="1">
        <f t="shared" si="27"/>
        <v>1</v>
      </c>
      <c r="AD592" s="1">
        <f t="shared" si="28"/>
        <v>0</v>
      </c>
      <c r="AE592" s="1">
        <f t="shared" si="29"/>
        <v>0</v>
      </c>
    </row>
    <row r="593" spans="19:31">
      <c r="S593" s="58" t="s">
        <v>339</v>
      </c>
      <c r="T593" s="58" t="s">
        <v>340</v>
      </c>
      <c r="U593" s="58" t="s">
        <v>341</v>
      </c>
      <c r="V593" s="58" t="s">
        <v>1</v>
      </c>
      <c r="W593" s="66" t="s">
        <v>220</v>
      </c>
      <c r="X593" s="66"/>
      <c r="Y593" s="66"/>
      <c r="Z593" s="58" t="s">
        <v>1</v>
      </c>
      <c r="AA593" s="58" t="s">
        <v>341</v>
      </c>
      <c r="AB593" s="58" t="s">
        <v>395</v>
      </c>
      <c r="AC593" s="1">
        <f t="shared" si="27"/>
        <v>1</v>
      </c>
      <c r="AD593" s="1">
        <f t="shared" si="28"/>
        <v>0</v>
      </c>
      <c r="AE593" s="1">
        <f t="shared" si="29"/>
        <v>0</v>
      </c>
    </row>
    <row r="594" spans="19:31">
      <c r="S594" s="17">
        <v>1</v>
      </c>
      <c r="T594" s="18"/>
      <c r="U594" s="17">
        <v>1</v>
      </c>
      <c r="V594" s="17" t="s">
        <v>49</v>
      </c>
      <c r="W594" s="18">
        <v>37</v>
      </c>
      <c r="X594" s="18" t="s">
        <v>342</v>
      </c>
      <c r="Y594" s="18">
        <v>12</v>
      </c>
      <c r="Z594" s="17" t="s">
        <v>61</v>
      </c>
      <c r="AA594" s="17">
        <v>2</v>
      </c>
      <c r="AB594" s="17" t="s">
        <v>177</v>
      </c>
      <c r="AC594" s="1">
        <f t="shared" si="27"/>
        <v>1</v>
      </c>
      <c r="AD594" s="1">
        <f t="shared" si="28"/>
        <v>0</v>
      </c>
      <c r="AE594" s="1">
        <f t="shared" si="29"/>
        <v>0</v>
      </c>
    </row>
    <row r="595" spans="19:31">
      <c r="S595" s="17">
        <v>2</v>
      </c>
      <c r="T595" s="18"/>
      <c r="U595" s="17">
        <v>1</v>
      </c>
      <c r="V595" s="17" t="s">
        <v>49</v>
      </c>
      <c r="W595" s="18">
        <v>42</v>
      </c>
      <c r="X595" s="18" t="s">
        <v>342</v>
      </c>
      <c r="Y595" s="18">
        <v>1</v>
      </c>
      <c r="Z595" s="17" t="s">
        <v>95</v>
      </c>
      <c r="AA595" s="17">
        <v>2</v>
      </c>
      <c r="AB595" s="17" t="s">
        <v>165</v>
      </c>
      <c r="AC595" s="1">
        <f t="shared" si="27"/>
        <v>1</v>
      </c>
      <c r="AD595" s="1">
        <f t="shared" si="28"/>
        <v>0</v>
      </c>
      <c r="AE595" s="1">
        <f t="shared" si="29"/>
        <v>0</v>
      </c>
    </row>
    <row r="596" spans="19:31">
      <c r="S596" s="17">
        <v>3</v>
      </c>
      <c r="T596" s="18"/>
      <c r="U596" s="17">
        <v>2</v>
      </c>
      <c r="V596" s="17" t="s">
        <v>49</v>
      </c>
      <c r="W596" s="18">
        <v>45</v>
      </c>
      <c r="X596" s="18" t="s">
        <v>342</v>
      </c>
      <c r="Y596" s="18">
        <v>25</v>
      </c>
      <c r="Z596" s="17" t="s">
        <v>45</v>
      </c>
      <c r="AA596" s="17">
        <v>1</v>
      </c>
      <c r="AB596" s="17" t="s">
        <v>181</v>
      </c>
      <c r="AC596" s="1">
        <f t="shared" si="27"/>
        <v>1</v>
      </c>
      <c r="AD596" s="1">
        <f t="shared" si="28"/>
        <v>0</v>
      </c>
      <c r="AE596" s="1">
        <f t="shared" si="29"/>
        <v>0</v>
      </c>
    </row>
    <row r="597" spans="19:31">
      <c r="S597" s="17">
        <v>4</v>
      </c>
      <c r="T597" s="18"/>
      <c r="U597" s="17">
        <v>1</v>
      </c>
      <c r="V597" s="17" t="s">
        <v>49</v>
      </c>
      <c r="W597" s="18">
        <v>39</v>
      </c>
      <c r="X597" s="18" t="s">
        <v>342</v>
      </c>
      <c r="Y597" s="18">
        <v>33</v>
      </c>
      <c r="Z597" s="17" t="s">
        <v>37</v>
      </c>
      <c r="AA597" s="17">
        <v>2</v>
      </c>
      <c r="AB597" s="17" t="s">
        <v>173</v>
      </c>
      <c r="AC597" s="1">
        <f t="shared" si="27"/>
        <v>1</v>
      </c>
      <c r="AD597" s="1">
        <f t="shared" si="28"/>
        <v>0</v>
      </c>
      <c r="AE597" s="1">
        <f t="shared" si="29"/>
        <v>0</v>
      </c>
    </row>
    <row r="598" spans="19:31">
      <c r="S598" s="17">
        <v>5</v>
      </c>
      <c r="T598" s="18"/>
      <c r="U598" s="17">
        <v>2</v>
      </c>
      <c r="V598" s="17" t="s">
        <v>49</v>
      </c>
      <c r="W598" s="18">
        <v>45</v>
      </c>
      <c r="X598" s="18" t="s">
        <v>342</v>
      </c>
      <c r="Y598" s="18">
        <v>0</v>
      </c>
      <c r="Z598" s="17" t="s">
        <v>343</v>
      </c>
      <c r="AA598" s="17">
        <v>1</v>
      </c>
      <c r="AB598" s="17" t="s">
        <v>177</v>
      </c>
      <c r="AC598" s="1">
        <f t="shared" si="27"/>
        <v>1</v>
      </c>
      <c r="AD598" s="1">
        <f t="shared" si="28"/>
        <v>0</v>
      </c>
      <c r="AE598" s="1">
        <f t="shared" si="29"/>
        <v>0</v>
      </c>
    </row>
    <row r="599" spans="19:31">
      <c r="S599" s="17">
        <v>6</v>
      </c>
      <c r="T599" s="18"/>
      <c r="U599" s="17">
        <v>2</v>
      </c>
      <c r="V599" s="17" t="s">
        <v>49</v>
      </c>
      <c r="W599" s="18">
        <v>45</v>
      </c>
      <c r="X599" s="18" t="s">
        <v>342</v>
      </c>
      <c r="Y599" s="18">
        <v>0</v>
      </c>
      <c r="Z599" s="17" t="s">
        <v>343</v>
      </c>
      <c r="AA599" s="17">
        <v>1</v>
      </c>
      <c r="AB599" s="17" t="s">
        <v>181</v>
      </c>
      <c r="AC599" s="1">
        <f t="shared" si="27"/>
        <v>1</v>
      </c>
      <c r="AD599" s="1">
        <f t="shared" si="28"/>
        <v>0</v>
      </c>
      <c r="AE599" s="1">
        <f t="shared" si="29"/>
        <v>0</v>
      </c>
    </row>
    <row r="600" spans="19:31">
      <c r="S600" s="17">
        <v>7</v>
      </c>
      <c r="T600" s="18"/>
      <c r="U600" s="17">
        <v>2</v>
      </c>
      <c r="V600" s="17" t="s">
        <v>49</v>
      </c>
      <c r="W600" s="18">
        <v>45</v>
      </c>
      <c r="X600" s="18" t="s">
        <v>342</v>
      </c>
      <c r="Y600" s="18">
        <v>6</v>
      </c>
      <c r="Z600" s="17" t="s">
        <v>91</v>
      </c>
      <c r="AA600" s="17">
        <v>1</v>
      </c>
      <c r="AB600" s="17" t="s">
        <v>165</v>
      </c>
      <c r="AC600" s="1">
        <f t="shared" si="27"/>
        <v>1</v>
      </c>
      <c r="AD600" s="1">
        <f t="shared" si="28"/>
        <v>0</v>
      </c>
      <c r="AE600" s="1">
        <f t="shared" si="29"/>
        <v>0</v>
      </c>
    </row>
    <row r="601" spans="19:31">
      <c r="S601" s="17">
        <v>8</v>
      </c>
      <c r="T601" s="18"/>
      <c r="U601" s="17">
        <v>1</v>
      </c>
      <c r="V601" s="17" t="s">
        <v>49</v>
      </c>
      <c r="W601" s="18">
        <v>45</v>
      </c>
      <c r="X601" s="18" t="s">
        <v>342</v>
      </c>
      <c r="Y601" s="18">
        <v>0</v>
      </c>
      <c r="Z601" s="17" t="s">
        <v>109</v>
      </c>
      <c r="AA601" s="17">
        <v>2</v>
      </c>
      <c r="AB601" s="17" t="s">
        <v>173</v>
      </c>
      <c r="AC601" s="1">
        <f t="shared" si="27"/>
        <v>1</v>
      </c>
      <c r="AD601" s="1">
        <f t="shared" si="28"/>
        <v>0</v>
      </c>
      <c r="AE601" s="1">
        <f t="shared" si="29"/>
        <v>0</v>
      </c>
    </row>
    <row r="602" spans="19:31">
      <c r="S602" s="17">
        <v>9</v>
      </c>
      <c r="T602" s="18"/>
      <c r="U602" s="17">
        <v>1</v>
      </c>
      <c r="V602" s="17" t="s">
        <v>49</v>
      </c>
      <c r="W602" s="18">
        <v>30</v>
      </c>
      <c r="X602" s="18" t="s">
        <v>342</v>
      </c>
      <c r="Y602" s="18">
        <v>42</v>
      </c>
      <c r="Z602" s="17" t="s">
        <v>83</v>
      </c>
      <c r="AA602" s="17">
        <v>2</v>
      </c>
      <c r="AB602" s="17" t="s">
        <v>181</v>
      </c>
      <c r="AC602" s="1">
        <f t="shared" si="27"/>
        <v>0</v>
      </c>
      <c r="AD602" s="1">
        <f t="shared" si="28"/>
        <v>0</v>
      </c>
      <c r="AE602" s="1">
        <f t="shared" si="29"/>
        <v>1</v>
      </c>
    </row>
    <row r="603" spans="19:31">
      <c r="S603" s="17">
        <v>10</v>
      </c>
      <c r="T603" s="18"/>
      <c r="U603" s="17">
        <v>1</v>
      </c>
      <c r="V603" s="17" t="s">
        <v>49</v>
      </c>
      <c r="W603" s="18">
        <v>30</v>
      </c>
      <c r="X603" s="18" t="s">
        <v>342</v>
      </c>
      <c r="Y603" s="18">
        <v>45</v>
      </c>
      <c r="Z603" s="17" t="s">
        <v>71</v>
      </c>
      <c r="AA603" s="17">
        <v>2</v>
      </c>
      <c r="AB603" s="17" t="s">
        <v>177</v>
      </c>
      <c r="AC603" s="1">
        <f t="shared" si="27"/>
        <v>0</v>
      </c>
      <c r="AD603" s="1">
        <f t="shared" si="28"/>
        <v>0</v>
      </c>
      <c r="AE603" s="1">
        <f t="shared" si="29"/>
        <v>1</v>
      </c>
    </row>
    <row r="604" spans="19:31">
      <c r="S604" s="17">
        <v>11</v>
      </c>
      <c r="T604" s="18"/>
      <c r="U604" s="17">
        <v>1</v>
      </c>
      <c r="V604" s="17" t="s">
        <v>49</v>
      </c>
      <c r="W604" s="18">
        <v>33</v>
      </c>
      <c r="X604" s="18" t="s">
        <v>342</v>
      </c>
      <c r="Y604" s="18">
        <v>42</v>
      </c>
      <c r="Z604" s="17" t="s">
        <v>81</v>
      </c>
      <c r="AA604" s="17">
        <v>2</v>
      </c>
      <c r="AB604" s="17" t="s">
        <v>173</v>
      </c>
      <c r="AC604" s="1">
        <f t="shared" si="27"/>
        <v>0</v>
      </c>
      <c r="AD604" s="1">
        <f t="shared" si="28"/>
        <v>0</v>
      </c>
      <c r="AE604" s="1">
        <f t="shared" si="29"/>
        <v>1</v>
      </c>
    </row>
    <row r="605" spans="19:31">
      <c r="S605" s="17">
        <v>12</v>
      </c>
      <c r="T605" s="18"/>
      <c r="U605" s="17">
        <v>1</v>
      </c>
      <c r="V605" s="17" t="s">
        <v>49</v>
      </c>
      <c r="W605" s="18">
        <v>36</v>
      </c>
      <c r="X605" s="18" t="s">
        <v>342</v>
      </c>
      <c r="Y605" s="18">
        <v>39</v>
      </c>
      <c r="Z605" s="17" t="s">
        <v>121</v>
      </c>
      <c r="AA605" s="17">
        <v>2</v>
      </c>
      <c r="AB605" s="17" t="s">
        <v>165</v>
      </c>
      <c r="AC605" s="1">
        <f t="shared" si="27"/>
        <v>0</v>
      </c>
      <c r="AD605" s="1">
        <f t="shared" si="28"/>
        <v>0</v>
      </c>
      <c r="AE605" s="1">
        <f t="shared" si="29"/>
        <v>1</v>
      </c>
    </row>
    <row r="606" spans="19:31">
      <c r="S606" s="17">
        <v>13</v>
      </c>
      <c r="T606" s="18"/>
      <c r="U606" s="17">
        <v>1</v>
      </c>
      <c r="V606" s="17" t="s">
        <v>49</v>
      </c>
      <c r="W606" s="18">
        <v>39</v>
      </c>
      <c r="X606" s="18" t="s">
        <v>342</v>
      </c>
      <c r="Y606" s="18">
        <v>36</v>
      </c>
      <c r="Z606" s="17" t="s">
        <v>103</v>
      </c>
      <c r="AA606" s="17">
        <v>2</v>
      </c>
      <c r="AB606" s="17" t="s">
        <v>177</v>
      </c>
      <c r="AC606" s="1">
        <f t="shared" si="27"/>
        <v>1</v>
      </c>
      <c r="AD606" s="1">
        <f t="shared" si="28"/>
        <v>0</v>
      </c>
      <c r="AE606" s="1">
        <f t="shared" si="29"/>
        <v>0</v>
      </c>
    </row>
    <row r="607" spans="19:31">
      <c r="S607" s="17">
        <v>14</v>
      </c>
      <c r="T607" s="18"/>
      <c r="U607" s="17">
        <v>1</v>
      </c>
      <c r="V607" s="17" t="s">
        <v>49</v>
      </c>
      <c r="W607" s="18">
        <v>45</v>
      </c>
      <c r="X607" s="18" t="s">
        <v>342</v>
      </c>
      <c r="Y607" s="18">
        <v>19</v>
      </c>
      <c r="Z607" s="17" t="s">
        <v>99</v>
      </c>
      <c r="AA607" s="17">
        <v>2</v>
      </c>
      <c r="AB607" s="17" t="s">
        <v>165</v>
      </c>
      <c r="AC607" s="1">
        <f t="shared" si="27"/>
        <v>1</v>
      </c>
      <c r="AD607" s="1">
        <f t="shared" si="28"/>
        <v>0</v>
      </c>
      <c r="AE607" s="1">
        <f t="shared" si="29"/>
        <v>0</v>
      </c>
    </row>
    <row r="608" spans="19:31">
      <c r="S608" s="17">
        <v>15</v>
      </c>
      <c r="T608" s="18"/>
      <c r="U608" s="17">
        <v>1</v>
      </c>
      <c r="V608" s="17" t="s">
        <v>49</v>
      </c>
      <c r="W608" s="18">
        <v>36</v>
      </c>
      <c r="X608" s="18" t="s">
        <v>342</v>
      </c>
      <c r="Y608" s="18">
        <v>39</v>
      </c>
      <c r="Z608" s="17" t="s">
        <v>29</v>
      </c>
      <c r="AA608" s="17">
        <v>2</v>
      </c>
      <c r="AB608" s="17" t="s">
        <v>173</v>
      </c>
      <c r="AC608" s="1">
        <f t="shared" si="27"/>
        <v>0</v>
      </c>
      <c r="AD608" s="1">
        <f t="shared" si="28"/>
        <v>0</v>
      </c>
      <c r="AE608" s="1">
        <f t="shared" si="29"/>
        <v>1</v>
      </c>
    </row>
    <row r="609" spans="19:31">
      <c r="S609" s="58" t="s">
        <v>339</v>
      </c>
      <c r="T609" s="58" t="s">
        <v>340</v>
      </c>
      <c r="U609" s="58" t="s">
        <v>341</v>
      </c>
      <c r="V609" s="58" t="s">
        <v>1</v>
      </c>
      <c r="W609" s="66" t="s">
        <v>220</v>
      </c>
      <c r="X609" s="66"/>
      <c r="Y609" s="66"/>
      <c r="Z609" s="58" t="s">
        <v>1</v>
      </c>
      <c r="AA609" s="58" t="s">
        <v>341</v>
      </c>
      <c r="AB609" s="58" t="s">
        <v>395</v>
      </c>
      <c r="AC609" s="1">
        <f t="shared" si="27"/>
        <v>1</v>
      </c>
      <c r="AD609" s="1">
        <f t="shared" si="28"/>
        <v>0</v>
      </c>
      <c r="AE609" s="1">
        <f t="shared" si="29"/>
        <v>0</v>
      </c>
    </row>
    <row r="610" spans="19:31">
      <c r="S610" s="17">
        <v>1</v>
      </c>
      <c r="T610" s="18"/>
      <c r="U610" s="17">
        <v>1</v>
      </c>
      <c r="V610" s="17" t="s">
        <v>103</v>
      </c>
      <c r="W610" s="18">
        <v>36</v>
      </c>
      <c r="X610" s="18" t="s">
        <v>342</v>
      </c>
      <c r="Y610" s="18">
        <v>33</v>
      </c>
      <c r="Z610" s="17" t="s">
        <v>37</v>
      </c>
      <c r="AA610" s="17">
        <v>2</v>
      </c>
      <c r="AB610" s="17" t="s">
        <v>177</v>
      </c>
      <c r="AC610" s="1">
        <f t="shared" si="27"/>
        <v>1</v>
      </c>
      <c r="AD610" s="1">
        <f t="shared" si="28"/>
        <v>0</v>
      </c>
      <c r="AE610" s="1">
        <f t="shared" si="29"/>
        <v>0</v>
      </c>
    </row>
    <row r="611" spans="19:31">
      <c r="S611" s="17">
        <v>2</v>
      </c>
      <c r="T611" s="18"/>
      <c r="U611" s="17">
        <v>1</v>
      </c>
      <c r="V611" s="17" t="s">
        <v>103</v>
      </c>
      <c r="W611" s="18">
        <v>45</v>
      </c>
      <c r="X611" s="18" t="s">
        <v>342</v>
      </c>
      <c r="Y611" s="18">
        <v>8</v>
      </c>
      <c r="Z611" s="17" t="s">
        <v>45</v>
      </c>
      <c r="AA611" s="17">
        <v>2</v>
      </c>
      <c r="AB611" s="17" t="s">
        <v>165</v>
      </c>
      <c r="AC611" s="1">
        <f t="shared" si="27"/>
        <v>1</v>
      </c>
      <c r="AD611" s="1">
        <f t="shared" si="28"/>
        <v>0</v>
      </c>
      <c r="AE611" s="1">
        <f t="shared" si="29"/>
        <v>0</v>
      </c>
    </row>
    <row r="612" spans="19:31">
      <c r="S612" s="17">
        <v>3</v>
      </c>
      <c r="T612" s="18"/>
      <c r="U612" s="17">
        <v>1</v>
      </c>
      <c r="V612" s="17" t="s">
        <v>103</v>
      </c>
      <c r="W612" s="18">
        <v>45</v>
      </c>
      <c r="X612" s="18" t="s">
        <v>342</v>
      </c>
      <c r="Y612" s="18">
        <v>3</v>
      </c>
      <c r="Z612" s="17" t="s">
        <v>95</v>
      </c>
      <c r="AA612" s="17">
        <v>2</v>
      </c>
      <c r="AB612" s="17" t="s">
        <v>181</v>
      </c>
      <c r="AC612" s="1">
        <f t="shared" si="27"/>
        <v>1</v>
      </c>
      <c r="AD612" s="1">
        <f t="shared" si="28"/>
        <v>0</v>
      </c>
      <c r="AE612" s="1">
        <f t="shared" si="29"/>
        <v>0</v>
      </c>
    </row>
    <row r="613" spans="19:31">
      <c r="S613" s="17">
        <v>4</v>
      </c>
      <c r="T613" s="18"/>
      <c r="U613" s="17">
        <v>1</v>
      </c>
      <c r="V613" s="17" t="s">
        <v>103</v>
      </c>
      <c r="W613" s="18">
        <v>45</v>
      </c>
      <c r="X613" s="18" t="s">
        <v>342</v>
      </c>
      <c r="Y613" s="18">
        <v>21</v>
      </c>
      <c r="Z613" s="17" t="s">
        <v>61</v>
      </c>
      <c r="AA613" s="17">
        <v>2</v>
      </c>
      <c r="AB613" s="17" t="s">
        <v>173</v>
      </c>
      <c r="AC613" s="1">
        <f t="shared" si="27"/>
        <v>1</v>
      </c>
      <c r="AD613" s="1">
        <f t="shared" si="28"/>
        <v>0</v>
      </c>
      <c r="AE613" s="1">
        <f t="shared" si="29"/>
        <v>0</v>
      </c>
    </row>
    <row r="614" spans="19:31">
      <c r="S614" s="17">
        <v>5</v>
      </c>
      <c r="T614" s="18"/>
      <c r="U614" s="17">
        <v>2</v>
      </c>
      <c r="V614" s="17" t="s">
        <v>103</v>
      </c>
      <c r="W614" s="18">
        <v>42</v>
      </c>
      <c r="X614" s="18" t="s">
        <v>342</v>
      </c>
      <c r="Y614" s="18">
        <v>1</v>
      </c>
      <c r="Z614" s="17" t="s">
        <v>109</v>
      </c>
      <c r="AA614" s="17">
        <v>1</v>
      </c>
      <c r="AB614" s="17" t="s">
        <v>177</v>
      </c>
      <c r="AC614" s="1">
        <f t="shared" si="27"/>
        <v>1</v>
      </c>
      <c r="AD614" s="1">
        <f t="shared" si="28"/>
        <v>0</v>
      </c>
      <c r="AE614" s="1">
        <f t="shared" si="29"/>
        <v>0</v>
      </c>
    </row>
    <row r="615" spans="19:31">
      <c r="S615" s="17">
        <v>6</v>
      </c>
      <c r="T615" s="18"/>
      <c r="U615" s="17">
        <v>2</v>
      </c>
      <c r="V615" s="17" t="s">
        <v>103</v>
      </c>
      <c r="W615" s="18">
        <v>45</v>
      </c>
      <c r="X615" s="18" t="s">
        <v>342</v>
      </c>
      <c r="Y615" s="18">
        <v>5</v>
      </c>
      <c r="Z615" s="17" t="s">
        <v>91</v>
      </c>
      <c r="AA615" s="17">
        <v>1</v>
      </c>
      <c r="AB615" s="17" t="s">
        <v>181</v>
      </c>
      <c r="AC615" s="1">
        <f t="shared" si="27"/>
        <v>1</v>
      </c>
      <c r="AD615" s="1">
        <f t="shared" si="28"/>
        <v>0</v>
      </c>
      <c r="AE615" s="1">
        <f t="shared" si="29"/>
        <v>0</v>
      </c>
    </row>
    <row r="616" spans="19:31">
      <c r="S616" s="17">
        <v>7</v>
      </c>
      <c r="T616" s="18"/>
      <c r="U616" s="17">
        <v>1</v>
      </c>
      <c r="V616" s="17" t="s">
        <v>103</v>
      </c>
      <c r="W616" s="18">
        <v>45</v>
      </c>
      <c r="X616" s="18" t="s">
        <v>342</v>
      </c>
      <c r="Y616" s="18">
        <v>0</v>
      </c>
      <c r="Z616" s="17" t="s">
        <v>343</v>
      </c>
      <c r="AA616" s="17">
        <v>2</v>
      </c>
      <c r="AB616" s="17" t="s">
        <v>165</v>
      </c>
      <c r="AC616" s="1">
        <f t="shared" si="27"/>
        <v>1</v>
      </c>
      <c r="AD616" s="1">
        <f t="shared" si="28"/>
        <v>0</v>
      </c>
      <c r="AE616" s="1">
        <f t="shared" si="29"/>
        <v>0</v>
      </c>
    </row>
    <row r="617" spans="19:31">
      <c r="S617" s="17">
        <v>8</v>
      </c>
      <c r="T617" s="18"/>
      <c r="U617" s="17">
        <v>2</v>
      </c>
      <c r="V617" s="17" t="s">
        <v>103</v>
      </c>
      <c r="W617" s="18">
        <v>45</v>
      </c>
      <c r="X617" s="18" t="s">
        <v>342</v>
      </c>
      <c r="Y617" s="18">
        <v>0</v>
      </c>
      <c r="Z617" s="17" t="s">
        <v>343</v>
      </c>
      <c r="AA617" s="17">
        <v>1</v>
      </c>
      <c r="AB617" s="17" t="s">
        <v>173</v>
      </c>
      <c r="AC617" s="1">
        <f t="shared" si="27"/>
        <v>1</v>
      </c>
      <c r="AD617" s="1">
        <f t="shared" si="28"/>
        <v>0</v>
      </c>
      <c r="AE617" s="1">
        <f t="shared" si="29"/>
        <v>0</v>
      </c>
    </row>
    <row r="618" spans="19:31">
      <c r="S618" s="17">
        <v>9</v>
      </c>
      <c r="T618" s="18"/>
      <c r="U618" s="17">
        <v>1</v>
      </c>
      <c r="V618" s="17" t="s">
        <v>103</v>
      </c>
      <c r="W618" s="18">
        <v>30</v>
      </c>
      <c r="X618" s="18" t="s">
        <v>342</v>
      </c>
      <c r="Y618" s="18">
        <v>45</v>
      </c>
      <c r="Z618" s="17" t="s">
        <v>121</v>
      </c>
      <c r="AA618" s="17">
        <v>2</v>
      </c>
      <c r="AB618" s="17" t="s">
        <v>181</v>
      </c>
      <c r="AC618" s="1">
        <f t="shared" si="27"/>
        <v>0</v>
      </c>
      <c r="AD618" s="1">
        <f t="shared" si="28"/>
        <v>0</v>
      </c>
      <c r="AE618" s="1">
        <f t="shared" si="29"/>
        <v>1</v>
      </c>
    </row>
    <row r="619" spans="19:31">
      <c r="S619" s="17">
        <v>10</v>
      </c>
      <c r="T619" s="18"/>
      <c r="U619" s="17">
        <v>1</v>
      </c>
      <c r="V619" s="17" t="s">
        <v>103</v>
      </c>
      <c r="W619" s="18">
        <v>19</v>
      </c>
      <c r="X619" s="18" t="s">
        <v>342</v>
      </c>
      <c r="Y619" s="18">
        <v>45</v>
      </c>
      <c r="Z619" s="17" t="s">
        <v>81</v>
      </c>
      <c r="AA619" s="17">
        <v>2</v>
      </c>
      <c r="AB619" s="17" t="s">
        <v>177</v>
      </c>
      <c r="AC619" s="1">
        <f t="shared" si="27"/>
        <v>0</v>
      </c>
      <c r="AD619" s="1">
        <f t="shared" si="28"/>
        <v>0</v>
      </c>
      <c r="AE619" s="1">
        <f t="shared" si="29"/>
        <v>1</v>
      </c>
    </row>
    <row r="620" spans="19:31">
      <c r="S620" s="17">
        <v>11</v>
      </c>
      <c r="T620" s="18"/>
      <c r="U620" s="17">
        <v>2</v>
      </c>
      <c r="V620" s="17" t="s">
        <v>103</v>
      </c>
      <c r="W620" s="18">
        <v>33</v>
      </c>
      <c r="X620" s="18" t="s">
        <v>342</v>
      </c>
      <c r="Y620" s="18">
        <v>42</v>
      </c>
      <c r="Z620" s="17" t="s">
        <v>71</v>
      </c>
      <c r="AA620" s="17">
        <v>1</v>
      </c>
      <c r="AB620" s="17" t="s">
        <v>173</v>
      </c>
      <c r="AC620" s="1">
        <f t="shared" si="27"/>
        <v>0</v>
      </c>
      <c r="AD620" s="1">
        <f t="shared" si="28"/>
        <v>0</v>
      </c>
      <c r="AE620" s="1">
        <f t="shared" si="29"/>
        <v>1</v>
      </c>
    </row>
    <row r="621" spans="19:31">
      <c r="S621" s="17">
        <v>12</v>
      </c>
      <c r="T621" s="18"/>
      <c r="U621" s="17">
        <v>1</v>
      </c>
      <c r="V621" s="17" t="s">
        <v>103</v>
      </c>
      <c r="W621" s="18">
        <v>36</v>
      </c>
      <c r="X621" s="18" t="s">
        <v>342</v>
      </c>
      <c r="Y621" s="18">
        <v>39</v>
      </c>
      <c r="Z621" s="17" t="s">
        <v>83</v>
      </c>
      <c r="AA621" s="17">
        <v>2</v>
      </c>
      <c r="AB621" s="17" t="s">
        <v>165</v>
      </c>
      <c r="AC621" s="1">
        <f t="shared" si="27"/>
        <v>0</v>
      </c>
      <c r="AD621" s="1">
        <f t="shared" si="28"/>
        <v>0</v>
      </c>
      <c r="AE621" s="1">
        <f t="shared" si="29"/>
        <v>1</v>
      </c>
    </row>
    <row r="622" spans="19:31">
      <c r="S622" s="17">
        <v>13</v>
      </c>
      <c r="T622" s="18"/>
      <c r="U622" s="17">
        <v>2</v>
      </c>
      <c r="V622" s="17" t="s">
        <v>103</v>
      </c>
      <c r="W622" s="18">
        <v>36</v>
      </c>
      <c r="X622" s="18" t="s">
        <v>342</v>
      </c>
      <c r="Y622" s="18">
        <v>39</v>
      </c>
      <c r="Z622" s="17" t="s">
        <v>49</v>
      </c>
      <c r="AA622" s="17">
        <v>1</v>
      </c>
      <c r="AB622" s="17" t="s">
        <v>177</v>
      </c>
      <c r="AC622" s="1">
        <f t="shared" si="27"/>
        <v>0</v>
      </c>
      <c r="AD622" s="1">
        <f t="shared" si="28"/>
        <v>0</v>
      </c>
      <c r="AE622" s="1">
        <f t="shared" si="29"/>
        <v>1</v>
      </c>
    </row>
    <row r="623" spans="19:31">
      <c r="S623" s="17">
        <v>14</v>
      </c>
      <c r="T623" s="18"/>
      <c r="U623" s="17">
        <v>1</v>
      </c>
      <c r="V623" s="17" t="s">
        <v>103</v>
      </c>
      <c r="W623" s="18">
        <v>36</v>
      </c>
      <c r="X623" s="18" t="s">
        <v>342</v>
      </c>
      <c r="Y623" s="18">
        <v>31</v>
      </c>
      <c r="Z623" s="17" t="s">
        <v>29</v>
      </c>
      <c r="AA623" s="17">
        <v>2</v>
      </c>
      <c r="AB623" s="17" t="s">
        <v>165</v>
      </c>
      <c r="AC623" s="1">
        <f t="shared" si="27"/>
        <v>1</v>
      </c>
      <c r="AD623" s="1">
        <f t="shared" si="28"/>
        <v>0</v>
      </c>
      <c r="AE623" s="1">
        <f t="shared" si="29"/>
        <v>0</v>
      </c>
    </row>
    <row r="624" spans="19:31">
      <c r="S624" s="17">
        <v>15</v>
      </c>
      <c r="T624" s="18"/>
      <c r="U624" s="17">
        <v>2</v>
      </c>
      <c r="V624" s="17" t="s">
        <v>103</v>
      </c>
      <c r="W624" s="18">
        <v>42</v>
      </c>
      <c r="X624" s="18" t="s">
        <v>342</v>
      </c>
      <c r="Y624" s="18">
        <v>33</v>
      </c>
      <c r="Z624" s="17" t="s">
        <v>99</v>
      </c>
      <c r="AA624" s="17">
        <v>1</v>
      </c>
      <c r="AB624" s="17" t="s">
        <v>173</v>
      </c>
      <c r="AC624" s="1">
        <f t="shared" si="27"/>
        <v>1</v>
      </c>
      <c r="AD624" s="1">
        <f t="shared" si="28"/>
        <v>0</v>
      </c>
      <c r="AE624" s="1">
        <f t="shared" si="29"/>
        <v>0</v>
      </c>
    </row>
    <row r="625" spans="19:31">
      <c r="S625" s="58" t="s">
        <v>339</v>
      </c>
      <c r="T625" s="58" t="s">
        <v>340</v>
      </c>
      <c r="U625" s="58" t="s">
        <v>341</v>
      </c>
      <c r="V625" s="58" t="s">
        <v>1</v>
      </c>
      <c r="W625" s="66" t="s">
        <v>220</v>
      </c>
      <c r="X625" s="66"/>
      <c r="Y625" s="66"/>
      <c r="Z625" s="58" t="s">
        <v>1</v>
      </c>
      <c r="AA625" s="58" t="s">
        <v>341</v>
      </c>
      <c r="AB625" s="58" t="s">
        <v>395</v>
      </c>
      <c r="AC625" s="1">
        <f t="shared" si="27"/>
        <v>1</v>
      </c>
      <c r="AD625" s="1">
        <f t="shared" si="28"/>
        <v>0</v>
      </c>
      <c r="AE625" s="1">
        <f t="shared" si="29"/>
        <v>0</v>
      </c>
    </row>
    <row r="626" spans="19:31">
      <c r="S626" s="17">
        <v>1</v>
      </c>
      <c r="T626" s="18"/>
      <c r="U626" s="17">
        <v>1</v>
      </c>
      <c r="V626" s="17" t="s">
        <v>99</v>
      </c>
      <c r="W626" s="18">
        <v>34</v>
      </c>
      <c r="X626" s="18" t="s">
        <v>342</v>
      </c>
      <c r="Y626" s="18">
        <v>30</v>
      </c>
      <c r="Z626" s="17" t="s">
        <v>45</v>
      </c>
      <c r="AA626" s="17">
        <v>2</v>
      </c>
      <c r="AB626" s="17" t="s">
        <v>177</v>
      </c>
      <c r="AC626" s="1">
        <f t="shared" si="27"/>
        <v>1</v>
      </c>
      <c r="AD626" s="1">
        <f t="shared" si="28"/>
        <v>0</v>
      </c>
      <c r="AE626" s="1">
        <f t="shared" si="29"/>
        <v>0</v>
      </c>
    </row>
    <row r="627" spans="19:31">
      <c r="S627" s="17">
        <v>2</v>
      </c>
      <c r="T627" s="18"/>
      <c r="U627" s="17">
        <v>1</v>
      </c>
      <c r="V627" s="17" t="s">
        <v>99</v>
      </c>
      <c r="W627" s="18">
        <v>33</v>
      </c>
      <c r="X627" s="18" t="s">
        <v>342</v>
      </c>
      <c r="Y627" s="18">
        <v>27</v>
      </c>
      <c r="Z627" s="17" t="s">
        <v>37</v>
      </c>
      <c r="AA627" s="17">
        <v>2</v>
      </c>
      <c r="AB627" s="17" t="s">
        <v>165</v>
      </c>
      <c r="AC627" s="1">
        <f t="shared" si="27"/>
        <v>1</v>
      </c>
      <c r="AD627" s="1">
        <f t="shared" si="28"/>
        <v>0</v>
      </c>
      <c r="AE627" s="1">
        <f t="shared" si="29"/>
        <v>0</v>
      </c>
    </row>
    <row r="628" spans="19:31">
      <c r="S628" s="17">
        <v>3</v>
      </c>
      <c r="T628" s="18"/>
      <c r="U628" s="17">
        <v>1</v>
      </c>
      <c r="V628" s="17" t="s">
        <v>99</v>
      </c>
      <c r="W628" s="18">
        <v>45</v>
      </c>
      <c r="X628" s="18" t="s">
        <v>342</v>
      </c>
      <c r="Y628" s="18">
        <v>18</v>
      </c>
      <c r="Z628" s="17" t="s">
        <v>61</v>
      </c>
      <c r="AA628" s="17">
        <v>2</v>
      </c>
      <c r="AB628" s="17" t="s">
        <v>181</v>
      </c>
      <c r="AC628" s="1">
        <f t="shared" si="27"/>
        <v>1</v>
      </c>
      <c r="AD628" s="1">
        <f t="shared" si="28"/>
        <v>0</v>
      </c>
      <c r="AE628" s="1">
        <f t="shared" si="29"/>
        <v>0</v>
      </c>
    </row>
    <row r="629" spans="19:31">
      <c r="S629" s="17">
        <v>4</v>
      </c>
      <c r="T629" s="18"/>
      <c r="U629" s="17">
        <v>1</v>
      </c>
      <c r="V629" s="17" t="s">
        <v>99</v>
      </c>
      <c r="W629" s="18">
        <v>45</v>
      </c>
      <c r="X629" s="18" t="s">
        <v>342</v>
      </c>
      <c r="Y629" s="18">
        <v>21</v>
      </c>
      <c r="Z629" s="17" t="s">
        <v>95</v>
      </c>
      <c r="AA629" s="17">
        <v>2</v>
      </c>
      <c r="AB629" s="17" t="s">
        <v>173</v>
      </c>
      <c r="AC629" s="1">
        <f t="shared" si="27"/>
        <v>1</v>
      </c>
      <c r="AD629" s="1">
        <f t="shared" si="28"/>
        <v>0</v>
      </c>
      <c r="AE629" s="1">
        <f t="shared" si="29"/>
        <v>0</v>
      </c>
    </row>
    <row r="630" spans="19:31">
      <c r="S630" s="17">
        <v>5</v>
      </c>
      <c r="T630" s="18"/>
      <c r="U630" s="17">
        <v>2</v>
      </c>
      <c r="V630" s="17" t="s">
        <v>99</v>
      </c>
      <c r="W630" s="18">
        <v>45</v>
      </c>
      <c r="X630" s="18" t="s">
        <v>342</v>
      </c>
      <c r="Y630" s="18">
        <v>0</v>
      </c>
      <c r="Z630" s="17" t="s">
        <v>91</v>
      </c>
      <c r="AA630" s="17">
        <v>1</v>
      </c>
      <c r="AB630" s="17" t="s">
        <v>177</v>
      </c>
      <c r="AC630" s="1">
        <f t="shared" si="27"/>
        <v>1</v>
      </c>
      <c r="AD630" s="1">
        <f t="shared" si="28"/>
        <v>0</v>
      </c>
      <c r="AE630" s="1">
        <f t="shared" si="29"/>
        <v>0</v>
      </c>
    </row>
    <row r="631" spans="19:31">
      <c r="S631" s="17">
        <v>6</v>
      </c>
      <c r="T631" s="18"/>
      <c r="U631" s="17">
        <v>1</v>
      </c>
      <c r="V631" s="17" t="s">
        <v>99</v>
      </c>
      <c r="W631" s="18">
        <v>45</v>
      </c>
      <c r="X631" s="18" t="s">
        <v>342</v>
      </c>
      <c r="Y631" s="18">
        <v>10</v>
      </c>
      <c r="Z631" s="17" t="s">
        <v>109</v>
      </c>
      <c r="AA631" s="17">
        <v>2</v>
      </c>
      <c r="AB631" s="17" t="s">
        <v>181</v>
      </c>
      <c r="AC631" s="1">
        <f t="shared" si="27"/>
        <v>1</v>
      </c>
      <c r="AD631" s="1">
        <f t="shared" si="28"/>
        <v>0</v>
      </c>
      <c r="AE631" s="1">
        <f t="shared" si="29"/>
        <v>0</v>
      </c>
    </row>
    <row r="632" spans="19:31">
      <c r="S632" s="17">
        <v>7</v>
      </c>
      <c r="T632" s="18"/>
      <c r="U632" s="17">
        <v>2</v>
      </c>
      <c r="V632" s="17" t="s">
        <v>99</v>
      </c>
      <c r="W632" s="18">
        <v>45</v>
      </c>
      <c r="X632" s="18" t="s">
        <v>342</v>
      </c>
      <c r="Y632" s="18">
        <v>0</v>
      </c>
      <c r="Z632" s="17" t="s">
        <v>343</v>
      </c>
      <c r="AA632" s="17">
        <v>1</v>
      </c>
      <c r="AB632" s="17" t="s">
        <v>165</v>
      </c>
      <c r="AC632" s="1">
        <f t="shared" si="27"/>
        <v>1</v>
      </c>
      <c r="AD632" s="1">
        <f t="shared" si="28"/>
        <v>0</v>
      </c>
      <c r="AE632" s="1">
        <f t="shared" si="29"/>
        <v>0</v>
      </c>
    </row>
    <row r="633" spans="19:31">
      <c r="S633" s="17">
        <v>8</v>
      </c>
      <c r="T633" s="18"/>
      <c r="U633" s="17">
        <v>1</v>
      </c>
      <c r="V633" s="17" t="s">
        <v>99</v>
      </c>
      <c r="W633" s="18">
        <v>45</v>
      </c>
      <c r="X633" s="18" t="s">
        <v>342</v>
      </c>
      <c r="Y633" s="18">
        <v>0</v>
      </c>
      <c r="Z633" s="17" t="s">
        <v>343</v>
      </c>
      <c r="AA633" s="17">
        <v>2</v>
      </c>
      <c r="AB633" s="17" t="s">
        <v>173</v>
      </c>
      <c r="AC633" s="1">
        <f t="shared" si="27"/>
        <v>1</v>
      </c>
      <c r="AD633" s="1">
        <f t="shared" si="28"/>
        <v>0</v>
      </c>
      <c r="AE633" s="1">
        <f t="shared" si="29"/>
        <v>0</v>
      </c>
    </row>
    <row r="634" spans="19:31">
      <c r="S634" s="17">
        <v>9</v>
      </c>
      <c r="T634" s="18"/>
      <c r="U634" s="17">
        <v>2</v>
      </c>
      <c r="V634" s="17" t="s">
        <v>99</v>
      </c>
      <c r="W634" s="18">
        <v>27</v>
      </c>
      <c r="X634" s="18" t="s">
        <v>342</v>
      </c>
      <c r="Y634" s="18">
        <v>45</v>
      </c>
      <c r="Z634" s="17" t="s">
        <v>81</v>
      </c>
      <c r="AA634" s="17">
        <v>1</v>
      </c>
      <c r="AB634" s="17" t="s">
        <v>181</v>
      </c>
      <c r="AC634" s="1">
        <f t="shared" si="27"/>
        <v>0</v>
      </c>
      <c r="AD634" s="1">
        <f t="shared" si="28"/>
        <v>0</v>
      </c>
      <c r="AE634" s="1">
        <f t="shared" si="29"/>
        <v>1</v>
      </c>
    </row>
    <row r="635" spans="19:31">
      <c r="S635" s="17">
        <v>10</v>
      </c>
      <c r="T635" s="18"/>
      <c r="U635" s="17">
        <v>1</v>
      </c>
      <c r="V635" s="17" t="s">
        <v>99</v>
      </c>
      <c r="W635" s="18">
        <v>21</v>
      </c>
      <c r="X635" s="18" t="s">
        <v>342</v>
      </c>
      <c r="Y635" s="18">
        <v>45</v>
      </c>
      <c r="Z635" s="17" t="s">
        <v>121</v>
      </c>
      <c r="AA635" s="17">
        <v>2</v>
      </c>
      <c r="AB635" s="17" t="s">
        <v>177</v>
      </c>
      <c r="AC635" s="1">
        <f t="shared" si="27"/>
        <v>0</v>
      </c>
      <c r="AD635" s="1">
        <f t="shared" si="28"/>
        <v>0</v>
      </c>
      <c r="AE635" s="1">
        <f t="shared" si="29"/>
        <v>1</v>
      </c>
    </row>
    <row r="636" spans="19:31">
      <c r="S636" s="17">
        <v>11</v>
      </c>
      <c r="T636" s="18"/>
      <c r="U636" s="17">
        <v>1</v>
      </c>
      <c r="V636" s="17" t="s">
        <v>99</v>
      </c>
      <c r="W636" s="18">
        <v>27</v>
      </c>
      <c r="X636" s="18" t="s">
        <v>342</v>
      </c>
      <c r="Y636" s="18">
        <v>45</v>
      </c>
      <c r="Z636" s="17" t="s">
        <v>83</v>
      </c>
      <c r="AA636" s="17">
        <v>2</v>
      </c>
      <c r="AB636" s="17" t="s">
        <v>173</v>
      </c>
      <c r="AC636" s="1">
        <f t="shared" si="27"/>
        <v>0</v>
      </c>
      <c r="AD636" s="1">
        <f t="shared" si="28"/>
        <v>0</v>
      </c>
      <c r="AE636" s="1">
        <f t="shared" si="29"/>
        <v>1</v>
      </c>
    </row>
    <row r="637" spans="19:31">
      <c r="S637" s="17">
        <v>12</v>
      </c>
      <c r="T637" s="18"/>
      <c r="U637" s="17">
        <v>1</v>
      </c>
      <c r="V637" s="17" t="s">
        <v>99</v>
      </c>
      <c r="W637" s="18">
        <v>30</v>
      </c>
      <c r="X637" s="18" t="s">
        <v>342</v>
      </c>
      <c r="Y637" s="18">
        <v>42</v>
      </c>
      <c r="Z637" s="17" t="s">
        <v>71</v>
      </c>
      <c r="AA637" s="17">
        <v>2</v>
      </c>
      <c r="AB637" s="17" t="s">
        <v>165</v>
      </c>
      <c r="AC637" s="1">
        <f t="shared" si="27"/>
        <v>0</v>
      </c>
      <c r="AD637" s="1">
        <f t="shared" si="28"/>
        <v>0</v>
      </c>
      <c r="AE637" s="1">
        <f t="shared" si="29"/>
        <v>1</v>
      </c>
    </row>
    <row r="638" spans="19:31">
      <c r="S638" s="17">
        <v>13</v>
      </c>
      <c r="T638" s="18"/>
      <c r="U638" s="17">
        <v>2</v>
      </c>
      <c r="V638" s="17" t="s">
        <v>99</v>
      </c>
      <c r="W638" s="18">
        <v>28</v>
      </c>
      <c r="X638" s="18" t="s">
        <v>342</v>
      </c>
      <c r="Y638" s="18">
        <v>42</v>
      </c>
      <c r="Z638" s="17" t="s">
        <v>29</v>
      </c>
      <c r="AA638" s="17">
        <v>1</v>
      </c>
      <c r="AB638" s="17" t="s">
        <v>177</v>
      </c>
      <c r="AC638" s="1">
        <f t="shared" si="27"/>
        <v>0</v>
      </c>
      <c r="AD638" s="1">
        <f t="shared" si="28"/>
        <v>0</v>
      </c>
      <c r="AE638" s="1">
        <f t="shared" si="29"/>
        <v>1</v>
      </c>
    </row>
    <row r="639" spans="19:31">
      <c r="S639" s="17">
        <v>14</v>
      </c>
      <c r="T639" s="18"/>
      <c r="U639" s="17">
        <v>2</v>
      </c>
      <c r="V639" s="17" t="s">
        <v>99</v>
      </c>
      <c r="W639" s="18">
        <v>19</v>
      </c>
      <c r="X639" s="18" t="s">
        <v>342</v>
      </c>
      <c r="Y639" s="18">
        <v>45</v>
      </c>
      <c r="Z639" s="17" t="s">
        <v>49</v>
      </c>
      <c r="AA639" s="17">
        <v>1</v>
      </c>
      <c r="AB639" s="17" t="s">
        <v>165</v>
      </c>
      <c r="AC639" s="1">
        <f t="shared" si="27"/>
        <v>0</v>
      </c>
      <c r="AD639" s="1">
        <f t="shared" si="28"/>
        <v>0</v>
      </c>
      <c r="AE639" s="1">
        <f t="shared" si="29"/>
        <v>1</v>
      </c>
    </row>
    <row r="640" spans="19:31">
      <c r="S640" s="17">
        <v>15</v>
      </c>
      <c r="T640" s="18"/>
      <c r="U640" s="17">
        <v>1</v>
      </c>
      <c r="V640" s="17" t="s">
        <v>99</v>
      </c>
      <c r="W640" s="18">
        <v>33</v>
      </c>
      <c r="X640" s="18" t="s">
        <v>342</v>
      </c>
      <c r="Y640" s="18">
        <v>42</v>
      </c>
      <c r="Z640" s="17" t="s">
        <v>103</v>
      </c>
      <c r="AA640" s="17">
        <v>2</v>
      </c>
      <c r="AB640" s="17" t="s">
        <v>173</v>
      </c>
      <c r="AC640" s="1">
        <f t="shared" si="27"/>
        <v>0</v>
      </c>
      <c r="AD640" s="1">
        <f t="shared" si="28"/>
        <v>0</v>
      </c>
      <c r="AE640" s="1">
        <f t="shared" si="29"/>
        <v>1</v>
      </c>
    </row>
    <row r="641" spans="19:31">
      <c r="S641" s="58" t="s">
        <v>339</v>
      </c>
      <c r="T641" s="58" t="s">
        <v>340</v>
      </c>
      <c r="U641" s="58" t="s">
        <v>341</v>
      </c>
      <c r="V641" s="58" t="s">
        <v>1</v>
      </c>
      <c r="W641" s="66" t="s">
        <v>220</v>
      </c>
      <c r="X641" s="66"/>
      <c r="Y641" s="66"/>
      <c r="Z641" s="58" t="s">
        <v>1</v>
      </c>
      <c r="AA641" s="58" t="s">
        <v>341</v>
      </c>
      <c r="AB641" s="58" t="s">
        <v>395</v>
      </c>
      <c r="AC641" s="1">
        <f t="shared" ref="AC641:AC704" si="30">IF(W641="",0,IF(W641&gt;Y641,1,0))</f>
        <v>1</v>
      </c>
      <c r="AD641" s="1">
        <f t="shared" ref="AD641:AD704" si="31">IF(W641="",0,IF(W641=Y641,1,0))</f>
        <v>0</v>
      </c>
      <c r="AE641" s="1">
        <f t="shared" ref="AE641:AE704" si="32">IF(W641="",0,IF(W641&lt;Y641,1,0))</f>
        <v>0</v>
      </c>
    </row>
    <row r="642" spans="19:31">
      <c r="S642" s="17">
        <v>1</v>
      </c>
      <c r="T642" s="18"/>
      <c r="U642" s="17">
        <v>2</v>
      </c>
      <c r="V642" s="17" t="s">
        <v>45</v>
      </c>
      <c r="W642" s="18">
        <v>30</v>
      </c>
      <c r="X642" s="18" t="s">
        <v>342</v>
      </c>
      <c r="Y642" s="18">
        <v>34</v>
      </c>
      <c r="Z642" s="17" t="s">
        <v>99</v>
      </c>
      <c r="AA642" s="17">
        <v>1</v>
      </c>
      <c r="AB642" s="17" t="s">
        <v>177</v>
      </c>
      <c r="AC642" s="1">
        <f t="shared" si="30"/>
        <v>0</v>
      </c>
      <c r="AD642" s="1">
        <f t="shared" si="31"/>
        <v>0</v>
      </c>
      <c r="AE642" s="1">
        <f t="shared" si="32"/>
        <v>1</v>
      </c>
    </row>
    <row r="643" spans="19:31">
      <c r="S643" s="17">
        <v>2</v>
      </c>
      <c r="T643" s="18"/>
      <c r="U643" s="17">
        <v>2</v>
      </c>
      <c r="V643" s="17" t="s">
        <v>45</v>
      </c>
      <c r="W643" s="18">
        <v>8</v>
      </c>
      <c r="X643" s="18" t="s">
        <v>342</v>
      </c>
      <c r="Y643" s="18">
        <v>45</v>
      </c>
      <c r="Z643" s="17" t="s">
        <v>103</v>
      </c>
      <c r="AA643" s="17">
        <v>1</v>
      </c>
      <c r="AB643" s="17" t="s">
        <v>165</v>
      </c>
      <c r="AC643" s="1">
        <f t="shared" si="30"/>
        <v>0</v>
      </c>
      <c r="AD643" s="1">
        <f t="shared" si="31"/>
        <v>0</v>
      </c>
      <c r="AE643" s="1">
        <f t="shared" si="32"/>
        <v>1</v>
      </c>
    </row>
    <row r="644" spans="19:31">
      <c r="S644" s="17">
        <v>3</v>
      </c>
      <c r="T644" s="18"/>
      <c r="U644" s="17">
        <v>1</v>
      </c>
      <c r="V644" s="17" t="s">
        <v>45</v>
      </c>
      <c r="W644" s="18">
        <v>25</v>
      </c>
      <c r="X644" s="18" t="s">
        <v>342</v>
      </c>
      <c r="Y644" s="18">
        <v>45</v>
      </c>
      <c r="Z644" s="17" t="s">
        <v>49</v>
      </c>
      <c r="AA644" s="17">
        <v>2</v>
      </c>
      <c r="AB644" s="17" t="s">
        <v>181</v>
      </c>
      <c r="AC644" s="1">
        <f t="shared" si="30"/>
        <v>0</v>
      </c>
      <c r="AD644" s="1">
        <f t="shared" si="31"/>
        <v>0</v>
      </c>
      <c r="AE644" s="1">
        <f t="shared" si="32"/>
        <v>1</v>
      </c>
    </row>
    <row r="645" spans="19:31">
      <c r="S645" s="17">
        <v>4</v>
      </c>
      <c r="T645" s="18"/>
      <c r="U645" s="17">
        <v>2</v>
      </c>
      <c r="V645" s="17" t="s">
        <v>45</v>
      </c>
      <c r="W645" s="18">
        <v>30</v>
      </c>
      <c r="X645" s="18" t="s">
        <v>342</v>
      </c>
      <c r="Y645" s="18">
        <v>45</v>
      </c>
      <c r="Z645" s="17" t="s">
        <v>29</v>
      </c>
      <c r="AA645" s="17">
        <v>1</v>
      </c>
      <c r="AB645" s="17" t="s">
        <v>173</v>
      </c>
      <c r="AC645" s="1">
        <f t="shared" si="30"/>
        <v>0</v>
      </c>
      <c r="AD645" s="1">
        <f t="shared" si="31"/>
        <v>0</v>
      </c>
      <c r="AE645" s="1">
        <f t="shared" si="32"/>
        <v>1</v>
      </c>
    </row>
    <row r="646" spans="19:31">
      <c r="S646" s="17">
        <v>5</v>
      </c>
      <c r="T646" s="18"/>
      <c r="U646" s="17">
        <v>1</v>
      </c>
      <c r="V646" s="17" t="s">
        <v>45</v>
      </c>
      <c r="W646" s="18">
        <v>7</v>
      </c>
      <c r="X646" s="18" t="s">
        <v>342</v>
      </c>
      <c r="Y646" s="18">
        <v>45</v>
      </c>
      <c r="Z646" s="17" t="s">
        <v>71</v>
      </c>
      <c r="AA646" s="17">
        <v>2</v>
      </c>
      <c r="AB646" s="17" t="s">
        <v>177</v>
      </c>
      <c r="AC646" s="1">
        <f t="shared" si="30"/>
        <v>0</v>
      </c>
      <c r="AD646" s="1">
        <f t="shared" si="31"/>
        <v>0</v>
      </c>
      <c r="AE646" s="1">
        <f t="shared" si="32"/>
        <v>1</v>
      </c>
    </row>
    <row r="647" spans="19:31">
      <c r="S647" s="17">
        <v>6</v>
      </c>
      <c r="T647" s="18"/>
      <c r="U647" s="17">
        <v>1</v>
      </c>
      <c r="V647" s="17" t="s">
        <v>45</v>
      </c>
      <c r="W647" s="18">
        <v>28</v>
      </c>
      <c r="X647" s="18" t="s">
        <v>342</v>
      </c>
      <c r="Y647" s="18">
        <v>42</v>
      </c>
      <c r="Z647" s="17" t="s">
        <v>83</v>
      </c>
      <c r="AA647" s="17">
        <v>2</v>
      </c>
      <c r="AB647" s="17" t="s">
        <v>181</v>
      </c>
      <c r="AC647" s="1">
        <f t="shared" si="30"/>
        <v>0</v>
      </c>
      <c r="AD647" s="1">
        <f t="shared" si="31"/>
        <v>0</v>
      </c>
      <c r="AE647" s="1">
        <f t="shared" si="32"/>
        <v>1</v>
      </c>
    </row>
    <row r="648" spans="19:31">
      <c r="S648" s="17">
        <v>7</v>
      </c>
      <c r="T648" s="18"/>
      <c r="U648" s="17">
        <v>2</v>
      </c>
      <c r="V648" s="17" t="s">
        <v>45</v>
      </c>
      <c r="W648" s="18">
        <v>18</v>
      </c>
      <c r="X648" s="18" t="s">
        <v>342</v>
      </c>
      <c r="Y648" s="18">
        <v>45</v>
      </c>
      <c r="Z648" s="17" t="s">
        <v>121</v>
      </c>
      <c r="AA648" s="17">
        <v>1</v>
      </c>
      <c r="AB648" s="17" t="s">
        <v>165</v>
      </c>
      <c r="AC648" s="1">
        <f t="shared" si="30"/>
        <v>0</v>
      </c>
      <c r="AD648" s="1">
        <f t="shared" si="31"/>
        <v>0</v>
      </c>
      <c r="AE648" s="1">
        <f t="shared" si="32"/>
        <v>1</v>
      </c>
    </row>
    <row r="649" spans="19:31">
      <c r="S649" s="17">
        <v>8</v>
      </c>
      <c r="T649" s="18"/>
      <c r="U649" s="17">
        <v>2</v>
      </c>
      <c r="V649" s="17" t="s">
        <v>45</v>
      </c>
      <c r="W649" s="18">
        <v>30</v>
      </c>
      <c r="X649" s="18" t="s">
        <v>342</v>
      </c>
      <c r="Y649" s="18">
        <v>45</v>
      </c>
      <c r="Z649" s="17" t="s">
        <v>81</v>
      </c>
      <c r="AA649" s="17">
        <v>1</v>
      </c>
      <c r="AB649" s="17" t="s">
        <v>173</v>
      </c>
      <c r="AC649" s="1">
        <f t="shared" si="30"/>
        <v>0</v>
      </c>
      <c r="AD649" s="1">
        <f t="shared" si="31"/>
        <v>0</v>
      </c>
      <c r="AE649" s="1">
        <f t="shared" si="32"/>
        <v>1</v>
      </c>
    </row>
    <row r="650" spans="19:31">
      <c r="S650" s="17">
        <v>9</v>
      </c>
      <c r="T650" s="18"/>
      <c r="U650" s="17">
        <v>1</v>
      </c>
      <c r="V650" s="17" t="s">
        <v>45</v>
      </c>
      <c r="W650" s="18">
        <v>45</v>
      </c>
      <c r="X650" s="18" t="s">
        <v>342</v>
      </c>
      <c r="Y650" s="18">
        <v>0</v>
      </c>
      <c r="Z650" s="17" t="s">
        <v>343</v>
      </c>
      <c r="AA650" s="17">
        <v>2</v>
      </c>
      <c r="AB650" s="17" t="s">
        <v>181</v>
      </c>
      <c r="AC650" s="1">
        <f t="shared" si="30"/>
        <v>1</v>
      </c>
      <c r="AD650" s="1">
        <f t="shared" si="31"/>
        <v>0</v>
      </c>
      <c r="AE650" s="1">
        <f t="shared" si="32"/>
        <v>0</v>
      </c>
    </row>
    <row r="651" spans="19:31">
      <c r="S651" s="17">
        <v>10</v>
      </c>
      <c r="T651" s="18"/>
      <c r="U651" s="17">
        <v>2</v>
      </c>
      <c r="V651" s="17" t="s">
        <v>45</v>
      </c>
      <c r="W651" s="18">
        <v>45</v>
      </c>
      <c r="X651" s="18" t="s">
        <v>342</v>
      </c>
      <c r="Y651" s="18">
        <v>0</v>
      </c>
      <c r="Z651" s="17" t="s">
        <v>343</v>
      </c>
      <c r="AA651" s="17">
        <v>1</v>
      </c>
      <c r="AB651" s="17" t="s">
        <v>177</v>
      </c>
      <c r="AC651" s="1">
        <f t="shared" si="30"/>
        <v>1</v>
      </c>
      <c r="AD651" s="1">
        <f t="shared" si="31"/>
        <v>0</v>
      </c>
      <c r="AE651" s="1">
        <f t="shared" si="32"/>
        <v>0</v>
      </c>
    </row>
    <row r="652" spans="19:31">
      <c r="S652" s="17">
        <v>11</v>
      </c>
      <c r="T652" s="18"/>
      <c r="U652" s="17">
        <v>2</v>
      </c>
      <c r="V652" s="17" t="s">
        <v>45</v>
      </c>
      <c r="W652" s="18">
        <v>45</v>
      </c>
      <c r="X652" s="18" t="s">
        <v>342</v>
      </c>
      <c r="Y652" s="18">
        <v>9</v>
      </c>
      <c r="Z652" s="17" t="s">
        <v>109</v>
      </c>
      <c r="AA652" s="17">
        <v>1</v>
      </c>
      <c r="AB652" s="17" t="s">
        <v>173</v>
      </c>
      <c r="AC652" s="1">
        <f t="shared" si="30"/>
        <v>1</v>
      </c>
      <c r="AD652" s="1">
        <f t="shared" si="31"/>
        <v>0</v>
      </c>
      <c r="AE652" s="1">
        <f t="shared" si="32"/>
        <v>0</v>
      </c>
    </row>
    <row r="653" spans="19:31">
      <c r="S653" s="17">
        <v>12</v>
      </c>
      <c r="T653" s="18"/>
      <c r="U653" s="17">
        <v>2</v>
      </c>
      <c r="V653" s="17" t="s">
        <v>45</v>
      </c>
      <c r="W653" s="18">
        <v>45</v>
      </c>
      <c r="X653" s="18" t="s">
        <v>342</v>
      </c>
      <c r="Y653" s="18">
        <v>3</v>
      </c>
      <c r="Z653" s="17" t="s">
        <v>91</v>
      </c>
      <c r="AA653" s="17">
        <v>1</v>
      </c>
      <c r="AB653" s="17" t="s">
        <v>165</v>
      </c>
      <c r="AC653" s="1">
        <f t="shared" si="30"/>
        <v>1</v>
      </c>
      <c r="AD653" s="1">
        <f t="shared" si="31"/>
        <v>0</v>
      </c>
      <c r="AE653" s="1">
        <f t="shared" si="32"/>
        <v>0</v>
      </c>
    </row>
    <row r="654" spans="19:31">
      <c r="S654" s="17">
        <v>13</v>
      </c>
      <c r="T654" s="18"/>
      <c r="U654" s="17">
        <v>2</v>
      </c>
      <c r="V654" s="17" t="s">
        <v>45</v>
      </c>
      <c r="W654" s="18">
        <v>45</v>
      </c>
      <c r="X654" s="18" t="s">
        <v>342</v>
      </c>
      <c r="Y654" s="18">
        <v>21</v>
      </c>
      <c r="Z654" s="17" t="s">
        <v>95</v>
      </c>
      <c r="AA654" s="17">
        <v>1</v>
      </c>
      <c r="AB654" s="17" t="s">
        <v>177</v>
      </c>
      <c r="AC654" s="1">
        <f t="shared" si="30"/>
        <v>1</v>
      </c>
      <c r="AD654" s="1">
        <f t="shared" si="31"/>
        <v>0</v>
      </c>
      <c r="AE654" s="1">
        <f t="shared" si="32"/>
        <v>0</v>
      </c>
    </row>
    <row r="655" spans="19:31">
      <c r="S655" s="17">
        <v>14</v>
      </c>
      <c r="T655" s="18"/>
      <c r="U655" s="17">
        <v>2</v>
      </c>
      <c r="V655" s="17" t="s">
        <v>45</v>
      </c>
      <c r="W655" s="18">
        <v>42</v>
      </c>
      <c r="X655" s="18" t="s">
        <v>342</v>
      </c>
      <c r="Y655" s="18">
        <v>0</v>
      </c>
      <c r="Z655" s="17" t="s">
        <v>61</v>
      </c>
      <c r="AA655" s="17">
        <v>1</v>
      </c>
      <c r="AB655" s="17" t="s">
        <v>165</v>
      </c>
      <c r="AC655" s="1">
        <f t="shared" si="30"/>
        <v>1</v>
      </c>
      <c r="AD655" s="1">
        <f t="shared" si="31"/>
        <v>0</v>
      </c>
      <c r="AE655" s="1">
        <f t="shared" si="32"/>
        <v>0</v>
      </c>
    </row>
    <row r="656" spans="19:31">
      <c r="S656" s="17">
        <v>15</v>
      </c>
      <c r="T656" s="18"/>
      <c r="U656" s="17">
        <v>2</v>
      </c>
      <c r="V656" s="17" t="s">
        <v>45</v>
      </c>
      <c r="W656" s="18">
        <v>28</v>
      </c>
      <c r="X656" s="18" t="s">
        <v>342</v>
      </c>
      <c r="Y656" s="18">
        <v>42</v>
      </c>
      <c r="Z656" s="17" t="s">
        <v>37</v>
      </c>
      <c r="AA656" s="17">
        <v>1</v>
      </c>
      <c r="AB656" s="17" t="s">
        <v>173</v>
      </c>
      <c r="AC656" s="1">
        <f t="shared" si="30"/>
        <v>0</v>
      </c>
      <c r="AD656" s="1">
        <f t="shared" si="31"/>
        <v>0</v>
      </c>
      <c r="AE656" s="1">
        <f t="shared" si="32"/>
        <v>1</v>
      </c>
    </row>
    <row r="657" spans="19:31">
      <c r="S657" s="58" t="s">
        <v>339</v>
      </c>
      <c r="T657" s="58" t="s">
        <v>340</v>
      </c>
      <c r="U657" s="58" t="s">
        <v>341</v>
      </c>
      <c r="V657" s="58" t="s">
        <v>1</v>
      </c>
      <c r="W657" s="66" t="s">
        <v>220</v>
      </c>
      <c r="X657" s="66"/>
      <c r="Y657" s="66"/>
      <c r="Z657" s="58" t="s">
        <v>1</v>
      </c>
      <c r="AA657" s="58" t="s">
        <v>341</v>
      </c>
      <c r="AB657" s="58" t="s">
        <v>395</v>
      </c>
      <c r="AC657" s="1">
        <f t="shared" si="30"/>
        <v>1</v>
      </c>
      <c r="AD657" s="1">
        <f t="shared" si="31"/>
        <v>0</v>
      </c>
      <c r="AE657" s="1">
        <f t="shared" si="32"/>
        <v>0</v>
      </c>
    </row>
    <row r="658" spans="19:31">
      <c r="S658" s="17">
        <v>1</v>
      </c>
      <c r="T658" s="18"/>
      <c r="U658" s="17">
        <v>2</v>
      </c>
      <c r="V658" s="17" t="s">
        <v>37</v>
      </c>
      <c r="W658" s="18">
        <v>33</v>
      </c>
      <c r="X658" s="18" t="s">
        <v>342</v>
      </c>
      <c r="Y658" s="18">
        <v>36</v>
      </c>
      <c r="Z658" s="17" t="s">
        <v>103</v>
      </c>
      <c r="AA658" s="17">
        <v>1</v>
      </c>
      <c r="AB658" s="17" t="s">
        <v>177</v>
      </c>
      <c r="AC658" s="1">
        <f t="shared" si="30"/>
        <v>0</v>
      </c>
      <c r="AD658" s="1">
        <f t="shared" si="31"/>
        <v>0</v>
      </c>
      <c r="AE658" s="1">
        <f t="shared" si="32"/>
        <v>1</v>
      </c>
    </row>
    <row r="659" spans="19:31">
      <c r="S659" s="17">
        <v>2</v>
      </c>
      <c r="T659" s="18"/>
      <c r="U659" s="17">
        <v>2</v>
      </c>
      <c r="V659" s="17" t="s">
        <v>37</v>
      </c>
      <c r="W659" s="18">
        <v>27</v>
      </c>
      <c r="X659" s="18" t="s">
        <v>342</v>
      </c>
      <c r="Y659" s="18">
        <v>33</v>
      </c>
      <c r="Z659" s="17" t="s">
        <v>99</v>
      </c>
      <c r="AA659" s="17">
        <v>1</v>
      </c>
      <c r="AB659" s="17" t="s">
        <v>165</v>
      </c>
      <c r="AC659" s="1">
        <f t="shared" si="30"/>
        <v>0</v>
      </c>
      <c r="AD659" s="1">
        <f t="shared" si="31"/>
        <v>0</v>
      </c>
      <c r="AE659" s="1">
        <f t="shared" si="32"/>
        <v>1</v>
      </c>
    </row>
    <row r="660" spans="19:31">
      <c r="S660" s="17">
        <v>3</v>
      </c>
      <c r="T660" s="18"/>
      <c r="U660" s="17">
        <v>1</v>
      </c>
      <c r="V660" s="17" t="s">
        <v>37</v>
      </c>
      <c r="W660" s="18">
        <v>39</v>
      </c>
      <c r="X660" s="18" t="s">
        <v>342</v>
      </c>
      <c r="Y660" s="18">
        <v>25</v>
      </c>
      <c r="Z660" s="17" t="s">
        <v>29</v>
      </c>
      <c r="AA660" s="17">
        <v>2</v>
      </c>
      <c r="AB660" s="17" t="s">
        <v>181</v>
      </c>
      <c r="AC660" s="1">
        <f t="shared" si="30"/>
        <v>1</v>
      </c>
      <c r="AD660" s="1">
        <f t="shared" si="31"/>
        <v>0</v>
      </c>
      <c r="AE660" s="1">
        <f t="shared" si="32"/>
        <v>0</v>
      </c>
    </row>
    <row r="661" spans="19:31">
      <c r="S661" s="17">
        <v>4</v>
      </c>
      <c r="T661" s="18"/>
      <c r="U661" s="17">
        <v>2</v>
      </c>
      <c r="V661" s="17" t="s">
        <v>37</v>
      </c>
      <c r="W661" s="18">
        <v>33</v>
      </c>
      <c r="X661" s="18" t="s">
        <v>342</v>
      </c>
      <c r="Y661" s="18">
        <v>39</v>
      </c>
      <c r="Z661" s="17" t="s">
        <v>49</v>
      </c>
      <c r="AA661" s="17">
        <v>1</v>
      </c>
      <c r="AB661" s="17" t="s">
        <v>173</v>
      </c>
      <c r="AC661" s="1">
        <f t="shared" si="30"/>
        <v>0</v>
      </c>
      <c r="AD661" s="1">
        <f t="shared" si="31"/>
        <v>0</v>
      </c>
      <c r="AE661" s="1">
        <f t="shared" si="32"/>
        <v>1</v>
      </c>
    </row>
    <row r="662" spans="19:31">
      <c r="S662" s="17">
        <v>5</v>
      </c>
      <c r="T662" s="18"/>
      <c r="U662" s="17">
        <v>2</v>
      </c>
      <c r="V662" s="17" t="s">
        <v>37</v>
      </c>
      <c r="W662" s="18">
        <v>24</v>
      </c>
      <c r="X662" s="18" t="s">
        <v>342</v>
      </c>
      <c r="Y662" s="18">
        <v>45</v>
      </c>
      <c r="Z662" s="17" t="s">
        <v>83</v>
      </c>
      <c r="AA662" s="17">
        <v>1</v>
      </c>
      <c r="AB662" s="17" t="s">
        <v>177</v>
      </c>
      <c r="AC662" s="1">
        <f t="shared" si="30"/>
        <v>0</v>
      </c>
      <c r="AD662" s="1">
        <f t="shared" si="31"/>
        <v>0</v>
      </c>
      <c r="AE662" s="1">
        <f t="shared" si="32"/>
        <v>1</v>
      </c>
    </row>
    <row r="663" spans="19:31">
      <c r="S663" s="17">
        <v>6</v>
      </c>
      <c r="T663" s="18"/>
      <c r="U663" s="17">
        <v>1</v>
      </c>
      <c r="V663" s="17" t="s">
        <v>37</v>
      </c>
      <c r="W663" s="18">
        <v>30</v>
      </c>
      <c r="X663" s="18" t="s">
        <v>342</v>
      </c>
      <c r="Y663" s="18">
        <v>45</v>
      </c>
      <c r="Z663" s="17" t="s">
        <v>71</v>
      </c>
      <c r="AA663" s="17">
        <v>2</v>
      </c>
      <c r="AB663" s="17" t="s">
        <v>181</v>
      </c>
      <c r="AC663" s="1">
        <f t="shared" si="30"/>
        <v>0</v>
      </c>
      <c r="AD663" s="1">
        <f t="shared" si="31"/>
        <v>0</v>
      </c>
      <c r="AE663" s="1">
        <f t="shared" si="32"/>
        <v>1</v>
      </c>
    </row>
    <row r="664" spans="19:31">
      <c r="S664" s="17">
        <v>7</v>
      </c>
      <c r="T664" s="18"/>
      <c r="U664" s="17">
        <v>2</v>
      </c>
      <c r="V664" s="17" t="s">
        <v>37</v>
      </c>
      <c r="W664" s="18">
        <v>18</v>
      </c>
      <c r="X664" s="18" t="s">
        <v>342</v>
      </c>
      <c r="Y664" s="18">
        <v>45</v>
      </c>
      <c r="Z664" s="17" t="s">
        <v>81</v>
      </c>
      <c r="AA664" s="17">
        <v>1</v>
      </c>
      <c r="AB664" s="17" t="s">
        <v>165</v>
      </c>
      <c r="AC664" s="1">
        <f t="shared" si="30"/>
        <v>0</v>
      </c>
      <c r="AD664" s="1">
        <f t="shared" si="31"/>
        <v>0</v>
      </c>
      <c r="AE664" s="1">
        <f t="shared" si="32"/>
        <v>1</v>
      </c>
    </row>
    <row r="665" spans="19:31">
      <c r="S665" s="17">
        <v>8</v>
      </c>
      <c r="T665" s="18"/>
      <c r="U665" s="17">
        <v>2</v>
      </c>
      <c r="V665" s="17" t="s">
        <v>37</v>
      </c>
      <c r="W665" s="18">
        <v>30</v>
      </c>
      <c r="X665" s="18" t="s">
        <v>342</v>
      </c>
      <c r="Y665" s="18">
        <v>42</v>
      </c>
      <c r="Z665" s="17" t="s">
        <v>121</v>
      </c>
      <c r="AA665" s="17">
        <v>1</v>
      </c>
      <c r="AB665" s="17" t="s">
        <v>173</v>
      </c>
      <c r="AC665" s="1">
        <f t="shared" si="30"/>
        <v>0</v>
      </c>
      <c r="AD665" s="1">
        <f t="shared" si="31"/>
        <v>0</v>
      </c>
      <c r="AE665" s="1">
        <f t="shared" si="32"/>
        <v>1</v>
      </c>
    </row>
    <row r="666" spans="19:31">
      <c r="S666" s="17">
        <v>9</v>
      </c>
      <c r="T666" s="18"/>
      <c r="U666" s="17">
        <v>1</v>
      </c>
      <c r="V666" s="17" t="s">
        <v>37</v>
      </c>
      <c r="W666" s="18">
        <v>45</v>
      </c>
      <c r="X666" s="18" t="s">
        <v>342</v>
      </c>
      <c r="Y666" s="18">
        <v>0</v>
      </c>
      <c r="Z666" s="17" t="s">
        <v>343</v>
      </c>
      <c r="AA666" s="17">
        <v>2</v>
      </c>
      <c r="AB666" s="17" t="s">
        <v>181</v>
      </c>
      <c r="AC666" s="1">
        <f t="shared" si="30"/>
        <v>1</v>
      </c>
      <c r="AD666" s="1">
        <f t="shared" si="31"/>
        <v>0</v>
      </c>
      <c r="AE666" s="1">
        <f t="shared" si="32"/>
        <v>0</v>
      </c>
    </row>
    <row r="667" spans="19:31">
      <c r="S667" s="17">
        <v>10</v>
      </c>
      <c r="T667" s="18"/>
      <c r="U667" s="17">
        <v>2</v>
      </c>
      <c r="V667" s="17" t="s">
        <v>37</v>
      </c>
      <c r="W667" s="18">
        <v>45</v>
      </c>
      <c r="X667" s="18" t="s">
        <v>342</v>
      </c>
      <c r="Y667" s="18">
        <v>0</v>
      </c>
      <c r="Z667" s="17" t="s">
        <v>343</v>
      </c>
      <c r="AA667" s="17">
        <v>1</v>
      </c>
      <c r="AB667" s="17" t="s">
        <v>177</v>
      </c>
      <c r="AC667" s="1">
        <f t="shared" si="30"/>
        <v>1</v>
      </c>
      <c r="AD667" s="1">
        <f t="shared" si="31"/>
        <v>0</v>
      </c>
      <c r="AE667" s="1">
        <f t="shared" si="32"/>
        <v>0</v>
      </c>
    </row>
    <row r="668" spans="19:31">
      <c r="S668" s="17">
        <v>11</v>
      </c>
      <c r="T668" s="18"/>
      <c r="U668" s="17">
        <v>2</v>
      </c>
      <c r="V668" s="17" t="s">
        <v>37</v>
      </c>
      <c r="W668" s="18">
        <v>45</v>
      </c>
      <c r="X668" s="18" t="s">
        <v>342</v>
      </c>
      <c r="Y668" s="18">
        <v>6</v>
      </c>
      <c r="Z668" s="17" t="s">
        <v>91</v>
      </c>
      <c r="AA668" s="17">
        <v>1</v>
      </c>
      <c r="AB668" s="17" t="s">
        <v>173</v>
      </c>
      <c r="AC668" s="1">
        <f t="shared" si="30"/>
        <v>1</v>
      </c>
      <c r="AD668" s="1">
        <f t="shared" si="31"/>
        <v>0</v>
      </c>
      <c r="AE668" s="1">
        <f t="shared" si="32"/>
        <v>0</v>
      </c>
    </row>
    <row r="669" spans="19:31">
      <c r="S669" s="17">
        <v>12</v>
      </c>
      <c r="T669" s="18"/>
      <c r="U669" s="17">
        <v>1</v>
      </c>
      <c r="V669" s="17" t="s">
        <v>37</v>
      </c>
      <c r="W669" s="18">
        <v>45</v>
      </c>
      <c r="X669" s="18" t="s">
        <v>342</v>
      </c>
      <c r="Y669" s="18">
        <v>0</v>
      </c>
      <c r="Z669" s="17" t="s">
        <v>109</v>
      </c>
      <c r="AA669" s="17">
        <v>2</v>
      </c>
      <c r="AB669" s="17" t="s">
        <v>165</v>
      </c>
      <c r="AC669" s="1">
        <f t="shared" si="30"/>
        <v>1</v>
      </c>
      <c r="AD669" s="1">
        <f t="shared" si="31"/>
        <v>0</v>
      </c>
      <c r="AE669" s="1">
        <f t="shared" si="32"/>
        <v>0</v>
      </c>
    </row>
    <row r="670" spans="19:31">
      <c r="S670" s="17">
        <v>13</v>
      </c>
      <c r="T670" s="18"/>
      <c r="U670" s="17">
        <v>1</v>
      </c>
      <c r="V670" s="17" t="s">
        <v>37</v>
      </c>
      <c r="W670" s="18">
        <v>42</v>
      </c>
      <c r="X670" s="18" t="s">
        <v>342</v>
      </c>
      <c r="Y670" s="18">
        <v>33</v>
      </c>
      <c r="Z670" s="17" t="s">
        <v>61</v>
      </c>
      <c r="AA670" s="17">
        <v>2</v>
      </c>
      <c r="AB670" s="17" t="s">
        <v>177</v>
      </c>
      <c r="AC670" s="1">
        <f t="shared" si="30"/>
        <v>1</v>
      </c>
      <c r="AD670" s="1">
        <f t="shared" si="31"/>
        <v>0</v>
      </c>
      <c r="AE670" s="1">
        <f t="shared" si="32"/>
        <v>0</v>
      </c>
    </row>
    <row r="671" spans="19:31">
      <c r="S671" s="17">
        <v>14</v>
      </c>
      <c r="T671" s="18"/>
      <c r="U671" s="17">
        <v>1</v>
      </c>
      <c r="V671" s="17" t="s">
        <v>37</v>
      </c>
      <c r="W671" s="18">
        <v>39</v>
      </c>
      <c r="X671" s="18" t="s">
        <v>342</v>
      </c>
      <c r="Y671" s="18">
        <v>3</v>
      </c>
      <c r="Z671" s="17" t="s">
        <v>95</v>
      </c>
      <c r="AA671" s="17">
        <v>2</v>
      </c>
      <c r="AB671" s="17" t="s">
        <v>165</v>
      </c>
      <c r="AC671" s="1">
        <f t="shared" si="30"/>
        <v>1</v>
      </c>
      <c r="AD671" s="1">
        <f t="shared" si="31"/>
        <v>0</v>
      </c>
      <c r="AE671" s="1">
        <f t="shared" si="32"/>
        <v>0</v>
      </c>
    </row>
    <row r="672" spans="19:31">
      <c r="S672" s="17">
        <v>15</v>
      </c>
      <c r="T672" s="18"/>
      <c r="U672" s="17">
        <v>1</v>
      </c>
      <c r="V672" s="17" t="s">
        <v>37</v>
      </c>
      <c r="W672" s="18">
        <v>42</v>
      </c>
      <c r="X672" s="18" t="s">
        <v>342</v>
      </c>
      <c r="Y672" s="18">
        <v>28</v>
      </c>
      <c r="Z672" s="17" t="s">
        <v>45</v>
      </c>
      <c r="AA672" s="17">
        <v>2</v>
      </c>
      <c r="AB672" s="17" t="s">
        <v>173</v>
      </c>
      <c r="AC672" s="1">
        <f t="shared" si="30"/>
        <v>1</v>
      </c>
      <c r="AD672" s="1">
        <f t="shared" si="31"/>
        <v>0</v>
      </c>
      <c r="AE672" s="1">
        <f t="shared" si="32"/>
        <v>0</v>
      </c>
    </row>
    <row r="673" spans="19:31">
      <c r="S673" s="58" t="s">
        <v>339</v>
      </c>
      <c r="T673" s="58" t="s">
        <v>340</v>
      </c>
      <c r="U673" s="58" t="s">
        <v>341</v>
      </c>
      <c r="V673" s="58" t="s">
        <v>1</v>
      </c>
      <c r="W673" s="66" t="s">
        <v>220</v>
      </c>
      <c r="X673" s="66"/>
      <c r="Y673" s="66"/>
      <c r="Z673" s="58" t="s">
        <v>1</v>
      </c>
      <c r="AA673" s="58" t="s">
        <v>341</v>
      </c>
      <c r="AB673" s="58" t="s">
        <v>395</v>
      </c>
      <c r="AC673" s="1">
        <f t="shared" si="30"/>
        <v>1</v>
      </c>
      <c r="AD673" s="1">
        <f t="shared" si="31"/>
        <v>0</v>
      </c>
      <c r="AE673" s="1">
        <f t="shared" si="32"/>
        <v>0</v>
      </c>
    </row>
    <row r="674" spans="19:31">
      <c r="S674" s="17">
        <v>1</v>
      </c>
      <c r="T674" s="18"/>
      <c r="U674" s="17">
        <v>2</v>
      </c>
      <c r="V674" s="17" t="s">
        <v>61</v>
      </c>
      <c r="W674" s="18">
        <v>12</v>
      </c>
      <c r="X674" s="18" t="s">
        <v>342</v>
      </c>
      <c r="Y674" s="18">
        <v>37</v>
      </c>
      <c r="Z674" s="17" t="s">
        <v>49</v>
      </c>
      <c r="AA674" s="17">
        <v>1</v>
      </c>
      <c r="AB674" s="17" t="s">
        <v>177</v>
      </c>
      <c r="AC674" s="1">
        <f t="shared" si="30"/>
        <v>0</v>
      </c>
      <c r="AD674" s="1">
        <f t="shared" si="31"/>
        <v>0</v>
      </c>
      <c r="AE674" s="1">
        <f t="shared" si="32"/>
        <v>1</v>
      </c>
    </row>
    <row r="675" spans="19:31">
      <c r="S675" s="17">
        <v>2</v>
      </c>
      <c r="T675" s="18"/>
      <c r="U675" s="17">
        <v>1</v>
      </c>
      <c r="V675" s="17" t="s">
        <v>61</v>
      </c>
      <c r="W675" s="18">
        <v>1</v>
      </c>
      <c r="X675" s="18" t="s">
        <v>342</v>
      </c>
      <c r="Y675" s="18">
        <v>45</v>
      </c>
      <c r="Z675" s="17" t="s">
        <v>29</v>
      </c>
      <c r="AA675" s="17">
        <v>2</v>
      </c>
      <c r="AB675" s="17" t="s">
        <v>165</v>
      </c>
      <c r="AC675" s="1">
        <f t="shared" si="30"/>
        <v>0</v>
      </c>
      <c r="AD675" s="1">
        <f t="shared" si="31"/>
        <v>0</v>
      </c>
      <c r="AE675" s="1">
        <f t="shared" si="32"/>
        <v>1</v>
      </c>
    </row>
    <row r="676" spans="19:31">
      <c r="S676" s="17">
        <v>3</v>
      </c>
      <c r="T676" s="18"/>
      <c r="U676" s="17">
        <v>2</v>
      </c>
      <c r="V676" s="17" t="s">
        <v>61</v>
      </c>
      <c r="W676" s="18">
        <v>18</v>
      </c>
      <c r="X676" s="18" t="s">
        <v>342</v>
      </c>
      <c r="Y676" s="18">
        <v>45</v>
      </c>
      <c r="Z676" s="17" t="s">
        <v>99</v>
      </c>
      <c r="AA676" s="17">
        <v>1</v>
      </c>
      <c r="AB676" s="17" t="s">
        <v>181</v>
      </c>
      <c r="AC676" s="1">
        <f t="shared" si="30"/>
        <v>0</v>
      </c>
      <c r="AD676" s="1">
        <f t="shared" si="31"/>
        <v>0</v>
      </c>
      <c r="AE676" s="1">
        <f t="shared" si="32"/>
        <v>1</v>
      </c>
    </row>
    <row r="677" spans="19:31">
      <c r="S677" s="17">
        <v>4</v>
      </c>
      <c r="T677" s="18"/>
      <c r="U677" s="17">
        <v>2</v>
      </c>
      <c r="V677" s="17" t="s">
        <v>61</v>
      </c>
      <c r="W677" s="18">
        <v>21</v>
      </c>
      <c r="X677" s="18" t="s">
        <v>342</v>
      </c>
      <c r="Y677" s="18">
        <v>45</v>
      </c>
      <c r="Z677" s="17" t="s">
        <v>103</v>
      </c>
      <c r="AA677" s="17">
        <v>1</v>
      </c>
      <c r="AB677" s="17" t="s">
        <v>173</v>
      </c>
      <c r="AC677" s="1">
        <f t="shared" si="30"/>
        <v>0</v>
      </c>
      <c r="AD677" s="1">
        <f t="shared" si="31"/>
        <v>0</v>
      </c>
      <c r="AE677" s="1">
        <f t="shared" si="32"/>
        <v>1</v>
      </c>
    </row>
    <row r="678" spans="19:31">
      <c r="S678" s="17">
        <v>5</v>
      </c>
      <c r="T678" s="18"/>
      <c r="U678" s="17">
        <v>2</v>
      </c>
      <c r="V678" s="17" t="s">
        <v>61</v>
      </c>
      <c r="W678" s="18">
        <v>2</v>
      </c>
      <c r="X678" s="18" t="s">
        <v>342</v>
      </c>
      <c r="Y678" s="18">
        <v>45</v>
      </c>
      <c r="Z678" s="17" t="s">
        <v>121</v>
      </c>
      <c r="AA678" s="17">
        <v>1</v>
      </c>
      <c r="AB678" s="17" t="s">
        <v>177</v>
      </c>
      <c r="AC678" s="1">
        <f t="shared" si="30"/>
        <v>0</v>
      </c>
      <c r="AD678" s="1">
        <f t="shared" si="31"/>
        <v>0</v>
      </c>
      <c r="AE678" s="1">
        <f t="shared" si="32"/>
        <v>1</v>
      </c>
    </row>
    <row r="679" spans="19:31">
      <c r="S679" s="17">
        <v>6</v>
      </c>
      <c r="T679" s="18"/>
      <c r="U679" s="17">
        <v>2</v>
      </c>
      <c r="V679" s="17" t="s">
        <v>61</v>
      </c>
      <c r="W679" s="18">
        <v>24</v>
      </c>
      <c r="X679" s="18" t="s">
        <v>342</v>
      </c>
      <c r="Y679" s="18">
        <v>45</v>
      </c>
      <c r="Z679" s="17" t="s">
        <v>81</v>
      </c>
      <c r="AA679" s="17">
        <v>1</v>
      </c>
      <c r="AB679" s="17" t="s">
        <v>181</v>
      </c>
      <c r="AC679" s="1">
        <f t="shared" si="30"/>
        <v>0</v>
      </c>
      <c r="AD679" s="1">
        <f t="shared" si="31"/>
        <v>0</v>
      </c>
      <c r="AE679" s="1">
        <f t="shared" si="32"/>
        <v>1</v>
      </c>
    </row>
    <row r="680" spans="19:31">
      <c r="S680" s="17">
        <v>7</v>
      </c>
      <c r="T680" s="18"/>
      <c r="U680" s="17">
        <v>2</v>
      </c>
      <c r="V680" s="17" t="s">
        <v>61</v>
      </c>
      <c r="W680" s="18">
        <v>10</v>
      </c>
      <c r="X680" s="18" t="s">
        <v>342</v>
      </c>
      <c r="Y680" s="18">
        <v>45</v>
      </c>
      <c r="Z680" s="17" t="s">
        <v>71</v>
      </c>
      <c r="AA680" s="17">
        <v>1</v>
      </c>
      <c r="AB680" s="17" t="s">
        <v>165</v>
      </c>
      <c r="AC680" s="1">
        <f t="shared" si="30"/>
        <v>0</v>
      </c>
      <c r="AD680" s="1">
        <f t="shared" si="31"/>
        <v>0</v>
      </c>
      <c r="AE680" s="1">
        <f t="shared" si="32"/>
        <v>1</v>
      </c>
    </row>
    <row r="681" spans="19:31">
      <c r="S681" s="17">
        <v>8</v>
      </c>
      <c r="T681" s="18"/>
      <c r="U681" s="17">
        <v>1</v>
      </c>
      <c r="V681" s="17" t="s">
        <v>61</v>
      </c>
      <c r="W681" s="18">
        <v>21</v>
      </c>
      <c r="X681" s="18" t="s">
        <v>342</v>
      </c>
      <c r="Y681" s="18">
        <v>45</v>
      </c>
      <c r="Z681" s="17" t="s">
        <v>83</v>
      </c>
      <c r="AA681" s="17">
        <v>2</v>
      </c>
      <c r="AB681" s="17" t="s">
        <v>173</v>
      </c>
      <c r="AC681" s="1">
        <f t="shared" si="30"/>
        <v>0</v>
      </c>
      <c r="AD681" s="1">
        <f t="shared" si="31"/>
        <v>0</v>
      </c>
      <c r="AE681" s="1">
        <f t="shared" si="32"/>
        <v>1</v>
      </c>
    </row>
    <row r="682" spans="19:31">
      <c r="S682" s="17">
        <v>9</v>
      </c>
      <c r="T682" s="18"/>
      <c r="U682" s="17">
        <v>2</v>
      </c>
      <c r="V682" s="17" t="s">
        <v>61</v>
      </c>
      <c r="W682" s="18">
        <v>28</v>
      </c>
      <c r="X682" s="18" t="s">
        <v>342</v>
      </c>
      <c r="Y682" s="18">
        <v>10</v>
      </c>
      <c r="Z682" s="17" t="s">
        <v>109</v>
      </c>
      <c r="AA682" s="17">
        <v>1</v>
      </c>
      <c r="AB682" s="17" t="s">
        <v>181</v>
      </c>
      <c r="AC682" s="1">
        <f t="shared" si="30"/>
        <v>1</v>
      </c>
      <c r="AD682" s="1">
        <f t="shared" si="31"/>
        <v>0</v>
      </c>
      <c r="AE682" s="1">
        <f t="shared" si="32"/>
        <v>0</v>
      </c>
    </row>
    <row r="683" spans="19:31">
      <c r="S683" s="17">
        <v>10</v>
      </c>
      <c r="T683" s="18"/>
      <c r="U683" s="17">
        <v>1</v>
      </c>
      <c r="V683" s="17" t="s">
        <v>61</v>
      </c>
      <c r="W683" s="18">
        <v>42</v>
      </c>
      <c r="X683" s="18" t="s">
        <v>342</v>
      </c>
      <c r="Y683" s="18">
        <v>0</v>
      </c>
      <c r="Z683" s="17" t="s">
        <v>91</v>
      </c>
      <c r="AA683" s="17">
        <v>2</v>
      </c>
      <c r="AB683" s="17" t="s">
        <v>177</v>
      </c>
      <c r="AC683" s="1">
        <f t="shared" si="30"/>
        <v>1</v>
      </c>
      <c r="AD683" s="1">
        <f t="shared" si="31"/>
        <v>0</v>
      </c>
      <c r="AE683" s="1">
        <f t="shared" si="32"/>
        <v>0</v>
      </c>
    </row>
    <row r="684" spans="19:31">
      <c r="S684" s="17">
        <v>11</v>
      </c>
      <c r="T684" s="18"/>
      <c r="U684" s="17">
        <v>1</v>
      </c>
      <c r="V684" s="17" t="s">
        <v>61</v>
      </c>
      <c r="W684" s="18">
        <v>45</v>
      </c>
      <c r="X684" s="18" t="s">
        <v>342</v>
      </c>
      <c r="Y684" s="18">
        <v>0</v>
      </c>
      <c r="Z684" s="17" t="s">
        <v>343</v>
      </c>
      <c r="AA684" s="17">
        <v>2</v>
      </c>
      <c r="AB684" s="17" t="s">
        <v>173</v>
      </c>
      <c r="AC684" s="1">
        <f t="shared" si="30"/>
        <v>1</v>
      </c>
      <c r="AD684" s="1">
        <f t="shared" si="31"/>
        <v>0</v>
      </c>
      <c r="AE684" s="1">
        <f t="shared" si="32"/>
        <v>0</v>
      </c>
    </row>
    <row r="685" spans="19:31">
      <c r="S685" s="17">
        <v>12</v>
      </c>
      <c r="T685" s="18"/>
      <c r="U685" s="17">
        <v>1</v>
      </c>
      <c r="V685" s="17" t="s">
        <v>61</v>
      </c>
      <c r="W685" s="18">
        <v>45</v>
      </c>
      <c r="X685" s="18" t="s">
        <v>342</v>
      </c>
      <c r="Y685" s="18">
        <v>0</v>
      </c>
      <c r="Z685" s="17" t="s">
        <v>343</v>
      </c>
      <c r="AA685" s="17">
        <v>2</v>
      </c>
      <c r="AB685" s="17" t="s">
        <v>165</v>
      </c>
      <c r="AC685" s="1">
        <f t="shared" si="30"/>
        <v>1</v>
      </c>
      <c r="AD685" s="1">
        <f t="shared" si="31"/>
        <v>0</v>
      </c>
      <c r="AE685" s="1">
        <f t="shared" si="32"/>
        <v>0</v>
      </c>
    </row>
    <row r="686" spans="19:31">
      <c r="S686" s="17">
        <v>13</v>
      </c>
      <c r="T686" s="18"/>
      <c r="U686" s="17">
        <v>2</v>
      </c>
      <c r="V686" s="17" t="s">
        <v>61</v>
      </c>
      <c r="W686" s="18">
        <v>33</v>
      </c>
      <c r="X686" s="18" t="s">
        <v>342</v>
      </c>
      <c r="Y686" s="18">
        <v>42</v>
      </c>
      <c r="Z686" s="17" t="s">
        <v>37</v>
      </c>
      <c r="AA686" s="17">
        <v>1</v>
      </c>
      <c r="AB686" s="17" t="s">
        <v>177</v>
      </c>
      <c r="AC686" s="1">
        <f t="shared" si="30"/>
        <v>0</v>
      </c>
      <c r="AD686" s="1">
        <f t="shared" si="31"/>
        <v>0</v>
      </c>
      <c r="AE686" s="1">
        <f t="shared" si="32"/>
        <v>1</v>
      </c>
    </row>
    <row r="687" spans="19:31">
      <c r="S687" s="17">
        <v>14</v>
      </c>
      <c r="T687" s="18"/>
      <c r="U687" s="17">
        <v>1</v>
      </c>
      <c r="V687" s="17" t="s">
        <v>61</v>
      </c>
      <c r="W687" s="18">
        <v>0</v>
      </c>
      <c r="X687" s="18" t="s">
        <v>342</v>
      </c>
      <c r="Y687" s="18">
        <v>42</v>
      </c>
      <c r="Z687" s="17" t="s">
        <v>45</v>
      </c>
      <c r="AA687" s="17">
        <v>2</v>
      </c>
      <c r="AB687" s="17" t="s">
        <v>165</v>
      </c>
      <c r="AC687" s="1">
        <f t="shared" si="30"/>
        <v>0</v>
      </c>
      <c r="AD687" s="1">
        <f t="shared" si="31"/>
        <v>0</v>
      </c>
      <c r="AE687" s="1">
        <f t="shared" si="32"/>
        <v>1</v>
      </c>
    </row>
    <row r="688" spans="19:31">
      <c r="S688" s="17">
        <v>15</v>
      </c>
      <c r="T688" s="18"/>
      <c r="U688" s="17">
        <v>2</v>
      </c>
      <c r="V688" s="17" t="s">
        <v>61</v>
      </c>
      <c r="W688" s="18">
        <v>42</v>
      </c>
      <c r="X688" s="18" t="s">
        <v>342</v>
      </c>
      <c r="Y688" s="18">
        <v>2</v>
      </c>
      <c r="Z688" s="17" t="s">
        <v>95</v>
      </c>
      <c r="AA688" s="17">
        <v>1</v>
      </c>
      <c r="AB688" s="17" t="s">
        <v>173</v>
      </c>
      <c r="AC688" s="1">
        <f t="shared" si="30"/>
        <v>1</v>
      </c>
      <c r="AD688" s="1">
        <f t="shared" si="31"/>
        <v>0</v>
      </c>
      <c r="AE688" s="1">
        <f t="shared" si="32"/>
        <v>0</v>
      </c>
    </row>
    <row r="689" spans="19:31">
      <c r="S689" s="58" t="s">
        <v>339</v>
      </c>
      <c r="T689" s="58" t="s">
        <v>340</v>
      </c>
      <c r="U689" s="58" t="s">
        <v>341</v>
      </c>
      <c r="V689" s="58" t="s">
        <v>1</v>
      </c>
      <c r="W689" s="66" t="s">
        <v>220</v>
      </c>
      <c r="X689" s="66"/>
      <c r="Y689" s="66"/>
      <c r="Z689" s="58" t="s">
        <v>1</v>
      </c>
      <c r="AA689" s="58" t="s">
        <v>341</v>
      </c>
      <c r="AB689" s="58" t="s">
        <v>395</v>
      </c>
      <c r="AC689" s="1">
        <f t="shared" si="30"/>
        <v>1</v>
      </c>
      <c r="AD689" s="1">
        <f t="shared" si="31"/>
        <v>0</v>
      </c>
      <c r="AE689" s="1">
        <f t="shared" si="32"/>
        <v>0</v>
      </c>
    </row>
    <row r="690" spans="19:31">
      <c r="S690" s="17">
        <v>1</v>
      </c>
      <c r="T690" s="18"/>
      <c r="U690" s="17">
        <v>1</v>
      </c>
      <c r="V690" s="17" t="s">
        <v>95</v>
      </c>
      <c r="W690" s="18">
        <v>4</v>
      </c>
      <c r="X690" s="18" t="s">
        <v>342</v>
      </c>
      <c r="Y690" s="18">
        <v>45</v>
      </c>
      <c r="Z690" s="17" t="s">
        <v>29</v>
      </c>
      <c r="AA690" s="17">
        <v>2</v>
      </c>
      <c r="AB690" s="17" t="s">
        <v>177</v>
      </c>
      <c r="AC690" s="1">
        <f t="shared" si="30"/>
        <v>0</v>
      </c>
      <c r="AD690" s="1">
        <f t="shared" si="31"/>
        <v>0</v>
      </c>
      <c r="AE690" s="1">
        <f t="shared" si="32"/>
        <v>1</v>
      </c>
    </row>
    <row r="691" spans="19:31">
      <c r="S691" s="17">
        <v>2</v>
      </c>
      <c r="T691" s="18"/>
      <c r="U691" s="17">
        <v>2</v>
      </c>
      <c r="V691" s="17" t="s">
        <v>95</v>
      </c>
      <c r="W691" s="18">
        <v>1</v>
      </c>
      <c r="X691" s="18" t="s">
        <v>342</v>
      </c>
      <c r="Y691" s="18">
        <v>42</v>
      </c>
      <c r="Z691" s="17" t="s">
        <v>49</v>
      </c>
      <c r="AA691" s="17">
        <v>1</v>
      </c>
      <c r="AB691" s="17" t="s">
        <v>165</v>
      </c>
      <c r="AC691" s="1">
        <f t="shared" si="30"/>
        <v>0</v>
      </c>
      <c r="AD691" s="1">
        <f t="shared" si="31"/>
        <v>0</v>
      </c>
      <c r="AE691" s="1">
        <f t="shared" si="32"/>
        <v>1</v>
      </c>
    </row>
    <row r="692" spans="19:31">
      <c r="S692" s="17">
        <v>3</v>
      </c>
      <c r="T692" s="18"/>
      <c r="U692" s="17">
        <v>2</v>
      </c>
      <c r="V692" s="17" t="s">
        <v>95</v>
      </c>
      <c r="W692" s="18">
        <v>3</v>
      </c>
      <c r="X692" s="18" t="s">
        <v>342</v>
      </c>
      <c r="Y692" s="18">
        <v>45</v>
      </c>
      <c r="Z692" s="17" t="s">
        <v>103</v>
      </c>
      <c r="AA692" s="17">
        <v>1</v>
      </c>
      <c r="AB692" s="17" t="s">
        <v>181</v>
      </c>
      <c r="AC692" s="1">
        <f t="shared" si="30"/>
        <v>0</v>
      </c>
      <c r="AD692" s="1">
        <f t="shared" si="31"/>
        <v>0</v>
      </c>
      <c r="AE692" s="1">
        <f t="shared" si="32"/>
        <v>1</v>
      </c>
    </row>
    <row r="693" spans="19:31">
      <c r="S693" s="17">
        <v>4</v>
      </c>
      <c r="T693" s="18"/>
      <c r="U693" s="17">
        <v>2</v>
      </c>
      <c r="V693" s="17" t="s">
        <v>95</v>
      </c>
      <c r="W693" s="18">
        <v>21</v>
      </c>
      <c r="X693" s="18" t="s">
        <v>342</v>
      </c>
      <c r="Y693" s="18">
        <v>45</v>
      </c>
      <c r="Z693" s="17" t="s">
        <v>99</v>
      </c>
      <c r="AA693" s="17">
        <v>1</v>
      </c>
      <c r="AB693" s="17" t="s">
        <v>173</v>
      </c>
      <c r="AC693" s="1">
        <f t="shared" si="30"/>
        <v>0</v>
      </c>
      <c r="AD693" s="1">
        <f t="shared" si="31"/>
        <v>0</v>
      </c>
      <c r="AE693" s="1">
        <f t="shared" si="32"/>
        <v>1</v>
      </c>
    </row>
    <row r="694" spans="19:31">
      <c r="S694" s="17">
        <v>5</v>
      </c>
      <c r="T694" s="18"/>
      <c r="U694" s="17">
        <v>2</v>
      </c>
      <c r="V694" s="17" t="s">
        <v>95</v>
      </c>
      <c r="W694" s="18">
        <v>0</v>
      </c>
      <c r="X694" s="18" t="s">
        <v>342</v>
      </c>
      <c r="Y694" s="18">
        <v>45</v>
      </c>
      <c r="Z694" s="17" t="s">
        <v>81</v>
      </c>
      <c r="AA694" s="17">
        <v>1</v>
      </c>
      <c r="AB694" s="17" t="s">
        <v>177</v>
      </c>
      <c r="AC694" s="1">
        <f t="shared" si="30"/>
        <v>0</v>
      </c>
      <c r="AD694" s="1">
        <f t="shared" si="31"/>
        <v>0</v>
      </c>
      <c r="AE694" s="1">
        <f t="shared" si="32"/>
        <v>1</v>
      </c>
    </row>
    <row r="695" spans="19:31">
      <c r="S695" s="17">
        <v>6</v>
      </c>
      <c r="T695" s="18"/>
      <c r="U695" s="17">
        <v>1</v>
      </c>
      <c r="V695" s="17" t="s">
        <v>95</v>
      </c>
      <c r="W695" s="18">
        <v>12</v>
      </c>
      <c r="X695" s="18" t="s">
        <v>342</v>
      </c>
      <c r="Y695" s="18">
        <v>45</v>
      </c>
      <c r="Z695" s="17" t="s">
        <v>121</v>
      </c>
      <c r="AA695" s="17">
        <v>2</v>
      </c>
      <c r="AB695" s="17" t="s">
        <v>181</v>
      </c>
      <c r="AC695" s="1">
        <f t="shared" si="30"/>
        <v>0</v>
      </c>
      <c r="AD695" s="1">
        <f t="shared" si="31"/>
        <v>0</v>
      </c>
      <c r="AE695" s="1">
        <f t="shared" si="32"/>
        <v>1</v>
      </c>
    </row>
    <row r="696" spans="19:31">
      <c r="S696" s="17">
        <v>7</v>
      </c>
      <c r="T696" s="18"/>
      <c r="U696" s="17">
        <v>1</v>
      </c>
      <c r="V696" s="17" t="s">
        <v>95</v>
      </c>
      <c r="W696" s="18">
        <v>4</v>
      </c>
      <c r="X696" s="18" t="s">
        <v>342</v>
      </c>
      <c r="Y696" s="18">
        <v>45</v>
      </c>
      <c r="Z696" s="17" t="s">
        <v>83</v>
      </c>
      <c r="AA696" s="17">
        <v>2</v>
      </c>
      <c r="AB696" s="17" t="s">
        <v>165</v>
      </c>
      <c r="AC696" s="1">
        <f t="shared" si="30"/>
        <v>0</v>
      </c>
      <c r="AD696" s="1">
        <f t="shared" si="31"/>
        <v>0</v>
      </c>
      <c r="AE696" s="1">
        <f t="shared" si="32"/>
        <v>1</v>
      </c>
    </row>
    <row r="697" spans="19:31">
      <c r="S697" s="17">
        <v>8</v>
      </c>
      <c r="T697" s="18"/>
      <c r="U697" s="17">
        <v>1</v>
      </c>
      <c r="V697" s="17" t="s">
        <v>95</v>
      </c>
      <c r="W697" s="18">
        <v>4</v>
      </c>
      <c r="X697" s="18" t="s">
        <v>342</v>
      </c>
      <c r="Y697" s="18">
        <v>45</v>
      </c>
      <c r="Z697" s="17" t="s">
        <v>71</v>
      </c>
      <c r="AA697" s="17">
        <v>2</v>
      </c>
      <c r="AB697" s="17" t="s">
        <v>173</v>
      </c>
      <c r="AC697" s="1">
        <f t="shared" si="30"/>
        <v>0</v>
      </c>
      <c r="AD697" s="1">
        <f t="shared" si="31"/>
        <v>0</v>
      </c>
      <c r="AE697" s="1">
        <f t="shared" si="32"/>
        <v>1</v>
      </c>
    </row>
    <row r="698" spans="19:31">
      <c r="S698" s="17">
        <v>9</v>
      </c>
      <c r="T698" s="18"/>
      <c r="U698" s="17">
        <v>2</v>
      </c>
      <c r="V698" s="17" t="s">
        <v>95</v>
      </c>
      <c r="W698" s="18">
        <v>25</v>
      </c>
      <c r="X698" s="18" t="s">
        <v>342</v>
      </c>
      <c r="Y698" s="18">
        <v>0</v>
      </c>
      <c r="Z698" s="17" t="s">
        <v>91</v>
      </c>
      <c r="AA698" s="17">
        <v>1</v>
      </c>
      <c r="AB698" s="17" t="s">
        <v>181</v>
      </c>
      <c r="AC698" s="1">
        <f t="shared" si="30"/>
        <v>1</v>
      </c>
      <c r="AD698" s="1">
        <f t="shared" si="31"/>
        <v>0</v>
      </c>
      <c r="AE698" s="1">
        <f t="shared" si="32"/>
        <v>0</v>
      </c>
    </row>
    <row r="699" spans="19:31">
      <c r="S699" s="17">
        <v>10</v>
      </c>
      <c r="T699" s="18"/>
      <c r="U699" s="17">
        <v>2</v>
      </c>
      <c r="V699" s="17" t="s">
        <v>95</v>
      </c>
      <c r="W699" s="18">
        <v>45</v>
      </c>
      <c r="X699" s="18" t="s">
        <v>342</v>
      </c>
      <c r="Y699" s="18">
        <v>13</v>
      </c>
      <c r="Z699" s="17" t="s">
        <v>109</v>
      </c>
      <c r="AA699" s="17">
        <v>1</v>
      </c>
      <c r="AB699" s="17" t="s">
        <v>177</v>
      </c>
      <c r="AC699" s="1">
        <f t="shared" si="30"/>
        <v>1</v>
      </c>
      <c r="AD699" s="1">
        <f t="shared" si="31"/>
        <v>0</v>
      </c>
      <c r="AE699" s="1">
        <f t="shared" si="32"/>
        <v>0</v>
      </c>
    </row>
    <row r="700" spans="19:31">
      <c r="S700" s="17">
        <v>11</v>
      </c>
      <c r="T700" s="18"/>
      <c r="U700" s="17">
        <v>1</v>
      </c>
      <c r="V700" s="17" t="s">
        <v>95</v>
      </c>
      <c r="W700" s="18">
        <v>45</v>
      </c>
      <c r="X700" s="18" t="s">
        <v>342</v>
      </c>
      <c r="Y700" s="18">
        <v>0</v>
      </c>
      <c r="Z700" s="17" t="s">
        <v>343</v>
      </c>
      <c r="AA700" s="17">
        <v>2</v>
      </c>
      <c r="AB700" s="17" t="s">
        <v>173</v>
      </c>
      <c r="AC700" s="1">
        <f t="shared" si="30"/>
        <v>1</v>
      </c>
      <c r="AD700" s="1">
        <f t="shared" si="31"/>
        <v>0</v>
      </c>
      <c r="AE700" s="1">
        <f t="shared" si="32"/>
        <v>0</v>
      </c>
    </row>
    <row r="701" spans="19:31">
      <c r="S701" s="17">
        <v>12</v>
      </c>
      <c r="T701" s="18"/>
      <c r="U701" s="17">
        <v>1</v>
      </c>
      <c r="V701" s="17" t="s">
        <v>95</v>
      </c>
      <c r="W701" s="18">
        <v>45</v>
      </c>
      <c r="X701" s="18" t="s">
        <v>342</v>
      </c>
      <c r="Y701" s="18">
        <v>0</v>
      </c>
      <c r="Z701" s="17" t="s">
        <v>343</v>
      </c>
      <c r="AA701" s="17">
        <v>2</v>
      </c>
      <c r="AB701" s="17" t="s">
        <v>165</v>
      </c>
      <c r="AC701" s="1">
        <f t="shared" si="30"/>
        <v>1</v>
      </c>
      <c r="AD701" s="1">
        <f t="shared" si="31"/>
        <v>0</v>
      </c>
      <c r="AE701" s="1">
        <f t="shared" si="32"/>
        <v>0</v>
      </c>
    </row>
    <row r="702" spans="19:31">
      <c r="S702" s="17">
        <v>13</v>
      </c>
      <c r="T702" s="18"/>
      <c r="U702" s="17">
        <v>1</v>
      </c>
      <c r="V702" s="17" t="s">
        <v>95</v>
      </c>
      <c r="W702" s="18">
        <v>21</v>
      </c>
      <c r="X702" s="18" t="s">
        <v>342</v>
      </c>
      <c r="Y702" s="18">
        <v>45</v>
      </c>
      <c r="Z702" s="17" t="s">
        <v>45</v>
      </c>
      <c r="AA702" s="17">
        <v>2</v>
      </c>
      <c r="AB702" s="17" t="s">
        <v>177</v>
      </c>
      <c r="AC702" s="1">
        <f t="shared" si="30"/>
        <v>0</v>
      </c>
      <c r="AD702" s="1">
        <f t="shared" si="31"/>
        <v>0</v>
      </c>
      <c r="AE702" s="1">
        <f t="shared" si="32"/>
        <v>1</v>
      </c>
    </row>
    <row r="703" spans="19:31">
      <c r="S703" s="17">
        <v>14</v>
      </c>
      <c r="T703" s="18"/>
      <c r="U703" s="17">
        <v>2</v>
      </c>
      <c r="V703" s="17" t="s">
        <v>95</v>
      </c>
      <c r="W703" s="18">
        <v>3</v>
      </c>
      <c r="X703" s="18" t="s">
        <v>342</v>
      </c>
      <c r="Y703" s="18">
        <v>39</v>
      </c>
      <c r="Z703" s="17" t="s">
        <v>37</v>
      </c>
      <c r="AA703" s="17">
        <v>1</v>
      </c>
      <c r="AB703" s="17" t="s">
        <v>165</v>
      </c>
      <c r="AC703" s="1">
        <f t="shared" si="30"/>
        <v>0</v>
      </c>
      <c r="AD703" s="1">
        <f t="shared" si="31"/>
        <v>0</v>
      </c>
      <c r="AE703" s="1">
        <f t="shared" si="32"/>
        <v>1</v>
      </c>
    </row>
    <row r="704" spans="19:31">
      <c r="S704" s="17">
        <v>15</v>
      </c>
      <c r="T704" s="18"/>
      <c r="U704" s="17">
        <v>1</v>
      </c>
      <c r="V704" s="17" t="s">
        <v>95</v>
      </c>
      <c r="W704" s="18">
        <v>2</v>
      </c>
      <c r="X704" s="18" t="s">
        <v>342</v>
      </c>
      <c r="Y704" s="18">
        <v>42</v>
      </c>
      <c r="Z704" s="17" t="s">
        <v>61</v>
      </c>
      <c r="AA704" s="17">
        <v>2</v>
      </c>
      <c r="AB704" s="17" t="s">
        <v>173</v>
      </c>
      <c r="AC704" s="1">
        <f t="shared" si="30"/>
        <v>0</v>
      </c>
      <c r="AD704" s="1">
        <f t="shared" si="31"/>
        <v>0</v>
      </c>
      <c r="AE704" s="1">
        <f t="shared" si="32"/>
        <v>1</v>
      </c>
    </row>
    <row r="705" spans="19:31">
      <c r="S705" s="58" t="s">
        <v>339</v>
      </c>
      <c r="T705" s="58" t="s">
        <v>340</v>
      </c>
      <c r="U705" s="58" t="s">
        <v>341</v>
      </c>
      <c r="V705" s="58" t="s">
        <v>1</v>
      </c>
      <c r="W705" s="66" t="s">
        <v>220</v>
      </c>
      <c r="X705" s="66"/>
      <c r="Y705" s="66"/>
      <c r="Z705" s="58" t="s">
        <v>1</v>
      </c>
      <c r="AA705" s="58" t="s">
        <v>341</v>
      </c>
      <c r="AB705" s="58" t="s">
        <v>395</v>
      </c>
      <c r="AC705" s="1">
        <f t="shared" ref="AC705:AC768" si="33">IF(W705="",0,IF(W705&gt;Y705,1,0))</f>
        <v>1</v>
      </c>
      <c r="AD705" s="1">
        <f t="shared" ref="AD705:AD768" si="34">IF(W705="",0,IF(W705=Y705,1,0))</f>
        <v>0</v>
      </c>
      <c r="AE705" s="1">
        <f t="shared" ref="AE705:AE768" si="35">IF(W705="",0,IF(W705&lt;Y705,1,0))</f>
        <v>0</v>
      </c>
    </row>
    <row r="706" spans="19:31">
      <c r="S706" s="17">
        <v>1</v>
      </c>
      <c r="T706" s="18"/>
      <c r="U706" s="17">
        <v>2</v>
      </c>
      <c r="V706" s="17" t="s">
        <v>91</v>
      </c>
      <c r="W706" s="18">
        <v>6</v>
      </c>
      <c r="X706" s="18" t="s">
        <v>342</v>
      </c>
      <c r="Y706" s="18">
        <v>45</v>
      </c>
      <c r="Z706" s="17" t="s">
        <v>71</v>
      </c>
      <c r="AA706" s="17">
        <v>1</v>
      </c>
      <c r="AB706" s="17" t="s">
        <v>177</v>
      </c>
      <c r="AC706" s="1">
        <f t="shared" si="33"/>
        <v>0</v>
      </c>
      <c r="AD706" s="1">
        <f t="shared" si="34"/>
        <v>0</v>
      </c>
      <c r="AE706" s="1">
        <f t="shared" si="35"/>
        <v>1</v>
      </c>
    </row>
    <row r="707" spans="19:31">
      <c r="S707" s="17">
        <v>2</v>
      </c>
      <c r="T707" s="18"/>
      <c r="U707" s="17">
        <v>2</v>
      </c>
      <c r="V707" s="17" t="s">
        <v>91</v>
      </c>
      <c r="W707" s="18">
        <v>0</v>
      </c>
      <c r="X707" s="18" t="s">
        <v>342</v>
      </c>
      <c r="Y707" s="18">
        <v>45</v>
      </c>
      <c r="Z707" s="17" t="s">
        <v>83</v>
      </c>
      <c r="AA707" s="17">
        <v>1</v>
      </c>
      <c r="AB707" s="17" t="s">
        <v>165</v>
      </c>
      <c r="AC707" s="1">
        <f t="shared" si="33"/>
        <v>0</v>
      </c>
      <c r="AD707" s="1">
        <f t="shared" si="34"/>
        <v>0</v>
      </c>
      <c r="AE707" s="1">
        <f t="shared" si="35"/>
        <v>1</v>
      </c>
    </row>
    <row r="708" spans="19:31">
      <c r="S708" s="17">
        <v>3</v>
      </c>
      <c r="T708" s="18"/>
      <c r="U708" s="17">
        <v>1</v>
      </c>
      <c r="V708" s="17" t="s">
        <v>91</v>
      </c>
      <c r="W708" s="18">
        <v>0</v>
      </c>
      <c r="X708" s="18" t="s">
        <v>342</v>
      </c>
      <c r="Y708" s="18">
        <v>45</v>
      </c>
      <c r="Z708" s="17" t="s">
        <v>121</v>
      </c>
      <c r="AA708" s="17">
        <v>2</v>
      </c>
      <c r="AB708" s="17" t="s">
        <v>181</v>
      </c>
      <c r="AC708" s="1">
        <f t="shared" si="33"/>
        <v>0</v>
      </c>
      <c r="AD708" s="1">
        <f t="shared" si="34"/>
        <v>0</v>
      </c>
      <c r="AE708" s="1">
        <f t="shared" si="35"/>
        <v>1</v>
      </c>
    </row>
    <row r="709" spans="19:31">
      <c r="S709" s="17">
        <v>4</v>
      </c>
      <c r="T709" s="18"/>
      <c r="U709" s="17">
        <v>2</v>
      </c>
      <c r="V709" s="17" t="s">
        <v>91</v>
      </c>
      <c r="W709" s="18">
        <v>3</v>
      </c>
      <c r="X709" s="18" t="s">
        <v>342</v>
      </c>
      <c r="Y709" s="18">
        <v>45</v>
      </c>
      <c r="Z709" s="17" t="s">
        <v>81</v>
      </c>
      <c r="AA709" s="17">
        <v>1</v>
      </c>
      <c r="AB709" s="17" t="s">
        <v>173</v>
      </c>
      <c r="AC709" s="1">
        <f t="shared" si="33"/>
        <v>0</v>
      </c>
      <c r="AD709" s="1">
        <f t="shared" si="34"/>
        <v>0</v>
      </c>
      <c r="AE709" s="1">
        <f t="shared" si="35"/>
        <v>1</v>
      </c>
    </row>
    <row r="710" spans="19:31">
      <c r="S710" s="17">
        <v>5</v>
      </c>
      <c r="T710" s="18"/>
      <c r="U710" s="17">
        <v>1</v>
      </c>
      <c r="V710" s="17" t="s">
        <v>91</v>
      </c>
      <c r="W710" s="18">
        <v>0</v>
      </c>
      <c r="X710" s="18" t="s">
        <v>342</v>
      </c>
      <c r="Y710" s="18">
        <v>45</v>
      </c>
      <c r="Z710" s="17" t="s">
        <v>99</v>
      </c>
      <c r="AA710" s="17">
        <v>2</v>
      </c>
      <c r="AB710" s="17" t="s">
        <v>177</v>
      </c>
      <c r="AC710" s="1">
        <f t="shared" si="33"/>
        <v>0</v>
      </c>
      <c r="AD710" s="1">
        <f t="shared" si="34"/>
        <v>0</v>
      </c>
      <c r="AE710" s="1">
        <f t="shared" si="35"/>
        <v>1</v>
      </c>
    </row>
    <row r="711" spans="19:31">
      <c r="S711" s="17">
        <v>6</v>
      </c>
      <c r="T711" s="18"/>
      <c r="U711" s="17">
        <v>1</v>
      </c>
      <c r="V711" s="17" t="s">
        <v>91</v>
      </c>
      <c r="W711" s="18">
        <v>5</v>
      </c>
      <c r="X711" s="18" t="s">
        <v>342</v>
      </c>
      <c r="Y711" s="18">
        <v>45</v>
      </c>
      <c r="Z711" s="17" t="s">
        <v>103</v>
      </c>
      <c r="AA711" s="17">
        <v>2</v>
      </c>
      <c r="AB711" s="17" t="s">
        <v>181</v>
      </c>
      <c r="AC711" s="1">
        <f t="shared" si="33"/>
        <v>0</v>
      </c>
      <c r="AD711" s="1">
        <f t="shared" si="34"/>
        <v>0</v>
      </c>
      <c r="AE711" s="1">
        <f t="shared" si="35"/>
        <v>1</v>
      </c>
    </row>
    <row r="712" spans="19:31">
      <c r="S712" s="17">
        <v>7</v>
      </c>
      <c r="T712" s="18"/>
      <c r="U712" s="17">
        <v>1</v>
      </c>
      <c r="V712" s="17" t="s">
        <v>91</v>
      </c>
      <c r="W712" s="18">
        <v>6</v>
      </c>
      <c r="X712" s="18" t="s">
        <v>342</v>
      </c>
      <c r="Y712" s="18">
        <v>45</v>
      </c>
      <c r="Z712" s="17" t="s">
        <v>49</v>
      </c>
      <c r="AA712" s="17">
        <v>2</v>
      </c>
      <c r="AB712" s="17" t="s">
        <v>165</v>
      </c>
      <c r="AC712" s="1">
        <f t="shared" si="33"/>
        <v>0</v>
      </c>
      <c r="AD712" s="1">
        <f t="shared" si="34"/>
        <v>0</v>
      </c>
      <c r="AE712" s="1">
        <f t="shared" si="35"/>
        <v>1</v>
      </c>
    </row>
    <row r="713" spans="19:31">
      <c r="S713" s="17">
        <v>8</v>
      </c>
      <c r="T713" s="18"/>
      <c r="U713" s="17">
        <v>1</v>
      </c>
      <c r="V713" s="17" t="s">
        <v>91</v>
      </c>
      <c r="W713" s="18">
        <v>6</v>
      </c>
      <c r="X713" s="18" t="s">
        <v>342</v>
      </c>
      <c r="Y713" s="18">
        <v>45</v>
      </c>
      <c r="Z713" s="17" t="s">
        <v>29</v>
      </c>
      <c r="AA713" s="17">
        <v>2</v>
      </c>
      <c r="AB713" s="17" t="s">
        <v>173</v>
      </c>
      <c r="AC713" s="1">
        <f t="shared" si="33"/>
        <v>0</v>
      </c>
      <c r="AD713" s="1">
        <f t="shared" si="34"/>
        <v>0</v>
      </c>
      <c r="AE713" s="1">
        <f t="shared" si="35"/>
        <v>1</v>
      </c>
    </row>
    <row r="714" spans="19:31">
      <c r="S714" s="17">
        <v>9</v>
      </c>
      <c r="T714" s="18"/>
      <c r="U714" s="17">
        <v>1</v>
      </c>
      <c r="V714" s="17" t="s">
        <v>91</v>
      </c>
      <c r="W714" s="18">
        <v>0</v>
      </c>
      <c r="X714" s="18" t="s">
        <v>342</v>
      </c>
      <c r="Y714" s="18">
        <v>25</v>
      </c>
      <c r="Z714" s="17" t="s">
        <v>95</v>
      </c>
      <c r="AA714" s="17">
        <v>2</v>
      </c>
      <c r="AB714" s="17" t="s">
        <v>181</v>
      </c>
      <c r="AC714" s="1">
        <f t="shared" si="33"/>
        <v>0</v>
      </c>
      <c r="AD714" s="1">
        <f t="shared" si="34"/>
        <v>0</v>
      </c>
      <c r="AE714" s="1">
        <f t="shared" si="35"/>
        <v>1</v>
      </c>
    </row>
    <row r="715" spans="19:31">
      <c r="S715" s="17">
        <v>10</v>
      </c>
      <c r="T715" s="18"/>
      <c r="U715" s="17">
        <v>2</v>
      </c>
      <c r="V715" s="17" t="s">
        <v>91</v>
      </c>
      <c r="W715" s="18">
        <v>0</v>
      </c>
      <c r="X715" s="18" t="s">
        <v>342</v>
      </c>
      <c r="Y715" s="18">
        <v>42</v>
      </c>
      <c r="Z715" s="17" t="s">
        <v>61</v>
      </c>
      <c r="AA715" s="17">
        <v>1</v>
      </c>
      <c r="AB715" s="17" t="s">
        <v>177</v>
      </c>
      <c r="AC715" s="1">
        <f t="shared" si="33"/>
        <v>0</v>
      </c>
      <c r="AD715" s="1">
        <f t="shared" si="34"/>
        <v>0</v>
      </c>
      <c r="AE715" s="1">
        <f t="shared" si="35"/>
        <v>1</v>
      </c>
    </row>
    <row r="716" spans="19:31">
      <c r="S716" s="17">
        <v>11</v>
      </c>
      <c r="T716" s="18"/>
      <c r="U716" s="17">
        <v>1</v>
      </c>
      <c r="V716" s="17" t="s">
        <v>91</v>
      </c>
      <c r="W716" s="18">
        <v>6</v>
      </c>
      <c r="X716" s="18" t="s">
        <v>342</v>
      </c>
      <c r="Y716" s="18">
        <v>45</v>
      </c>
      <c r="Z716" s="17" t="s">
        <v>37</v>
      </c>
      <c r="AA716" s="17">
        <v>2</v>
      </c>
      <c r="AB716" s="17" t="s">
        <v>173</v>
      </c>
      <c r="AC716" s="1">
        <f t="shared" si="33"/>
        <v>0</v>
      </c>
      <c r="AD716" s="1">
        <f t="shared" si="34"/>
        <v>0</v>
      </c>
      <c r="AE716" s="1">
        <f t="shared" si="35"/>
        <v>1</v>
      </c>
    </row>
    <row r="717" spans="19:31">
      <c r="S717" s="17">
        <v>12</v>
      </c>
      <c r="T717" s="18"/>
      <c r="U717" s="17">
        <v>1</v>
      </c>
      <c r="V717" s="17" t="s">
        <v>91</v>
      </c>
      <c r="W717" s="18">
        <v>3</v>
      </c>
      <c r="X717" s="18" t="s">
        <v>342</v>
      </c>
      <c r="Y717" s="18">
        <v>45</v>
      </c>
      <c r="Z717" s="17" t="s">
        <v>45</v>
      </c>
      <c r="AA717" s="17">
        <v>2</v>
      </c>
      <c r="AB717" s="17" t="s">
        <v>165</v>
      </c>
      <c r="AC717" s="1">
        <f t="shared" si="33"/>
        <v>0</v>
      </c>
      <c r="AD717" s="1">
        <f t="shared" si="34"/>
        <v>0</v>
      </c>
      <c r="AE717" s="1">
        <f t="shared" si="35"/>
        <v>1</v>
      </c>
    </row>
    <row r="718" spans="19:31">
      <c r="S718" s="17">
        <v>13</v>
      </c>
      <c r="T718" s="18"/>
      <c r="U718" s="17">
        <v>2</v>
      </c>
      <c r="V718" s="17" t="s">
        <v>91</v>
      </c>
      <c r="W718" s="18">
        <v>45</v>
      </c>
      <c r="X718" s="18" t="s">
        <v>342</v>
      </c>
      <c r="Y718" s="18">
        <v>0</v>
      </c>
      <c r="Z718" s="17" t="s">
        <v>343</v>
      </c>
      <c r="AA718" s="17">
        <v>1</v>
      </c>
      <c r="AB718" s="17" t="s">
        <v>177</v>
      </c>
      <c r="AC718" s="1">
        <f t="shared" si="33"/>
        <v>1</v>
      </c>
      <c r="AD718" s="1">
        <f t="shared" si="34"/>
        <v>0</v>
      </c>
      <c r="AE718" s="1">
        <f t="shared" si="35"/>
        <v>0</v>
      </c>
    </row>
    <row r="719" spans="19:31">
      <c r="S719" s="17">
        <v>14</v>
      </c>
      <c r="T719" s="18"/>
      <c r="U719" s="17">
        <v>1</v>
      </c>
      <c r="V719" s="17" t="s">
        <v>91</v>
      </c>
      <c r="W719" s="18">
        <v>45</v>
      </c>
      <c r="X719" s="18" t="s">
        <v>342</v>
      </c>
      <c r="Y719" s="18">
        <v>0</v>
      </c>
      <c r="Z719" s="17" t="s">
        <v>343</v>
      </c>
      <c r="AA719" s="17">
        <v>2</v>
      </c>
      <c r="AB719" s="17" t="s">
        <v>165</v>
      </c>
      <c r="AC719" s="1">
        <f t="shared" si="33"/>
        <v>1</v>
      </c>
      <c r="AD719" s="1">
        <f t="shared" si="34"/>
        <v>0</v>
      </c>
      <c r="AE719" s="1">
        <f t="shared" si="35"/>
        <v>0</v>
      </c>
    </row>
    <row r="720" spans="19:31">
      <c r="S720" s="17">
        <v>15</v>
      </c>
      <c r="T720" s="18"/>
      <c r="U720" s="17">
        <v>1</v>
      </c>
      <c r="V720" s="17" t="s">
        <v>91</v>
      </c>
      <c r="W720" s="18">
        <v>11</v>
      </c>
      <c r="X720" s="18" t="s">
        <v>342</v>
      </c>
      <c r="Y720" s="18">
        <v>15</v>
      </c>
      <c r="Z720" s="17" t="s">
        <v>109</v>
      </c>
      <c r="AA720" s="17">
        <v>2</v>
      </c>
      <c r="AB720" s="17" t="s">
        <v>173</v>
      </c>
      <c r="AC720" s="1">
        <f t="shared" si="33"/>
        <v>0</v>
      </c>
      <c r="AD720" s="1">
        <f t="shared" si="34"/>
        <v>0</v>
      </c>
      <c r="AE720" s="1">
        <f t="shared" si="35"/>
        <v>1</v>
      </c>
    </row>
    <row r="721" spans="19:31">
      <c r="S721" s="58" t="s">
        <v>339</v>
      </c>
      <c r="T721" s="58" t="s">
        <v>340</v>
      </c>
      <c r="U721" s="58" t="s">
        <v>341</v>
      </c>
      <c r="V721" s="58" t="s">
        <v>1</v>
      </c>
      <c r="W721" s="66" t="s">
        <v>220</v>
      </c>
      <c r="X721" s="66"/>
      <c r="Y721" s="66"/>
      <c r="Z721" s="58" t="s">
        <v>1</v>
      </c>
      <c r="AA721" s="58" t="s">
        <v>341</v>
      </c>
      <c r="AB721" s="58" t="s">
        <v>395</v>
      </c>
      <c r="AC721" s="1">
        <f t="shared" si="33"/>
        <v>1</v>
      </c>
      <c r="AD721" s="1">
        <f t="shared" si="34"/>
        <v>0</v>
      </c>
      <c r="AE721" s="1">
        <f t="shared" si="35"/>
        <v>0</v>
      </c>
    </row>
    <row r="722" spans="19:31">
      <c r="S722" s="17">
        <v>1</v>
      </c>
      <c r="T722" s="18"/>
      <c r="U722" s="17">
        <v>1</v>
      </c>
      <c r="V722" s="17" t="s">
        <v>109</v>
      </c>
      <c r="W722" s="18">
        <v>4</v>
      </c>
      <c r="X722" s="18" t="s">
        <v>342</v>
      </c>
      <c r="Y722" s="18">
        <v>45</v>
      </c>
      <c r="Z722" s="17" t="s">
        <v>83</v>
      </c>
      <c r="AA722" s="17">
        <v>2</v>
      </c>
      <c r="AB722" s="17" t="s">
        <v>177</v>
      </c>
      <c r="AC722" s="1">
        <f t="shared" si="33"/>
        <v>0</v>
      </c>
      <c r="AD722" s="1">
        <f t="shared" si="34"/>
        <v>0</v>
      </c>
      <c r="AE722" s="1">
        <f t="shared" si="35"/>
        <v>1</v>
      </c>
    </row>
    <row r="723" spans="19:31">
      <c r="S723" s="17">
        <v>2</v>
      </c>
      <c r="T723" s="18"/>
      <c r="U723" s="17">
        <v>1</v>
      </c>
      <c r="V723" s="17" t="s">
        <v>109</v>
      </c>
      <c r="W723" s="18">
        <v>0</v>
      </c>
      <c r="X723" s="18" t="s">
        <v>342</v>
      </c>
      <c r="Y723" s="18">
        <v>45</v>
      </c>
      <c r="Z723" s="17" t="s">
        <v>71</v>
      </c>
      <c r="AA723" s="17">
        <v>2</v>
      </c>
      <c r="AB723" s="17" t="s">
        <v>165</v>
      </c>
      <c r="AC723" s="1">
        <f t="shared" si="33"/>
        <v>0</v>
      </c>
      <c r="AD723" s="1">
        <f t="shared" si="34"/>
        <v>0</v>
      </c>
      <c r="AE723" s="1">
        <f t="shared" si="35"/>
        <v>1</v>
      </c>
    </row>
    <row r="724" spans="19:31">
      <c r="S724" s="17">
        <v>3</v>
      </c>
      <c r="T724" s="18"/>
      <c r="U724" s="17">
        <v>1</v>
      </c>
      <c r="V724" s="17" t="s">
        <v>109</v>
      </c>
      <c r="W724" s="18">
        <v>8</v>
      </c>
      <c r="X724" s="18" t="s">
        <v>342</v>
      </c>
      <c r="Y724" s="18">
        <v>45</v>
      </c>
      <c r="Z724" s="17" t="s">
        <v>81</v>
      </c>
      <c r="AA724" s="17">
        <v>2</v>
      </c>
      <c r="AB724" s="17" t="s">
        <v>181</v>
      </c>
      <c r="AC724" s="1">
        <f t="shared" si="33"/>
        <v>0</v>
      </c>
      <c r="AD724" s="1">
        <f t="shared" si="34"/>
        <v>0</v>
      </c>
      <c r="AE724" s="1">
        <f t="shared" si="35"/>
        <v>1</v>
      </c>
    </row>
    <row r="725" spans="19:31">
      <c r="S725" s="17">
        <v>4</v>
      </c>
      <c r="T725" s="18"/>
      <c r="U725" s="17">
        <v>1</v>
      </c>
      <c r="V725" s="17" t="s">
        <v>109</v>
      </c>
      <c r="W725" s="18">
        <v>18</v>
      </c>
      <c r="X725" s="18" t="s">
        <v>342</v>
      </c>
      <c r="Y725" s="18">
        <v>45</v>
      </c>
      <c r="Z725" s="17" t="s">
        <v>121</v>
      </c>
      <c r="AA725" s="17">
        <v>2</v>
      </c>
      <c r="AB725" s="17" t="s">
        <v>173</v>
      </c>
      <c r="AC725" s="1">
        <f t="shared" si="33"/>
        <v>0</v>
      </c>
      <c r="AD725" s="1">
        <f t="shared" si="34"/>
        <v>0</v>
      </c>
      <c r="AE725" s="1">
        <f t="shared" si="35"/>
        <v>1</v>
      </c>
    </row>
    <row r="726" spans="19:31">
      <c r="S726" s="17">
        <v>5</v>
      </c>
      <c r="T726" s="18"/>
      <c r="U726" s="17">
        <v>1</v>
      </c>
      <c r="V726" s="17" t="s">
        <v>109</v>
      </c>
      <c r="W726" s="18">
        <v>1</v>
      </c>
      <c r="X726" s="18" t="s">
        <v>342</v>
      </c>
      <c r="Y726" s="18">
        <v>42</v>
      </c>
      <c r="Z726" s="17" t="s">
        <v>103</v>
      </c>
      <c r="AA726" s="17">
        <v>2</v>
      </c>
      <c r="AB726" s="17" t="s">
        <v>177</v>
      </c>
      <c r="AC726" s="1">
        <f t="shared" si="33"/>
        <v>0</v>
      </c>
      <c r="AD726" s="1">
        <f t="shared" si="34"/>
        <v>0</v>
      </c>
      <c r="AE726" s="1">
        <f t="shared" si="35"/>
        <v>1</v>
      </c>
    </row>
    <row r="727" spans="19:31">
      <c r="S727" s="17">
        <v>6</v>
      </c>
      <c r="T727" s="18"/>
      <c r="U727" s="17">
        <v>2</v>
      </c>
      <c r="V727" s="17" t="s">
        <v>109</v>
      </c>
      <c r="W727" s="18">
        <v>10</v>
      </c>
      <c r="X727" s="18" t="s">
        <v>342</v>
      </c>
      <c r="Y727" s="18">
        <v>45</v>
      </c>
      <c r="Z727" s="17" t="s">
        <v>99</v>
      </c>
      <c r="AA727" s="17">
        <v>1</v>
      </c>
      <c r="AB727" s="17" t="s">
        <v>181</v>
      </c>
      <c r="AC727" s="1">
        <f t="shared" si="33"/>
        <v>0</v>
      </c>
      <c r="AD727" s="1">
        <f t="shared" si="34"/>
        <v>0</v>
      </c>
      <c r="AE727" s="1">
        <f t="shared" si="35"/>
        <v>1</v>
      </c>
    </row>
    <row r="728" spans="19:31">
      <c r="S728" s="17">
        <v>7</v>
      </c>
      <c r="T728" s="18"/>
      <c r="U728" s="17">
        <v>1</v>
      </c>
      <c r="V728" s="17" t="s">
        <v>109</v>
      </c>
      <c r="W728" s="18">
        <v>0</v>
      </c>
      <c r="X728" s="18" t="s">
        <v>342</v>
      </c>
      <c r="Y728" s="18">
        <v>45</v>
      </c>
      <c r="Z728" s="17" t="s">
        <v>29</v>
      </c>
      <c r="AA728" s="17">
        <v>2</v>
      </c>
      <c r="AB728" s="17" t="s">
        <v>165</v>
      </c>
      <c r="AC728" s="1">
        <f t="shared" si="33"/>
        <v>0</v>
      </c>
      <c r="AD728" s="1">
        <f t="shared" si="34"/>
        <v>0</v>
      </c>
      <c r="AE728" s="1">
        <f t="shared" si="35"/>
        <v>1</v>
      </c>
    </row>
    <row r="729" spans="19:31">
      <c r="S729" s="17">
        <v>8</v>
      </c>
      <c r="T729" s="18"/>
      <c r="U729" s="17">
        <v>2</v>
      </c>
      <c r="V729" s="17" t="s">
        <v>109</v>
      </c>
      <c r="W729" s="18">
        <v>0</v>
      </c>
      <c r="X729" s="18" t="s">
        <v>342</v>
      </c>
      <c r="Y729" s="18">
        <v>45</v>
      </c>
      <c r="Z729" s="17" t="s">
        <v>49</v>
      </c>
      <c r="AA729" s="17">
        <v>1</v>
      </c>
      <c r="AB729" s="17" t="s">
        <v>173</v>
      </c>
      <c r="AC729" s="1">
        <f t="shared" si="33"/>
        <v>0</v>
      </c>
      <c r="AD729" s="1">
        <f t="shared" si="34"/>
        <v>0</v>
      </c>
      <c r="AE729" s="1">
        <f t="shared" si="35"/>
        <v>1</v>
      </c>
    </row>
    <row r="730" spans="19:31">
      <c r="S730" s="17">
        <v>9</v>
      </c>
      <c r="T730" s="18"/>
      <c r="U730" s="17">
        <v>1</v>
      </c>
      <c r="V730" s="17" t="s">
        <v>109</v>
      </c>
      <c r="W730" s="18">
        <v>10</v>
      </c>
      <c r="X730" s="18" t="s">
        <v>342</v>
      </c>
      <c r="Y730" s="18">
        <v>28</v>
      </c>
      <c r="Z730" s="17" t="s">
        <v>61</v>
      </c>
      <c r="AA730" s="17">
        <v>2</v>
      </c>
      <c r="AB730" s="17" t="s">
        <v>181</v>
      </c>
      <c r="AC730" s="1">
        <f t="shared" si="33"/>
        <v>0</v>
      </c>
      <c r="AD730" s="1">
        <f t="shared" si="34"/>
        <v>0</v>
      </c>
      <c r="AE730" s="1">
        <f t="shared" si="35"/>
        <v>1</v>
      </c>
    </row>
    <row r="731" spans="19:31">
      <c r="S731" s="17">
        <v>10</v>
      </c>
      <c r="T731" s="18"/>
      <c r="U731" s="17">
        <v>1</v>
      </c>
      <c r="V731" s="17" t="s">
        <v>109</v>
      </c>
      <c r="W731" s="18">
        <v>13</v>
      </c>
      <c r="X731" s="18" t="s">
        <v>342</v>
      </c>
      <c r="Y731" s="18">
        <v>45</v>
      </c>
      <c r="Z731" s="17" t="s">
        <v>95</v>
      </c>
      <c r="AA731" s="17">
        <v>2</v>
      </c>
      <c r="AB731" s="17" t="s">
        <v>177</v>
      </c>
      <c r="AC731" s="1">
        <f t="shared" si="33"/>
        <v>0</v>
      </c>
      <c r="AD731" s="1">
        <f t="shared" si="34"/>
        <v>0</v>
      </c>
      <c r="AE731" s="1">
        <f t="shared" si="35"/>
        <v>1</v>
      </c>
    </row>
    <row r="732" spans="19:31">
      <c r="S732" s="17">
        <v>11</v>
      </c>
      <c r="T732" s="18"/>
      <c r="U732" s="17">
        <v>1</v>
      </c>
      <c r="V732" s="17" t="s">
        <v>109</v>
      </c>
      <c r="W732" s="18">
        <v>9</v>
      </c>
      <c r="X732" s="18" t="s">
        <v>342</v>
      </c>
      <c r="Y732" s="18">
        <v>45</v>
      </c>
      <c r="Z732" s="17" t="s">
        <v>45</v>
      </c>
      <c r="AA732" s="17">
        <v>2</v>
      </c>
      <c r="AB732" s="17" t="s">
        <v>173</v>
      </c>
      <c r="AC732" s="1">
        <f t="shared" si="33"/>
        <v>0</v>
      </c>
      <c r="AD732" s="1">
        <f t="shared" si="34"/>
        <v>0</v>
      </c>
      <c r="AE732" s="1">
        <f t="shared" si="35"/>
        <v>1</v>
      </c>
    </row>
    <row r="733" spans="19:31">
      <c r="S733" s="17">
        <v>12</v>
      </c>
      <c r="T733" s="18"/>
      <c r="U733" s="17">
        <v>2</v>
      </c>
      <c r="V733" s="17" t="s">
        <v>109</v>
      </c>
      <c r="W733" s="18">
        <v>0</v>
      </c>
      <c r="X733" s="18" t="s">
        <v>342</v>
      </c>
      <c r="Y733" s="18">
        <v>45</v>
      </c>
      <c r="Z733" s="17" t="s">
        <v>37</v>
      </c>
      <c r="AA733" s="17">
        <v>1</v>
      </c>
      <c r="AB733" s="17" t="s">
        <v>165</v>
      </c>
      <c r="AC733" s="1">
        <f t="shared" si="33"/>
        <v>0</v>
      </c>
      <c r="AD733" s="1">
        <f t="shared" si="34"/>
        <v>0</v>
      </c>
      <c r="AE733" s="1">
        <f t="shared" si="35"/>
        <v>1</v>
      </c>
    </row>
    <row r="734" spans="19:31">
      <c r="S734" s="17">
        <v>13</v>
      </c>
      <c r="T734" s="18"/>
      <c r="U734" s="17">
        <v>2</v>
      </c>
      <c r="V734" s="17" t="s">
        <v>109</v>
      </c>
      <c r="W734" s="18">
        <v>45</v>
      </c>
      <c r="X734" s="18" t="s">
        <v>342</v>
      </c>
      <c r="Y734" s="18">
        <v>0</v>
      </c>
      <c r="Z734" s="17" t="s">
        <v>343</v>
      </c>
      <c r="AA734" s="17">
        <v>1</v>
      </c>
      <c r="AB734" s="17" t="s">
        <v>177</v>
      </c>
      <c r="AC734" s="1">
        <f t="shared" si="33"/>
        <v>1</v>
      </c>
      <c r="AD734" s="1">
        <f t="shared" si="34"/>
        <v>0</v>
      </c>
      <c r="AE734" s="1">
        <f t="shared" si="35"/>
        <v>0</v>
      </c>
    </row>
    <row r="735" spans="19:31">
      <c r="S735" s="17">
        <v>14</v>
      </c>
      <c r="T735" s="18"/>
      <c r="U735" s="17">
        <v>2</v>
      </c>
      <c r="V735" s="17" t="s">
        <v>109</v>
      </c>
      <c r="W735" s="18">
        <v>45</v>
      </c>
      <c r="X735" s="18" t="s">
        <v>342</v>
      </c>
      <c r="Y735" s="18">
        <v>0</v>
      </c>
      <c r="Z735" s="17" t="s">
        <v>343</v>
      </c>
      <c r="AA735" s="17">
        <v>1</v>
      </c>
      <c r="AB735" s="17" t="s">
        <v>165</v>
      </c>
      <c r="AC735" s="1">
        <f t="shared" si="33"/>
        <v>1</v>
      </c>
      <c r="AD735" s="1">
        <f t="shared" si="34"/>
        <v>0</v>
      </c>
      <c r="AE735" s="1">
        <f t="shared" si="35"/>
        <v>0</v>
      </c>
    </row>
    <row r="736" spans="19:31">
      <c r="S736" s="17">
        <v>15</v>
      </c>
      <c r="T736" s="18"/>
      <c r="U736" s="17">
        <v>2</v>
      </c>
      <c r="V736" s="17" t="s">
        <v>109</v>
      </c>
      <c r="W736" s="18">
        <v>15</v>
      </c>
      <c r="X736" s="18" t="s">
        <v>342</v>
      </c>
      <c r="Y736" s="18">
        <v>11</v>
      </c>
      <c r="Z736" s="17" t="s">
        <v>91</v>
      </c>
      <c r="AA736" s="17">
        <v>1</v>
      </c>
      <c r="AB736" s="17" t="s">
        <v>173</v>
      </c>
      <c r="AC736" s="1">
        <f t="shared" si="33"/>
        <v>1</v>
      </c>
      <c r="AD736" s="1">
        <f t="shared" si="34"/>
        <v>0</v>
      </c>
      <c r="AE736" s="1">
        <f t="shared" si="35"/>
        <v>0</v>
      </c>
    </row>
    <row r="737" spans="19:31">
      <c r="S737" s="58" t="s">
        <v>339</v>
      </c>
      <c r="T737" s="58" t="s">
        <v>340</v>
      </c>
      <c r="U737" s="58" t="s">
        <v>341</v>
      </c>
      <c r="V737" s="58" t="s">
        <v>1</v>
      </c>
      <c r="W737" s="66" t="s">
        <v>220</v>
      </c>
      <c r="X737" s="66"/>
      <c r="Y737" s="66"/>
      <c r="Z737" s="58" t="s">
        <v>1</v>
      </c>
      <c r="AA737" s="58" t="s">
        <v>341</v>
      </c>
      <c r="AB737" s="58" t="s">
        <v>395</v>
      </c>
      <c r="AC737" s="1">
        <f t="shared" si="33"/>
        <v>1</v>
      </c>
      <c r="AD737" s="1">
        <f t="shared" si="34"/>
        <v>0</v>
      </c>
      <c r="AE737" s="1">
        <f t="shared" si="35"/>
        <v>0</v>
      </c>
    </row>
    <row r="738" spans="19:31">
      <c r="S738" s="17">
        <v>1</v>
      </c>
      <c r="T738" s="18"/>
      <c r="U738" s="17">
        <v>2</v>
      </c>
      <c r="V738" s="17" t="s">
        <v>343</v>
      </c>
      <c r="W738" s="18">
        <v>0</v>
      </c>
      <c r="X738" s="18" t="s">
        <v>342</v>
      </c>
      <c r="Y738" s="18">
        <v>1</v>
      </c>
      <c r="Z738" s="17" t="s">
        <v>81</v>
      </c>
      <c r="AA738" s="17">
        <v>1</v>
      </c>
      <c r="AB738" s="17" t="s">
        <v>177</v>
      </c>
      <c r="AC738" s="1">
        <f t="shared" si="33"/>
        <v>0</v>
      </c>
      <c r="AD738" s="1">
        <f t="shared" si="34"/>
        <v>0</v>
      </c>
      <c r="AE738" s="1">
        <f t="shared" si="35"/>
        <v>1</v>
      </c>
    </row>
    <row r="739" spans="19:31">
      <c r="S739" s="17">
        <v>2</v>
      </c>
      <c r="T739" s="18"/>
      <c r="U739" s="17">
        <v>2</v>
      </c>
      <c r="V739" s="17" t="s">
        <v>343</v>
      </c>
      <c r="W739" s="18">
        <v>0</v>
      </c>
      <c r="X739" s="18" t="s">
        <v>342</v>
      </c>
      <c r="Y739" s="18">
        <v>1</v>
      </c>
      <c r="Z739" s="17" t="s">
        <v>81</v>
      </c>
      <c r="AA739" s="17">
        <v>1</v>
      </c>
      <c r="AB739" s="17" t="s">
        <v>165</v>
      </c>
      <c r="AC739" s="1">
        <f t="shared" si="33"/>
        <v>0</v>
      </c>
      <c r="AD739" s="1">
        <f t="shared" si="34"/>
        <v>0</v>
      </c>
      <c r="AE739" s="1">
        <f t="shared" si="35"/>
        <v>1</v>
      </c>
    </row>
    <row r="740" spans="19:31">
      <c r="S740" s="17">
        <v>3</v>
      </c>
      <c r="T740" s="18"/>
      <c r="U740" s="17">
        <v>2</v>
      </c>
      <c r="V740" s="17" t="s">
        <v>343</v>
      </c>
      <c r="W740" s="18">
        <v>0</v>
      </c>
      <c r="X740" s="18" t="s">
        <v>342</v>
      </c>
      <c r="Y740" s="18">
        <v>1</v>
      </c>
      <c r="Z740" s="17" t="s">
        <v>83</v>
      </c>
      <c r="AA740" s="17">
        <v>1</v>
      </c>
      <c r="AB740" s="17" t="s">
        <v>181</v>
      </c>
      <c r="AC740" s="1">
        <f t="shared" si="33"/>
        <v>0</v>
      </c>
      <c r="AD740" s="1">
        <f t="shared" si="34"/>
        <v>0</v>
      </c>
      <c r="AE740" s="1">
        <f t="shared" si="35"/>
        <v>1</v>
      </c>
    </row>
    <row r="741" spans="19:31">
      <c r="S741" s="17">
        <v>4</v>
      </c>
      <c r="T741" s="18"/>
      <c r="U741" s="17">
        <v>2</v>
      </c>
      <c r="V741" s="17" t="s">
        <v>343</v>
      </c>
      <c r="W741" s="18">
        <v>0</v>
      </c>
      <c r="X741" s="18" t="s">
        <v>342</v>
      </c>
      <c r="Y741" s="18">
        <v>1</v>
      </c>
      <c r="Z741" s="17" t="s">
        <v>83</v>
      </c>
      <c r="AA741" s="17">
        <v>1</v>
      </c>
      <c r="AB741" s="17" t="s">
        <v>173</v>
      </c>
      <c r="AC741" s="1">
        <f t="shared" si="33"/>
        <v>0</v>
      </c>
      <c r="AD741" s="1">
        <f t="shared" si="34"/>
        <v>0</v>
      </c>
      <c r="AE741" s="1">
        <f t="shared" si="35"/>
        <v>1</v>
      </c>
    </row>
    <row r="742" spans="19:31">
      <c r="S742" s="17">
        <v>5</v>
      </c>
      <c r="T742" s="18"/>
      <c r="U742" s="17">
        <v>1</v>
      </c>
      <c r="V742" s="17" t="s">
        <v>343</v>
      </c>
      <c r="W742" s="18">
        <v>0</v>
      </c>
      <c r="X742" s="18" t="s">
        <v>342</v>
      </c>
      <c r="Y742" s="18">
        <v>1</v>
      </c>
      <c r="Z742" s="17" t="s">
        <v>29</v>
      </c>
      <c r="AA742" s="17">
        <v>2</v>
      </c>
      <c r="AB742" s="17" t="s">
        <v>177</v>
      </c>
      <c r="AC742" s="1">
        <f t="shared" si="33"/>
        <v>0</v>
      </c>
      <c r="AD742" s="1">
        <f t="shared" si="34"/>
        <v>0</v>
      </c>
      <c r="AE742" s="1">
        <f t="shared" si="35"/>
        <v>1</v>
      </c>
    </row>
    <row r="743" spans="19:31">
      <c r="S743" s="17">
        <v>6</v>
      </c>
      <c r="T743" s="18"/>
      <c r="U743" s="17">
        <v>2</v>
      </c>
      <c r="V743" s="17" t="s">
        <v>343</v>
      </c>
      <c r="W743" s="18">
        <v>0</v>
      </c>
      <c r="X743" s="18" t="s">
        <v>342</v>
      </c>
      <c r="Y743" s="18">
        <v>1</v>
      </c>
      <c r="Z743" s="17" t="s">
        <v>29</v>
      </c>
      <c r="AA743" s="17">
        <v>1</v>
      </c>
      <c r="AB743" s="17" t="s">
        <v>181</v>
      </c>
      <c r="AC743" s="1">
        <f t="shared" si="33"/>
        <v>0</v>
      </c>
      <c r="AD743" s="1">
        <f t="shared" si="34"/>
        <v>0</v>
      </c>
      <c r="AE743" s="1">
        <f t="shared" si="35"/>
        <v>1</v>
      </c>
    </row>
    <row r="744" spans="19:31">
      <c r="S744" s="17">
        <v>7</v>
      </c>
      <c r="T744" s="18"/>
      <c r="U744" s="17">
        <v>2</v>
      </c>
      <c r="V744" s="17" t="s">
        <v>343</v>
      </c>
      <c r="W744" s="18">
        <v>0</v>
      </c>
      <c r="X744" s="18" t="s">
        <v>342</v>
      </c>
      <c r="Y744" s="18">
        <v>1</v>
      </c>
      <c r="Z744" s="17" t="s">
        <v>103</v>
      </c>
      <c r="AA744" s="17">
        <v>1</v>
      </c>
      <c r="AB744" s="17" t="s">
        <v>165</v>
      </c>
      <c r="AC744" s="1">
        <f t="shared" si="33"/>
        <v>0</v>
      </c>
      <c r="AD744" s="1">
        <f t="shared" si="34"/>
        <v>0</v>
      </c>
      <c r="AE744" s="1">
        <f t="shared" si="35"/>
        <v>1</v>
      </c>
    </row>
    <row r="745" spans="19:31">
      <c r="S745" s="17">
        <v>8</v>
      </c>
      <c r="T745" s="18"/>
      <c r="U745" s="17">
        <v>1</v>
      </c>
      <c r="V745" s="17" t="s">
        <v>343</v>
      </c>
      <c r="W745" s="18">
        <v>0</v>
      </c>
      <c r="X745" s="18" t="s">
        <v>342</v>
      </c>
      <c r="Y745" s="18">
        <v>1</v>
      </c>
      <c r="Z745" s="17" t="s">
        <v>103</v>
      </c>
      <c r="AA745" s="17">
        <v>2</v>
      </c>
      <c r="AB745" s="17" t="s">
        <v>173</v>
      </c>
      <c r="AC745" s="1">
        <f t="shared" si="33"/>
        <v>0</v>
      </c>
      <c r="AD745" s="1">
        <f t="shared" si="34"/>
        <v>0</v>
      </c>
      <c r="AE745" s="1">
        <f t="shared" si="35"/>
        <v>1</v>
      </c>
    </row>
    <row r="746" spans="19:31">
      <c r="S746" s="17">
        <v>9</v>
      </c>
      <c r="T746" s="18"/>
      <c r="U746" s="17">
        <v>2</v>
      </c>
      <c r="V746" s="17" t="s">
        <v>343</v>
      </c>
      <c r="W746" s="18">
        <v>0</v>
      </c>
      <c r="X746" s="18" t="s">
        <v>342</v>
      </c>
      <c r="Y746" s="18">
        <v>1</v>
      </c>
      <c r="Z746" s="17" t="s">
        <v>45</v>
      </c>
      <c r="AA746" s="17">
        <v>1</v>
      </c>
      <c r="AB746" s="17" t="s">
        <v>181</v>
      </c>
      <c r="AC746" s="1">
        <f t="shared" si="33"/>
        <v>0</v>
      </c>
      <c r="AD746" s="1">
        <f t="shared" si="34"/>
        <v>0</v>
      </c>
      <c r="AE746" s="1">
        <f t="shared" si="35"/>
        <v>1</v>
      </c>
    </row>
    <row r="747" spans="19:31">
      <c r="S747" s="17">
        <v>10</v>
      </c>
      <c r="T747" s="18"/>
      <c r="U747" s="17">
        <v>1</v>
      </c>
      <c r="V747" s="17" t="s">
        <v>343</v>
      </c>
      <c r="W747" s="18">
        <v>0</v>
      </c>
      <c r="X747" s="18" t="s">
        <v>342</v>
      </c>
      <c r="Y747" s="18">
        <v>1</v>
      </c>
      <c r="Z747" s="17" t="s">
        <v>45</v>
      </c>
      <c r="AA747" s="17">
        <v>2</v>
      </c>
      <c r="AB747" s="17" t="s">
        <v>177</v>
      </c>
      <c r="AC747" s="1">
        <f t="shared" si="33"/>
        <v>0</v>
      </c>
      <c r="AD747" s="1">
        <f t="shared" si="34"/>
        <v>0</v>
      </c>
      <c r="AE747" s="1">
        <f t="shared" si="35"/>
        <v>1</v>
      </c>
    </row>
    <row r="748" spans="19:31">
      <c r="S748" s="17">
        <v>11</v>
      </c>
      <c r="T748" s="18"/>
      <c r="U748" s="17">
        <v>2</v>
      </c>
      <c r="V748" s="17" t="s">
        <v>343</v>
      </c>
      <c r="W748" s="18">
        <v>0</v>
      </c>
      <c r="X748" s="18" t="s">
        <v>342</v>
      </c>
      <c r="Y748" s="18">
        <v>1</v>
      </c>
      <c r="Z748" s="17" t="s">
        <v>61</v>
      </c>
      <c r="AA748" s="17">
        <v>1</v>
      </c>
      <c r="AB748" s="17" t="s">
        <v>173</v>
      </c>
      <c r="AC748" s="1">
        <f t="shared" si="33"/>
        <v>0</v>
      </c>
      <c r="AD748" s="1">
        <f t="shared" si="34"/>
        <v>0</v>
      </c>
      <c r="AE748" s="1">
        <f t="shared" si="35"/>
        <v>1</v>
      </c>
    </row>
    <row r="749" spans="19:31">
      <c r="S749" s="17">
        <v>12</v>
      </c>
      <c r="T749" s="18"/>
      <c r="U749" s="17">
        <v>2</v>
      </c>
      <c r="V749" s="17" t="s">
        <v>343</v>
      </c>
      <c r="W749" s="18">
        <v>0</v>
      </c>
      <c r="X749" s="18" t="s">
        <v>342</v>
      </c>
      <c r="Y749" s="18">
        <v>1</v>
      </c>
      <c r="Z749" s="17" t="s">
        <v>61</v>
      </c>
      <c r="AA749" s="17">
        <v>1</v>
      </c>
      <c r="AB749" s="17" t="s">
        <v>165</v>
      </c>
      <c r="AC749" s="1">
        <f t="shared" si="33"/>
        <v>0</v>
      </c>
      <c r="AD749" s="1">
        <f t="shared" si="34"/>
        <v>0</v>
      </c>
      <c r="AE749" s="1">
        <f t="shared" si="35"/>
        <v>1</v>
      </c>
    </row>
    <row r="750" spans="19:31">
      <c r="S750" s="17">
        <v>13</v>
      </c>
      <c r="T750" s="18"/>
      <c r="U750" s="17">
        <v>1</v>
      </c>
      <c r="V750" s="17" t="s">
        <v>343</v>
      </c>
      <c r="W750" s="18">
        <v>0</v>
      </c>
      <c r="X750" s="18" t="s">
        <v>342</v>
      </c>
      <c r="Y750" s="18">
        <v>1</v>
      </c>
      <c r="Z750" s="17" t="s">
        <v>91</v>
      </c>
      <c r="AA750" s="17">
        <v>2</v>
      </c>
      <c r="AB750" s="17" t="s">
        <v>177</v>
      </c>
      <c r="AC750" s="1">
        <f t="shared" si="33"/>
        <v>0</v>
      </c>
      <c r="AD750" s="1">
        <f t="shared" si="34"/>
        <v>0</v>
      </c>
      <c r="AE750" s="1">
        <f t="shared" si="35"/>
        <v>1</v>
      </c>
    </row>
    <row r="751" spans="19:31">
      <c r="S751" s="17">
        <v>14</v>
      </c>
      <c r="T751" s="18"/>
      <c r="U751" s="17">
        <v>2</v>
      </c>
      <c r="V751" s="17" t="s">
        <v>343</v>
      </c>
      <c r="W751" s="18">
        <v>0</v>
      </c>
      <c r="X751" s="18" t="s">
        <v>342</v>
      </c>
      <c r="Y751" s="18">
        <v>1</v>
      </c>
      <c r="Z751" s="17" t="s">
        <v>91</v>
      </c>
      <c r="AA751" s="17">
        <v>1</v>
      </c>
      <c r="AB751" s="17" t="s">
        <v>165</v>
      </c>
      <c r="AC751" s="1">
        <f t="shared" si="33"/>
        <v>0</v>
      </c>
      <c r="AD751" s="1">
        <f t="shared" si="34"/>
        <v>0</v>
      </c>
      <c r="AE751" s="1">
        <f t="shared" si="35"/>
        <v>1</v>
      </c>
    </row>
    <row r="752" spans="19:31">
      <c r="S752" s="17">
        <v>15</v>
      </c>
      <c r="T752" s="18"/>
      <c r="U752" s="17">
        <v>2</v>
      </c>
      <c r="V752" s="17" t="s">
        <v>343</v>
      </c>
      <c r="W752" s="18">
        <v>0</v>
      </c>
      <c r="X752" s="18" t="s">
        <v>342</v>
      </c>
      <c r="Y752" s="18">
        <v>1</v>
      </c>
      <c r="Z752" s="17" t="s">
        <v>343</v>
      </c>
      <c r="AA752" s="17">
        <v>1</v>
      </c>
      <c r="AB752" s="17" t="s">
        <v>173</v>
      </c>
      <c r="AC752" s="1">
        <f t="shared" si="33"/>
        <v>0</v>
      </c>
      <c r="AD752" s="1">
        <f t="shared" si="34"/>
        <v>0</v>
      </c>
      <c r="AE752" s="1">
        <f t="shared" si="35"/>
        <v>1</v>
      </c>
    </row>
    <row r="753" spans="19:31">
      <c r="S753" s="58" t="s">
        <v>339</v>
      </c>
      <c r="T753" s="58" t="s">
        <v>340</v>
      </c>
      <c r="U753" s="58" t="s">
        <v>341</v>
      </c>
      <c r="V753" s="58" t="s">
        <v>1</v>
      </c>
      <c r="W753" s="66" t="s">
        <v>220</v>
      </c>
      <c r="X753" s="66"/>
      <c r="Y753" s="66"/>
      <c r="Z753" s="58" t="s">
        <v>1</v>
      </c>
      <c r="AA753" s="58" t="s">
        <v>341</v>
      </c>
      <c r="AB753" s="58" t="s">
        <v>395</v>
      </c>
      <c r="AC753" s="1">
        <f t="shared" si="33"/>
        <v>1</v>
      </c>
      <c r="AD753" s="1">
        <f t="shared" si="34"/>
        <v>0</v>
      </c>
      <c r="AE753" s="1">
        <f t="shared" si="35"/>
        <v>0</v>
      </c>
    </row>
    <row r="754" spans="19:31">
      <c r="S754" s="17">
        <v>1</v>
      </c>
      <c r="T754" s="18"/>
      <c r="U754" s="17">
        <v>2</v>
      </c>
      <c r="V754" s="17" t="s">
        <v>343</v>
      </c>
      <c r="W754" s="18">
        <v>0</v>
      </c>
      <c r="X754" s="18" t="s">
        <v>342</v>
      </c>
      <c r="Y754" s="18">
        <v>1</v>
      </c>
      <c r="Z754" s="17" t="s">
        <v>81</v>
      </c>
      <c r="AA754" s="17">
        <v>1</v>
      </c>
      <c r="AB754" s="17" t="s">
        <v>177</v>
      </c>
      <c r="AC754" s="1">
        <f t="shared" si="33"/>
        <v>0</v>
      </c>
      <c r="AD754" s="1">
        <f t="shared" si="34"/>
        <v>0</v>
      </c>
      <c r="AE754" s="1">
        <f t="shared" si="35"/>
        <v>1</v>
      </c>
    </row>
    <row r="755" spans="19:31">
      <c r="S755" s="17">
        <v>2</v>
      </c>
      <c r="T755" s="18"/>
      <c r="U755" s="17">
        <v>2</v>
      </c>
      <c r="V755" s="17" t="s">
        <v>343</v>
      </c>
      <c r="W755" s="18">
        <v>0</v>
      </c>
      <c r="X755" s="18" t="s">
        <v>342</v>
      </c>
      <c r="Y755" s="18">
        <v>1</v>
      </c>
      <c r="Z755" s="17" t="s">
        <v>81</v>
      </c>
      <c r="AA755" s="17">
        <v>1</v>
      </c>
      <c r="AB755" s="17" t="s">
        <v>165</v>
      </c>
      <c r="AC755" s="1">
        <f t="shared" si="33"/>
        <v>0</v>
      </c>
      <c r="AD755" s="1">
        <f t="shared" si="34"/>
        <v>0</v>
      </c>
      <c r="AE755" s="1">
        <f t="shared" si="35"/>
        <v>1</v>
      </c>
    </row>
    <row r="756" spans="19:31">
      <c r="S756" s="17">
        <v>3</v>
      </c>
      <c r="T756" s="18"/>
      <c r="U756" s="17">
        <v>2</v>
      </c>
      <c r="V756" s="17" t="s">
        <v>343</v>
      </c>
      <c r="W756" s="18">
        <v>0</v>
      </c>
      <c r="X756" s="18" t="s">
        <v>342</v>
      </c>
      <c r="Y756" s="18">
        <v>1</v>
      </c>
      <c r="Z756" s="17" t="s">
        <v>83</v>
      </c>
      <c r="AA756" s="17">
        <v>1</v>
      </c>
      <c r="AB756" s="17" t="s">
        <v>181</v>
      </c>
      <c r="AC756" s="1">
        <f t="shared" si="33"/>
        <v>0</v>
      </c>
      <c r="AD756" s="1">
        <f t="shared" si="34"/>
        <v>0</v>
      </c>
      <c r="AE756" s="1">
        <f t="shared" si="35"/>
        <v>1</v>
      </c>
    </row>
    <row r="757" spans="19:31">
      <c r="S757" s="17">
        <v>4</v>
      </c>
      <c r="T757" s="18"/>
      <c r="U757" s="17">
        <v>2</v>
      </c>
      <c r="V757" s="17" t="s">
        <v>343</v>
      </c>
      <c r="W757" s="18">
        <v>0</v>
      </c>
      <c r="X757" s="18" t="s">
        <v>342</v>
      </c>
      <c r="Y757" s="18">
        <v>1</v>
      </c>
      <c r="Z757" s="17" t="s">
        <v>83</v>
      </c>
      <c r="AA757" s="17">
        <v>1</v>
      </c>
      <c r="AB757" s="17" t="s">
        <v>173</v>
      </c>
      <c r="AC757" s="1">
        <f t="shared" si="33"/>
        <v>0</v>
      </c>
      <c r="AD757" s="1">
        <f t="shared" si="34"/>
        <v>0</v>
      </c>
      <c r="AE757" s="1">
        <f t="shared" si="35"/>
        <v>1</v>
      </c>
    </row>
    <row r="758" spans="19:31">
      <c r="S758" s="17">
        <v>5</v>
      </c>
      <c r="T758" s="18"/>
      <c r="U758" s="17">
        <v>1</v>
      </c>
      <c r="V758" s="17" t="s">
        <v>343</v>
      </c>
      <c r="W758" s="18">
        <v>0</v>
      </c>
      <c r="X758" s="18" t="s">
        <v>342</v>
      </c>
      <c r="Y758" s="18">
        <v>1</v>
      </c>
      <c r="Z758" s="17" t="s">
        <v>29</v>
      </c>
      <c r="AA758" s="17">
        <v>2</v>
      </c>
      <c r="AB758" s="17" t="s">
        <v>177</v>
      </c>
      <c r="AC758" s="1">
        <f t="shared" si="33"/>
        <v>0</v>
      </c>
      <c r="AD758" s="1">
        <f t="shared" si="34"/>
        <v>0</v>
      </c>
      <c r="AE758" s="1">
        <f t="shared" si="35"/>
        <v>1</v>
      </c>
    </row>
    <row r="759" spans="19:31">
      <c r="S759" s="17">
        <v>6</v>
      </c>
      <c r="T759" s="18"/>
      <c r="U759" s="17">
        <v>2</v>
      </c>
      <c r="V759" s="17" t="s">
        <v>343</v>
      </c>
      <c r="W759" s="18">
        <v>0</v>
      </c>
      <c r="X759" s="18" t="s">
        <v>342</v>
      </c>
      <c r="Y759" s="18">
        <v>1</v>
      </c>
      <c r="Z759" s="17" t="s">
        <v>29</v>
      </c>
      <c r="AA759" s="17">
        <v>1</v>
      </c>
      <c r="AB759" s="17" t="s">
        <v>181</v>
      </c>
      <c r="AC759" s="1">
        <f t="shared" si="33"/>
        <v>0</v>
      </c>
      <c r="AD759" s="1">
        <f t="shared" si="34"/>
        <v>0</v>
      </c>
      <c r="AE759" s="1">
        <f t="shared" si="35"/>
        <v>1</v>
      </c>
    </row>
    <row r="760" spans="19:31">
      <c r="S760" s="17">
        <v>7</v>
      </c>
      <c r="T760" s="18"/>
      <c r="U760" s="17">
        <v>2</v>
      </c>
      <c r="V760" s="17" t="s">
        <v>343</v>
      </c>
      <c r="W760" s="18">
        <v>0</v>
      </c>
      <c r="X760" s="18" t="s">
        <v>342</v>
      </c>
      <c r="Y760" s="18">
        <v>1</v>
      </c>
      <c r="Z760" s="17" t="s">
        <v>103</v>
      </c>
      <c r="AA760" s="17">
        <v>1</v>
      </c>
      <c r="AB760" s="17" t="s">
        <v>165</v>
      </c>
      <c r="AC760" s="1">
        <f t="shared" si="33"/>
        <v>0</v>
      </c>
      <c r="AD760" s="1">
        <f t="shared" si="34"/>
        <v>0</v>
      </c>
      <c r="AE760" s="1">
        <f t="shared" si="35"/>
        <v>1</v>
      </c>
    </row>
    <row r="761" spans="19:31">
      <c r="S761" s="17">
        <v>8</v>
      </c>
      <c r="T761" s="18"/>
      <c r="U761" s="17">
        <v>1</v>
      </c>
      <c r="V761" s="17" t="s">
        <v>343</v>
      </c>
      <c r="W761" s="18">
        <v>0</v>
      </c>
      <c r="X761" s="18" t="s">
        <v>342</v>
      </c>
      <c r="Y761" s="18">
        <v>1</v>
      </c>
      <c r="Z761" s="17" t="s">
        <v>103</v>
      </c>
      <c r="AA761" s="17">
        <v>2</v>
      </c>
      <c r="AB761" s="17" t="s">
        <v>173</v>
      </c>
      <c r="AC761" s="1">
        <f t="shared" si="33"/>
        <v>0</v>
      </c>
      <c r="AD761" s="1">
        <f t="shared" si="34"/>
        <v>0</v>
      </c>
      <c r="AE761" s="1">
        <f t="shared" si="35"/>
        <v>1</v>
      </c>
    </row>
    <row r="762" spans="19:31">
      <c r="S762" s="17">
        <v>9</v>
      </c>
      <c r="T762" s="18"/>
      <c r="U762" s="17">
        <v>2</v>
      </c>
      <c r="V762" s="17" t="s">
        <v>343</v>
      </c>
      <c r="W762" s="18">
        <v>0</v>
      </c>
      <c r="X762" s="18" t="s">
        <v>342</v>
      </c>
      <c r="Y762" s="18">
        <v>1</v>
      </c>
      <c r="Z762" s="17" t="s">
        <v>45</v>
      </c>
      <c r="AA762" s="17">
        <v>1</v>
      </c>
      <c r="AB762" s="17" t="s">
        <v>181</v>
      </c>
      <c r="AC762" s="1">
        <f t="shared" si="33"/>
        <v>0</v>
      </c>
      <c r="AD762" s="1">
        <f t="shared" si="34"/>
        <v>0</v>
      </c>
      <c r="AE762" s="1">
        <f t="shared" si="35"/>
        <v>1</v>
      </c>
    </row>
    <row r="763" spans="19:31">
      <c r="S763" s="17">
        <v>10</v>
      </c>
      <c r="T763" s="18"/>
      <c r="U763" s="17">
        <v>1</v>
      </c>
      <c r="V763" s="17" t="s">
        <v>343</v>
      </c>
      <c r="W763" s="18">
        <v>0</v>
      </c>
      <c r="X763" s="18" t="s">
        <v>342</v>
      </c>
      <c r="Y763" s="18">
        <v>1</v>
      </c>
      <c r="Z763" s="17" t="s">
        <v>45</v>
      </c>
      <c r="AA763" s="17">
        <v>2</v>
      </c>
      <c r="AB763" s="17" t="s">
        <v>177</v>
      </c>
      <c r="AC763" s="1">
        <f t="shared" si="33"/>
        <v>0</v>
      </c>
      <c r="AD763" s="1">
        <f t="shared" si="34"/>
        <v>0</v>
      </c>
      <c r="AE763" s="1">
        <f t="shared" si="35"/>
        <v>1</v>
      </c>
    </row>
    <row r="764" spans="19:31">
      <c r="S764" s="17">
        <v>11</v>
      </c>
      <c r="T764" s="18"/>
      <c r="U764" s="17">
        <v>2</v>
      </c>
      <c r="V764" s="17" t="s">
        <v>343</v>
      </c>
      <c r="W764" s="18">
        <v>0</v>
      </c>
      <c r="X764" s="18" t="s">
        <v>342</v>
      </c>
      <c r="Y764" s="18">
        <v>1</v>
      </c>
      <c r="Z764" s="17" t="s">
        <v>61</v>
      </c>
      <c r="AA764" s="17">
        <v>1</v>
      </c>
      <c r="AB764" s="17" t="s">
        <v>173</v>
      </c>
      <c r="AC764" s="1">
        <f t="shared" si="33"/>
        <v>0</v>
      </c>
      <c r="AD764" s="1">
        <f t="shared" si="34"/>
        <v>0</v>
      </c>
      <c r="AE764" s="1">
        <f t="shared" si="35"/>
        <v>1</v>
      </c>
    </row>
    <row r="765" spans="19:31">
      <c r="S765" s="17">
        <v>12</v>
      </c>
      <c r="T765" s="18"/>
      <c r="U765" s="17">
        <v>2</v>
      </c>
      <c r="V765" s="17" t="s">
        <v>343</v>
      </c>
      <c r="W765" s="18">
        <v>0</v>
      </c>
      <c r="X765" s="18" t="s">
        <v>342</v>
      </c>
      <c r="Y765" s="18">
        <v>1</v>
      </c>
      <c r="Z765" s="17" t="s">
        <v>61</v>
      </c>
      <c r="AA765" s="17">
        <v>1</v>
      </c>
      <c r="AB765" s="17" t="s">
        <v>165</v>
      </c>
      <c r="AC765" s="1">
        <f t="shared" si="33"/>
        <v>0</v>
      </c>
      <c r="AD765" s="1">
        <f t="shared" si="34"/>
        <v>0</v>
      </c>
      <c r="AE765" s="1">
        <f t="shared" si="35"/>
        <v>1</v>
      </c>
    </row>
    <row r="766" spans="19:31">
      <c r="S766" s="17">
        <v>13</v>
      </c>
      <c r="T766" s="18"/>
      <c r="U766" s="17">
        <v>1</v>
      </c>
      <c r="V766" s="17" t="s">
        <v>343</v>
      </c>
      <c r="W766" s="18">
        <v>0</v>
      </c>
      <c r="X766" s="18" t="s">
        <v>342</v>
      </c>
      <c r="Y766" s="18">
        <v>1</v>
      </c>
      <c r="Z766" s="17" t="s">
        <v>91</v>
      </c>
      <c r="AA766" s="17">
        <v>2</v>
      </c>
      <c r="AB766" s="17" t="s">
        <v>177</v>
      </c>
      <c r="AC766" s="1">
        <f t="shared" si="33"/>
        <v>0</v>
      </c>
      <c r="AD766" s="1">
        <f t="shared" si="34"/>
        <v>0</v>
      </c>
      <c r="AE766" s="1">
        <f t="shared" si="35"/>
        <v>1</v>
      </c>
    </row>
    <row r="767" spans="19:31">
      <c r="S767" s="17">
        <v>14</v>
      </c>
      <c r="T767" s="18"/>
      <c r="U767" s="17">
        <v>2</v>
      </c>
      <c r="V767" s="17" t="s">
        <v>343</v>
      </c>
      <c r="W767" s="18">
        <v>0</v>
      </c>
      <c r="X767" s="18" t="s">
        <v>342</v>
      </c>
      <c r="Y767" s="18">
        <v>1</v>
      </c>
      <c r="Z767" s="17" t="s">
        <v>91</v>
      </c>
      <c r="AA767" s="17">
        <v>1</v>
      </c>
      <c r="AB767" s="17" t="s">
        <v>165</v>
      </c>
      <c r="AC767" s="1">
        <f t="shared" si="33"/>
        <v>0</v>
      </c>
      <c r="AD767" s="1">
        <f t="shared" si="34"/>
        <v>0</v>
      </c>
      <c r="AE767" s="1">
        <f t="shared" si="35"/>
        <v>1</v>
      </c>
    </row>
    <row r="768" spans="19:31">
      <c r="S768" s="17">
        <v>15</v>
      </c>
      <c r="T768" s="18"/>
      <c r="U768" s="17">
        <v>2</v>
      </c>
      <c r="V768" s="17" t="s">
        <v>343</v>
      </c>
      <c r="W768" s="18">
        <v>0</v>
      </c>
      <c r="X768" s="18" t="s">
        <v>342</v>
      </c>
      <c r="Y768" s="18">
        <v>1</v>
      </c>
      <c r="Z768" s="17" t="s">
        <v>343</v>
      </c>
      <c r="AA768" s="17">
        <v>1</v>
      </c>
      <c r="AB768" s="17" t="s">
        <v>173</v>
      </c>
      <c r="AC768" s="1">
        <f t="shared" si="33"/>
        <v>0</v>
      </c>
      <c r="AD768" s="1">
        <f t="shared" si="34"/>
        <v>0</v>
      </c>
      <c r="AE768" s="1">
        <f t="shared" si="35"/>
        <v>1</v>
      </c>
    </row>
  </sheetData>
  <mergeCells count="48">
    <mergeCell ref="W737:Y737"/>
    <mergeCell ref="W753:Y753"/>
    <mergeCell ref="W657:Y657"/>
    <mergeCell ref="W673:Y673"/>
    <mergeCell ref="W689:Y689"/>
    <mergeCell ref="W705:Y705"/>
    <mergeCell ref="W721:Y721"/>
    <mergeCell ref="W577:Y577"/>
    <mergeCell ref="W593:Y593"/>
    <mergeCell ref="W609:Y609"/>
    <mergeCell ref="W625:Y625"/>
    <mergeCell ref="W641:Y641"/>
    <mergeCell ref="W497:Y497"/>
    <mergeCell ref="W513:Y513"/>
    <mergeCell ref="W529:Y529"/>
    <mergeCell ref="W545:Y545"/>
    <mergeCell ref="W561:Y561"/>
    <mergeCell ref="W417:Y417"/>
    <mergeCell ref="W433:Y433"/>
    <mergeCell ref="W449:Y449"/>
    <mergeCell ref="W465:Y465"/>
    <mergeCell ref="W481:Y481"/>
    <mergeCell ref="W337:Y337"/>
    <mergeCell ref="W353:Y353"/>
    <mergeCell ref="W369:Y369"/>
    <mergeCell ref="W385:Y385"/>
    <mergeCell ref="W401:Y401"/>
    <mergeCell ref="W257:Y257"/>
    <mergeCell ref="W273:Y273"/>
    <mergeCell ref="W289:Y289"/>
    <mergeCell ref="W305:Y305"/>
    <mergeCell ref="W321:Y321"/>
    <mergeCell ref="W1:Y1"/>
    <mergeCell ref="W17:Y17"/>
    <mergeCell ref="W33:Y33"/>
    <mergeCell ref="W49:Y49"/>
    <mergeCell ref="W65:Y65"/>
    <mergeCell ref="W81:Y81"/>
    <mergeCell ref="W97:Y97"/>
    <mergeCell ref="W113:Y113"/>
    <mergeCell ref="W129:Y129"/>
    <mergeCell ref="W145:Y145"/>
    <mergeCell ref="W241:Y241"/>
    <mergeCell ref="W161:Y161"/>
    <mergeCell ref="W177:Y177"/>
    <mergeCell ref="W193:Y193"/>
    <mergeCell ref="W209:Y209"/>
    <mergeCell ref="W225:Y225"/>
  </mergeCells>
  <conditionalFormatting sqref="B2:Q46">
    <cfRule type="notContainsBlanks" dxfId="49" priority="3">
      <formula>LEN(TRIM(B2))&gt;0</formula>
    </cfRule>
  </conditionalFormatting>
  <conditionalFormatting sqref="T2:T16 W2:Y16">
    <cfRule type="cellIs" dxfId="48" priority="5" operator="equal">
      <formula>"-"</formula>
    </cfRule>
  </conditionalFormatting>
  <conditionalFormatting sqref="T18:T32 W18:Y32 T34:T48 W34:Y48 T50:T64 W50:Y64 T66:T80 W66:Y80 T82:T96 W82:Y96 T98:T112 W98:Y112 T114:T128 W114:Y128 T130:T144 W130:Y144 T146:T160 W146:Y160 T162:T176 W162:Y176 T178:T192 W178:Y192 T194:T208 W194:Y208 T210:T224 W210:Y224 T226:T240 T242:T256">
    <cfRule type="cellIs" dxfId="47" priority="4" operator="equal">
      <formula>"-"</formula>
    </cfRule>
  </conditionalFormatting>
  <conditionalFormatting sqref="AH2:AJ41">
    <cfRule type="notContainsBlanks" dxfId="46" priority="2">
      <formula>LEN(TRIM(AH2))&gt;0</formula>
    </cfRule>
  </conditionalFormatting>
  <conditionalFormatting sqref="AM2:AM41">
    <cfRule type="notContainsBlanks" dxfId="45" priority="1">
      <formula>LEN(TRIM(AM2))&gt;0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04C81-35DD-4692-BB1F-6468F1EB5163}">
  <sheetPr codeName="Sheet17">
    <tabColor rgb="FF00B050"/>
  </sheetPr>
  <dimension ref="A1:DC54"/>
  <sheetViews>
    <sheetView zoomScaleNormal="100" workbookViewId="0">
      <selection activeCell="BI1" sqref="BI1"/>
    </sheetView>
  </sheetViews>
  <sheetFormatPr defaultColWidth="16.7109375" defaultRowHeight="12.75"/>
  <cols>
    <col min="1" max="1" width="5.7109375" style="1" bestFit="1" customWidth="1"/>
    <col min="2" max="2" width="13.140625" style="1" bestFit="1" customWidth="1"/>
    <col min="3" max="3" width="5.7109375" style="4" customWidth="1"/>
    <col min="4" max="4" width="6.7109375" style="4" bestFit="1" customWidth="1"/>
    <col min="5" max="5" width="5.7109375" style="4" customWidth="1"/>
    <col min="6" max="6" width="25.7109375" style="4" customWidth="1"/>
    <col min="7" max="8" width="5.7109375" style="4" customWidth="1"/>
    <col min="9" max="10" width="1.7109375" style="4" customWidth="1"/>
    <col min="11" max="11" width="6.7109375" style="4" bestFit="1" customWidth="1"/>
    <col min="12" max="12" width="5.7109375" style="4" customWidth="1"/>
    <col min="13" max="13" width="25.7109375" style="4" customWidth="1"/>
    <col min="14" max="15" width="5.7109375" style="4" customWidth="1"/>
    <col min="16" max="17" width="1.7109375" style="4" customWidth="1"/>
    <col min="18" max="18" width="6.7109375" style="4" bestFit="1" customWidth="1"/>
    <col min="19" max="19" width="5.7109375" style="4" customWidth="1"/>
    <col min="20" max="20" width="25.7109375" style="4" customWidth="1"/>
    <col min="21" max="22" width="5.7109375" style="4" customWidth="1"/>
    <col min="23" max="24" width="1.7109375" style="4" customWidth="1"/>
    <col min="25" max="25" width="6.7109375" style="4" bestFit="1" customWidth="1"/>
    <col min="26" max="26" width="5.7109375" style="4" customWidth="1"/>
    <col min="27" max="27" width="25.7109375" style="4" customWidth="1"/>
    <col min="28" max="29" width="5.7109375" style="4" customWidth="1"/>
    <col min="30" max="31" width="1.7109375" style="4" customWidth="1"/>
    <col min="32" max="32" width="6.7109375" style="4" bestFit="1" customWidth="1"/>
    <col min="33" max="33" width="5.7109375" style="4" customWidth="1"/>
    <col min="34" max="34" width="25.7109375" style="4" customWidth="1"/>
    <col min="35" max="36" width="5.7109375" style="4" customWidth="1"/>
    <col min="37" max="38" width="1.7109375" style="4" customWidth="1"/>
    <col min="39" max="39" width="6.7109375" style="4" bestFit="1" customWidth="1"/>
    <col min="40" max="40" width="5.7109375" style="4" customWidth="1"/>
    <col min="41" max="41" width="25.7109375" style="4" customWidth="1"/>
    <col min="42" max="43" width="5.7109375" style="4" customWidth="1"/>
    <col min="44" max="45" width="1.7109375" style="4" customWidth="1"/>
    <col min="46" max="46" width="6.7109375" style="4" bestFit="1" customWidth="1"/>
    <col min="47" max="47" width="5.7109375" style="4" customWidth="1"/>
    <col min="48" max="48" width="25.7109375" style="4" customWidth="1"/>
    <col min="49" max="50" width="5.7109375" style="4" customWidth="1"/>
    <col min="51" max="52" width="1.7109375" style="4" customWidth="1"/>
    <col min="53" max="53" width="6.7109375" style="4" bestFit="1" customWidth="1"/>
    <col min="54" max="54" width="5.7109375" style="4" customWidth="1"/>
    <col min="55" max="55" width="25.7109375" style="4" customWidth="1"/>
    <col min="56" max="58" width="5.7109375" style="4" customWidth="1"/>
    <col min="59" max="59" width="7.5703125" style="4" bestFit="1" customWidth="1"/>
    <col min="60" max="60" width="25.7109375" style="4" customWidth="1"/>
    <col min="61" max="61" width="8.140625" style="4" bestFit="1" customWidth="1"/>
    <col min="62" max="62" width="4" style="4" customWidth="1"/>
    <col min="63" max="63" width="6.7109375" style="4" bestFit="1" customWidth="1"/>
    <col min="64" max="64" width="12.5703125" style="4" bestFit="1" customWidth="1"/>
    <col min="65" max="65" width="8" style="4" bestFit="1" customWidth="1"/>
    <col min="66" max="66" width="6.42578125" style="4" bestFit="1" customWidth="1"/>
    <col min="67" max="67" width="5.7109375" style="4" customWidth="1"/>
    <col min="68" max="68" width="3.5703125" style="4" bestFit="1" customWidth="1"/>
    <col min="69" max="69" width="8.140625" style="4" bestFit="1" customWidth="1"/>
    <col min="70" max="70" width="4.42578125" style="4" customWidth="1"/>
    <col min="71" max="71" width="6.7109375" style="4" bestFit="1" customWidth="1"/>
    <col min="72" max="72" width="12.5703125" style="4" bestFit="1" customWidth="1"/>
    <col min="73" max="73" width="8" style="4" bestFit="1" customWidth="1"/>
    <col min="74" max="74" width="6.42578125" style="4" bestFit="1" customWidth="1"/>
    <col min="75" max="75" width="5.7109375" style="4" customWidth="1"/>
    <col min="76" max="76" width="3.5703125" style="4" bestFit="1" customWidth="1"/>
    <col min="77" max="77" width="8.140625" style="4" bestFit="1" customWidth="1"/>
    <col min="78" max="78" width="5.140625" style="4" customWidth="1"/>
    <col min="79" max="79" width="6.7109375" style="4" bestFit="1" customWidth="1"/>
    <col min="80" max="80" width="12.5703125" style="4" bestFit="1" customWidth="1"/>
    <col min="81" max="81" width="8" style="4" bestFit="1" customWidth="1"/>
    <col min="82" max="82" width="6.42578125" style="4" bestFit="1" customWidth="1"/>
    <col min="83" max="83" width="5.7109375" style="4" customWidth="1"/>
    <col min="84" max="84" width="3.5703125" style="4" bestFit="1" customWidth="1"/>
    <col min="85" max="85" width="8.140625" style="4" bestFit="1" customWidth="1"/>
    <col min="86" max="86" width="4" style="4" customWidth="1"/>
    <col min="87" max="87" width="6.7109375" style="4" bestFit="1" customWidth="1"/>
    <col min="88" max="88" width="12.5703125" style="4" bestFit="1" customWidth="1"/>
    <col min="89" max="89" width="8" style="4" bestFit="1" customWidth="1"/>
    <col min="90" max="90" width="6.42578125" style="4" bestFit="1" customWidth="1"/>
    <col min="91" max="91" width="5.7109375" style="4" customWidth="1"/>
    <col min="92" max="92" width="3.5703125" style="4" bestFit="1" customWidth="1"/>
    <col min="93" max="93" width="8.140625" style="4" bestFit="1" customWidth="1"/>
    <col min="94" max="94" width="4" style="4" customWidth="1"/>
    <col min="95" max="95" width="6.7109375" style="4" bestFit="1" customWidth="1"/>
    <col min="96" max="96" width="12.5703125" style="4" bestFit="1" customWidth="1"/>
    <col min="97" max="97" width="8" style="4" bestFit="1" customWidth="1"/>
    <col min="98" max="98" width="6.42578125" style="4" bestFit="1" customWidth="1"/>
    <col min="99" max="99" width="5.7109375" style="4" customWidth="1"/>
    <col min="100" max="100" width="6.140625" style="4" bestFit="1" customWidth="1"/>
    <col min="101" max="101" width="8.28515625" style="4" bestFit="1" customWidth="1"/>
    <col min="102" max="102" width="6.85546875" style="4" bestFit="1" customWidth="1"/>
    <col min="103" max="16384" width="16.7109375" style="4"/>
  </cols>
  <sheetData>
    <row r="1" spans="1:61" ht="15" customHeight="1">
      <c r="A1" s="67" t="s">
        <v>346</v>
      </c>
      <c r="B1" s="68"/>
      <c r="C1" s="19"/>
      <c r="D1" s="67" t="s">
        <v>347</v>
      </c>
      <c r="E1" s="68"/>
      <c r="F1" s="68"/>
      <c r="G1" s="68"/>
      <c r="H1" s="76"/>
      <c r="I1" s="19"/>
      <c r="J1" s="19"/>
      <c r="K1" s="67" t="s">
        <v>348</v>
      </c>
      <c r="L1" s="68"/>
      <c r="M1" s="68"/>
      <c r="N1" s="68"/>
      <c r="O1" s="76"/>
      <c r="P1" s="19"/>
      <c r="Q1" s="19"/>
      <c r="R1" s="67" t="s">
        <v>349</v>
      </c>
      <c r="S1" s="68"/>
      <c r="T1" s="68"/>
      <c r="U1" s="68"/>
      <c r="V1" s="76"/>
      <c r="Y1" s="67" t="s">
        <v>350</v>
      </c>
      <c r="Z1" s="68"/>
      <c r="AA1" s="68"/>
      <c r="AB1" s="68"/>
      <c r="AC1" s="76"/>
      <c r="AF1" s="67" t="s">
        <v>351</v>
      </c>
      <c r="AG1" s="68"/>
      <c r="AH1" s="68"/>
      <c r="AI1" s="68"/>
      <c r="AJ1" s="76"/>
      <c r="AM1" s="67" t="s">
        <v>352</v>
      </c>
      <c r="AN1" s="68"/>
      <c r="AO1" s="68"/>
      <c r="AP1" s="68"/>
      <c r="AQ1" s="76"/>
      <c r="AT1" s="67" t="s">
        <v>157</v>
      </c>
      <c r="AU1" s="68"/>
      <c r="AV1" s="68"/>
      <c r="AW1" s="68"/>
      <c r="AX1" s="76"/>
      <c r="BA1" s="67" t="s">
        <v>158</v>
      </c>
      <c r="BB1" s="68"/>
      <c r="BC1" s="68"/>
      <c r="BD1" s="68"/>
      <c r="BE1" s="76"/>
      <c r="BG1" s="77" t="s">
        <v>306</v>
      </c>
      <c r="BH1" s="78"/>
      <c r="BI1" s="78"/>
    </row>
    <row r="2" spans="1:61" ht="15" customHeight="1">
      <c r="A2" s="27" t="s">
        <v>0</v>
      </c>
      <c r="B2" s="27" t="s">
        <v>1</v>
      </c>
      <c r="D2" s="28" t="s">
        <v>194</v>
      </c>
      <c r="E2" s="81" t="s">
        <v>165</v>
      </c>
      <c r="F2" s="82"/>
      <c r="G2" s="82"/>
      <c r="H2" s="83"/>
      <c r="K2" s="28" t="s">
        <v>194</v>
      </c>
      <c r="L2" s="81" t="s">
        <v>181</v>
      </c>
      <c r="M2" s="82"/>
      <c r="N2" s="82"/>
      <c r="O2" s="83"/>
      <c r="R2" s="28" t="s">
        <v>194</v>
      </c>
      <c r="S2" s="81" t="s">
        <v>397</v>
      </c>
      <c r="T2" s="82"/>
      <c r="U2" s="82"/>
      <c r="V2" s="83"/>
      <c r="Y2" s="28" t="s">
        <v>194</v>
      </c>
      <c r="Z2" s="81" t="s">
        <v>398</v>
      </c>
      <c r="AA2" s="82"/>
      <c r="AB2" s="82"/>
      <c r="AC2" s="83"/>
      <c r="AF2" s="28" t="s">
        <v>194</v>
      </c>
      <c r="AG2" s="81" t="s">
        <v>399</v>
      </c>
      <c r="AH2" s="82"/>
      <c r="AI2" s="82"/>
      <c r="AJ2" s="83"/>
      <c r="AM2" s="28" t="s">
        <v>194</v>
      </c>
      <c r="AN2" s="81" t="s">
        <v>400</v>
      </c>
      <c r="AO2" s="82"/>
      <c r="AP2" s="82"/>
      <c r="AQ2" s="83"/>
      <c r="AT2" s="28" t="s">
        <v>194</v>
      </c>
      <c r="AU2" s="81" t="s">
        <v>401</v>
      </c>
      <c r="AV2" s="82"/>
      <c r="AW2" s="82"/>
      <c r="AX2" s="83"/>
      <c r="BA2" s="28" t="s">
        <v>194</v>
      </c>
      <c r="BB2" s="81" t="s">
        <v>402</v>
      </c>
      <c r="BC2" s="82"/>
      <c r="BD2" s="82"/>
      <c r="BE2" s="83"/>
      <c r="BG2" s="27" t="s">
        <v>0</v>
      </c>
      <c r="BH2" s="27" t="s">
        <v>1</v>
      </c>
      <c r="BI2" s="27" t="s">
        <v>310</v>
      </c>
    </row>
    <row r="3" spans="1:61" ht="15" customHeight="1">
      <c r="A3" s="27" cm="1">
        <f t="array" ref="A3:A26">_xlfn.SEQUENCE('Main Hub'!P3)</f>
        <v>1</v>
      </c>
      <c r="B3" s="13" t="str" cm="1">
        <f t="array" ref="B3:B26">_xlfn.XLOOKUP(_xlfn.ANCHORARRAY(A3),'GP Qualifications'!AL:AL,'GP Qualifications'!AM:AM)</f>
        <v>KVD</v>
      </c>
      <c r="D3" s="26">
        <v>1</v>
      </c>
      <c r="E3" s="84"/>
      <c r="F3" s="85"/>
      <c r="G3" s="85"/>
      <c r="H3" s="86"/>
      <c r="K3" s="26">
        <v>1</v>
      </c>
      <c r="L3" s="84"/>
      <c r="M3" s="85"/>
      <c r="N3" s="85"/>
      <c r="O3" s="86"/>
      <c r="R3" s="26">
        <v>2</v>
      </c>
      <c r="S3" s="84"/>
      <c r="T3" s="85"/>
      <c r="U3" s="85"/>
      <c r="V3" s="86"/>
      <c r="Y3" s="26">
        <v>2</v>
      </c>
      <c r="Z3" s="84"/>
      <c r="AA3" s="85"/>
      <c r="AB3" s="85"/>
      <c r="AC3" s="86"/>
      <c r="AF3" s="26">
        <v>2</v>
      </c>
      <c r="AG3" s="84"/>
      <c r="AH3" s="85"/>
      <c r="AI3" s="85"/>
      <c r="AJ3" s="86"/>
      <c r="AM3" s="26">
        <v>3</v>
      </c>
      <c r="AN3" s="84"/>
      <c r="AO3" s="85"/>
      <c r="AP3" s="85"/>
      <c r="AQ3" s="86"/>
      <c r="AT3" s="26">
        <v>3</v>
      </c>
      <c r="AU3" s="84"/>
      <c r="AV3" s="85"/>
      <c r="AW3" s="85"/>
      <c r="AX3" s="86"/>
      <c r="BA3" s="26">
        <v>3</v>
      </c>
      <c r="BB3" s="84"/>
      <c r="BC3" s="85"/>
      <c r="BD3" s="85"/>
      <c r="BE3" s="86"/>
      <c r="BG3" s="27">
        <v>1</v>
      </c>
      <c r="BH3" s="13" t="str">
        <f>IF(COUNTA(AX19:AX20)&lt;2,"",IF(AX19&gt;AX20,AV19,IF(COUNTA(BE19:BE20)&lt;2,"",IF(BE19&gt;BE20,BC19,BC20))))</f>
        <v>KVD</v>
      </c>
      <c r="BI3" s="13" cm="1">
        <f t="array" ref="BI3:BI26">Parameters!N3:N26</f>
        <v>2000</v>
      </c>
    </row>
    <row r="4" spans="1:61" ht="15" customHeight="1">
      <c r="A4" s="27">
        <v>2</v>
      </c>
      <c r="B4" s="13" t="str">
        <v>Sami</v>
      </c>
      <c r="BG4" s="27">
        <v>2</v>
      </c>
      <c r="BH4" s="13" t="str">
        <f>IF(COUNTA(AX19:AX20)&lt;2,"",IF(AX19&gt;AX20,AV20,IF(COUNTA(BE19:BE20)&lt;2,"",IF(BE19&gt;BE20,BC20,BC19))))</f>
        <v>Sami</v>
      </c>
      <c r="BI4" s="13">
        <v>1600</v>
      </c>
    </row>
    <row r="5" spans="1:61" ht="15" customHeight="1">
      <c r="A5" s="27">
        <v>3</v>
      </c>
      <c r="B5" s="13" t="str">
        <v>Antistar</v>
      </c>
      <c r="D5" s="79" t="s">
        <v>360</v>
      </c>
      <c r="E5" s="27">
        <v>17</v>
      </c>
      <c r="F5" s="13" t="str">
        <f>_xlfn.XLOOKUP(E5,A:A,B:B)</f>
        <v>Sumz</v>
      </c>
      <c r="G5" s="13" t="e" cm="1" vm="18">
        <f t="array" aca="1" ref="G5" ca="1">_xlfn.XLOOKUP(F5,Registration[Nickname],_FV(Registration[Country],"Image"))</f>
        <v>#VALUE!</v>
      </c>
      <c r="H5" s="3">
        <v>1</v>
      </c>
      <c r="I5" s="23"/>
      <c r="J5" s="24"/>
      <c r="K5" s="79" t="s">
        <v>387</v>
      </c>
      <c r="L5" s="27">
        <v>16</v>
      </c>
      <c r="M5" s="13" t="str">
        <f>_xlfn.XLOOKUP(L5,A:A,B:B)</f>
        <v>Franck</v>
      </c>
      <c r="N5" s="13" t="e" cm="1" vm="15">
        <f t="array" aca="1" ref="N5" ca="1">_xlfn.XLOOKUP(M5,Registration[Nickname],_FV(Registration[Country],"Image"))</f>
        <v>#VALUE!</v>
      </c>
      <c r="O5" s="3">
        <v>1</v>
      </c>
      <c r="P5" s="23"/>
      <c r="Q5" s="24"/>
      <c r="R5" s="79">
        <v>3</v>
      </c>
      <c r="S5" s="27">
        <v>1</v>
      </c>
      <c r="T5" s="13" t="str">
        <f>_xlfn.XLOOKUP(S5,A:A,B:B)</f>
        <v>KVD</v>
      </c>
      <c r="U5" s="13" t="e" cm="1" vm="12">
        <f t="array" aca="1" ref="U5" ca="1">_xlfn.XLOOKUP(T5,Registration[Nickname],_FV(Registration[Country],"Image"))</f>
        <v>#VALUE!</v>
      </c>
      <c r="V5" s="3">
        <v>2</v>
      </c>
      <c r="BG5" s="27">
        <v>3</v>
      </c>
      <c r="BH5" s="13" t="str">
        <f>IF(COUNTA(BE47:BE48)&lt;2,"",IF(BE47&gt;BE48,BC48,BC47))</f>
        <v>Lafungo</v>
      </c>
      <c r="BI5" s="13">
        <v>1300</v>
      </c>
    </row>
    <row r="6" spans="1:61" ht="15" customHeight="1">
      <c r="A6" s="27">
        <v>4</v>
      </c>
      <c r="B6" s="13" t="str">
        <v>Takashi</v>
      </c>
      <c r="D6" s="80"/>
      <c r="E6" s="27">
        <v>24</v>
      </c>
      <c r="F6" s="13" t="str">
        <f>_xlfn.XLOOKUP(E6,A:A,B:B)</f>
        <v>Rejemy</v>
      </c>
      <c r="G6" s="13" t="e" cm="1" vm="15">
        <f t="array" aca="1" ref="G6" ca="1">_xlfn.XLOOKUP(F6,Registration[Nickname],_FV(Registration[Country],"Image"))</f>
        <v>#VALUE!</v>
      </c>
      <c r="H6" s="3">
        <v>0</v>
      </c>
      <c r="K6" s="80"/>
      <c r="L6" s="27">
        <f>_xlfn.XLOOKUP(M6,F5:F6,E5:E6,"",0)</f>
        <v>17</v>
      </c>
      <c r="M6" s="13" t="str" cm="1">
        <f t="array" ref="M6">IF(COUNTA(H5:H6)&lt;2,"Winner of B1,1",INDEX(_xlfn.SORTBY(F5:F6,H5:H6,-1),1))</f>
        <v>Sumz</v>
      </c>
      <c r="N6" s="13" t="e" cm="1" vm="18">
        <f t="array" aca="1" ref="N6" ca="1">_xlfn.XLOOKUP(M6,Registration[Nickname],_FV(Registration[Country],"Image"))</f>
        <v>#VALUE!</v>
      </c>
      <c r="O6" s="3">
        <v>0</v>
      </c>
      <c r="R6" s="80"/>
      <c r="S6" s="27" cm="1">
        <f t="array" ref="S6">_xlfn.XLOOKUP(T6,_xlfn.ANCHORARRAY($B$3),_xlfn.ANCHORARRAY($A$3),"",0)</f>
        <v>16</v>
      </c>
      <c r="T6" s="13" t="str" cm="1">
        <f t="array" ref="T6">IF(COUNTA(O5:O6)&lt;2,"Winner of B2,1",INDEX(_xlfn.SORTBY(M5:M6,O5:O6,-1),1))</f>
        <v>Franck</v>
      </c>
      <c r="U6" s="13" t="e" cm="1" vm="15">
        <f t="array" aca="1" ref="U6" ca="1">_xlfn.XLOOKUP(T6,Registration[Nickname],_FV(Registration[Country],"Image"))</f>
        <v>#VALUE!</v>
      </c>
      <c r="V6" s="3">
        <v>0</v>
      </c>
      <c r="W6" s="21"/>
      <c r="BG6" s="27">
        <v>4</v>
      </c>
      <c r="BH6" s="13" t="str">
        <f>IF(COUNTA(AX47:AX48)&lt;2,"",IF(AX47&gt;AX48,AV48,AV47))</f>
        <v>Antistar</v>
      </c>
      <c r="BI6" s="13">
        <v>1000</v>
      </c>
    </row>
    <row r="7" spans="1:61" ht="15" customHeight="1">
      <c r="A7" s="27">
        <v>5</v>
      </c>
      <c r="B7" s="13" t="str">
        <v>JDR</v>
      </c>
      <c r="W7" s="22"/>
      <c r="X7" s="23"/>
      <c r="Y7" s="79">
        <v>3</v>
      </c>
      <c r="Z7" s="27" cm="1">
        <f t="array" ref="Z7">_xlfn.XLOOKUP(AA7,_xlfn.ANCHORARRAY($B$3),_xlfn.ANCHORARRAY($A$3),"",0)</f>
        <v>1</v>
      </c>
      <c r="AA7" s="13" t="str" cm="1">
        <f t="array" ref="AA7">IF(COUNTA(V5:V6)&lt;2,"Winner of 1",INDEX(_xlfn.SORTBY(T5:T6,V5:V6,-1),1))</f>
        <v>KVD</v>
      </c>
      <c r="AB7" s="13" t="e" cm="1" vm="12">
        <f t="array" aca="1" ref="AB7" ca="1">_xlfn.XLOOKUP(AA7,Registration[Nickname],_FV(Registration[Country],"Image"))</f>
        <v>#VALUE!</v>
      </c>
      <c r="AC7" s="3">
        <v>2</v>
      </c>
      <c r="BG7" s="72" t="s">
        <v>361</v>
      </c>
      <c r="BH7" s="13" t="str">
        <f>IF(COUNTA(AQ51:AQ52)&lt;2,"",IF(AQ51&gt;AQ52,AO52,AO51))</f>
        <v>JDR</v>
      </c>
      <c r="BI7" s="13">
        <v>750</v>
      </c>
    </row>
    <row r="8" spans="1:61" ht="15" customHeight="1">
      <c r="A8" s="27">
        <v>6</v>
      </c>
      <c r="B8" s="13" t="str">
        <v>Geo</v>
      </c>
      <c r="W8" s="22"/>
      <c r="Y8" s="80"/>
      <c r="Z8" s="27" cm="1">
        <f t="array" ref="Z8">_xlfn.XLOOKUP(AA8,_xlfn.ANCHORARRAY($B$3),_xlfn.ANCHORARRAY($A$3),"",0)</f>
        <v>8</v>
      </c>
      <c r="AA8" s="13" t="str" cm="1">
        <f t="array" ref="AA8">IF(COUNTA(V9:V10)&lt;2,"Winner of 2",INDEX(_xlfn.SORTBY(T9:T10,V9:V10,-1),1))</f>
        <v>Leyla</v>
      </c>
      <c r="AB8" s="13" t="e" cm="1" vm="13">
        <f t="array" aca="1" ref="AB8" ca="1">_xlfn.XLOOKUP(AA8,Registration[Nickname],_FV(Registration[Country],"Image"))</f>
        <v>#VALUE!</v>
      </c>
      <c r="AC8" s="3">
        <v>1</v>
      </c>
      <c r="AD8" s="21"/>
      <c r="BG8" s="73"/>
      <c r="BH8" s="13" t="str">
        <f>IF(COUNTA(AQ43:AQ44)&lt;2,"",IF(AQ43&gt;AQ44,AO44,AO43))</f>
        <v>Takashi</v>
      </c>
      <c r="BI8" s="13">
        <v>750</v>
      </c>
    </row>
    <row r="9" spans="1:61" ht="15" customHeight="1">
      <c r="A9" s="27">
        <v>7</v>
      </c>
      <c r="B9" s="13" t="str">
        <v>Lafungo</v>
      </c>
      <c r="R9" s="79">
        <v>2</v>
      </c>
      <c r="S9" s="27">
        <v>8</v>
      </c>
      <c r="T9" s="13" t="str">
        <f t="shared" ref="T9:T10" si="0">_xlfn.XLOOKUP(S9,A:A,B:B)</f>
        <v>Leyla</v>
      </c>
      <c r="U9" s="13" t="e" cm="1" vm="13">
        <f t="array" aca="1" ref="U9" ca="1">_xlfn.XLOOKUP(T9,Registration[Nickname],_FV(Registration[Country],"Image"))</f>
        <v>#VALUE!</v>
      </c>
      <c r="V9" s="3">
        <v>2</v>
      </c>
      <c r="W9" s="24"/>
      <c r="AD9" s="22"/>
      <c r="BG9" s="74" t="s">
        <v>362</v>
      </c>
      <c r="BH9" s="13" t="str">
        <f>IF(COUNTA(AJ43:AJ44)&lt;2,"",IF(AJ43&gt;AJ44,AH44,AH43))</f>
        <v>Geo</v>
      </c>
      <c r="BI9" s="13">
        <v>550</v>
      </c>
    </row>
    <row r="10" spans="1:61" ht="15" customHeight="1">
      <c r="A10" s="27">
        <v>8</v>
      </c>
      <c r="B10" s="13" t="str">
        <v>Leyla</v>
      </c>
      <c r="R10" s="80"/>
      <c r="S10" s="27">
        <v>9</v>
      </c>
      <c r="T10" s="13" t="str">
        <f t="shared" si="0"/>
        <v>Drew</v>
      </c>
      <c r="U10" s="13" t="e" cm="1" vm="14">
        <f t="array" aca="1" ref="U10" ca="1">_xlfn.XLOOKUP(T10,Registration[Nickname],_FV(Registration[Country],"Image"))</f>
        <v>#VALUE!</v>
      </c>
      <c r="V10" s="3">
        <v>0</v>
      </c>
      <c r="AD10" s="22"/>
      <c r="BG10" s="73"/>
      <c r="BH10" s="13" t="str">
        <f>IF(COUNTA(AJ51:AJ52)&lt;2,"",IF(AJ51&gt;AJ52,AH52,AH51))</f>
        <v>Jarmou</v>
      </c>
      <c r="BI10" s="13">
        <v>550</v>
      </c>
    </row>
    <row r="11" spans="1:61" ht="15" customHeight="1">
      <c r="A11" s="27">
        <v>9</v>
      </c>
      <c r="B11" s="13" t="str">
        <v>Drew</v>
      </c>
      <c r="AD11" s="22"/>
      <c r="AE11" s="23"/>
      <c r="AF11" s="79">
        <v>2</v>
      </c>
      <c r="AG11" s="27" cm="1">
        <f t="array" ref="AG11">_xlfn.XLOOKUP(AH11,_xlfn.ANCHORARRAY($B$3),_xlfn.ANCHORARRAY($A$3),"",0)</f>
        <v>1</v>
      </c>
      <c r="AH11" s="13" t="str" cm="1">
        <f t="array" ref="AH11">IF(COUNTA(AC7:AC8)&lt;2,"Winner of 13",INDEX(_xlfn.SORTBY(AA7:AA8,AC7:AC8,-1),1))</f>
        <v>KVD</v>
      </c>
      <c r="AI11" s="13" t="e" cm="1" vm="12">
        <f t="array" aca="1" ref="AI11" ca="1">_xlfn.XLOOKUP(AH11,Registration[Nickname],_FV(Registration[Country],"Image"))</f>
        <v>#VALUE!</v>
      </c>
      <c r="AJ11" s="3">
        <v>2</v>
      </c>
      <c r="BG11" s="74" t="s">
        <v>363</v>
      </c>
      <c r="BH11" s="13" t="str">
        <f>IF(COUNTA(AC41:AC42)&lt;2,"",IF(AC41&gt;AC42,AA42,AA41))</f>
        <v>Drew</v>
      </c>
      <c r="BI11" s="13">
        <v>400</v>
      </c>
    </row>
    <row r="12" spans="1:61" ht="15" customHeight="1">
      <c r="A12" s="27">
        <v>10</v>
      </c>
      <c r="B12" s="13" t="str">
        <v>Onwa</v>
      </c>
      <c r="AD12" s="22"/>
      <c r="AF12" s="80"/>
      <c r="AG12" s="27" cm="1">
        <f t="array" ref="AG12">_xlfn.XLOOKUP(AH12,_xlfn.ANCHORARRAY($B$3),_xlfn.ANCHORARRAY($A$3),"",0)</f>
        <v>4</v>
      </c>
      <c r="AH12" s="13" t="str" cm="1">
        <f t="array" ref="AH12">IF(COUNTA(AC15:AC16)&lt;2,"Winner of 14",INDEX(_xlfn.SORTBY(AA15:AA16,AC15:AC16,-1),1))</f>
        <v>Takashi</v>
      </c>
      <c r="AI12" s="13" t="e" cm="1" vm="16">
        <f t="array" aca="1" ref="AI12" ca="1">_xlfn.XLOOKUP(AH12,Registration[Nickname],_FV(Registration[Country],"Image"))</f>
        <v>#VALUE!</v>
      </c>
      <c r="AJ12" s="3">
        <v>1</v>
      </c>
      <c r="AK12" s="21"/>
      <c r="BG12" s="75"/>
      <c r="BH12" s="13" t="str">
        <f>IF(COUNTA(AC45:AC46)&lt;2,"",IF(AC45&gt;AC46,AA46,AA45))</f>
        <v>Zarkov</v>
      </c>
      <c r="BI12" s="13">
        <v>400</v>
      </c>
    </row>
    <row r="13" spans="1:61" ht="15" customHeight="1">
      <c r="A13" s="27">
        <v>11</v>
      </c>
      <c r="B13" s="13" t="str">
        <v>Jarmou</v>
      </c>
      <c r="D13" s="79" t="s">
        <v>364</v>
      </c>
      <c r="E13" s="27">
        <v>20</v>
      </c>
      <c r="F13" s="13" t="str">
        <f t="shared" ref="F13:F14" si="1">_xlfn.XLOOKUP(E13,A:A,B:B)</f>
        <v>Narnet</v>
      </c>
      <c r="G13" s="13" t="e" cm="1" vm="19">
        <f t="array" aca="1" ref="G13" ca="1">_xlfn.XLOOKUP(F13,Registration[Nickname],_FV(Registration[Country],"Image"))</f>
        <v>#VALUE!</v>
      </c>
      <c r="H13" s="3">
        <v>0</v>
      </c>
      <c r="I13" s="23"/>
      <c r="J13" s="24"/>
      <c r="K13" s="79" t="s">
        <v>388</v>
      </c>
      <c r="L13" s="27">
        <v>13</v>
      </c>
      <c r="M13" s="13" t="str">
        <f>_xlfn.XLOOKUP(L13,A:A,B:B)</f>
        <v>Moll</v>
      </c>
      <c r="N13" s="13" t="e" cm="1" vm="13">
        <f t="array" aca="1" ref="N13" ca="1">_xlfn.XLOOKUP(M13,Registration[Nickname],_FV(Registration[Country],"Image"))</f>
        <v>#VALUE!</v>
      </c>
      <c r="O13" s="3">
        <v>1</v>
      </c>
      <c r="P13" s="23"/>
      <c r="Q13" s="24"/>
      <c r="R13" s="79">
        <v>2</v>
      </c>
      <c r="S13" s="27">
        <v>4</v>
      </c>
      <c r="T13" s="13" t="str">
        <f>_xlfn.XLOOKUP(S13,A:A,B:B)</f>
        <v>Takashi</v>
      </c>
      <c r="U13" s="13" t="e" cm="1" vm="16">
        <f t="array" aca="1" ref="U13" ca="1">_xlfn.XLOOKUP(T13,Registration[Nickname],_FV(Registration[Country],"Image"))</f>
        <v>#VALUE!</v>
      </c>
      <c r="V13" s="3">
        <v>2</v>
      </c>
      <c r="AD13" s="22"/>
      <c r="AK13" s="22"/>
      <c r="BG13" s="75"/>
      <c r="BH13" s="13" t="str">
        <f>IF(COUNTA(AC49:AC50)&lt;2,"",IF(AC49&gt;AC50,AA50,AA49))</f>
        <v>Onwa</v>
      </c>
      <c r="BI13" s="13">
        <v>400</v>
      </c>
    </row>
    <row r="14" spans="1:61" ht="15" customHeight="1">
      <c r="A14" s="27">
        <v>12</v>
      </c>
      <c r="B14" s="13" t="str">
        <v>Zarkov</v>
      </c>
      <c r="D14" s="80"/>
      <c r="E14" s="27">
        <v>21</v>
      </c>
      <c r="F14" s="13" t="str">
        <f t="shared" si="1"/>
        <v>Thibault</v>
      </c>
      <c r="G14" s="13" t="e" cm="1" vm="15">
        <f t="array" aca="1" ref="G14" ca="1">_xlfn.XLOOKUP(F14,Registration[Nickname],_FV(Registration[Country],"Image"))</f>
        <v>#VALUE!</v>
      </c>
      <c r="H14" s="3">
        <v>1</v>
      </c>
      <c r="K14" s="80"/>
      <c r="L14" s="27">
        <f>_xlfn.XLOOKUP(M14,F13:F14,E13:E14,"",0)</f>
        <v>21</v>
      </c>
      <c r="M14" s="13" t="str" cm="1">
        <f t="array" ref="M14">IF(COUNTA(H13:H14)&lt;2,"Winner of B1,2",INDEX(_xlfn.SORTBY(F13:F14,H13:H14,-1),1))</f>
        <v>Thibault</v>
      </c>
      <c r="N14" s="13" t="e" cm="1" vm="15">
        <f t="array" aca="1" ref="N14" ca="1">_xlfn.XLOOKUP(M14,Registration[Nickname],_FV(Registration[Country],"Image"))</f>
        <v>#VALUE!</v>
      </c>
      <c r="O14" s="3">
        <v>0</v>
      </c>
      <c r="R14" s="80"/>
      <c r="S14" s="27" cm="1">
        <f t="array" ref="S14">_xlfn.XLOOKUP(T14,_xlfn.ANCHORARRAY($B$3),_xlfn.ANCHORARRAY($A$3),"",0)</f>
        <v>13</v>
      </c>
      <c r="T14" s="13" t="str" cm="1">
        <f t="array" ref="T14">IF(COUNTA(O13:O14)&lt;2,"Winner of B2,2",INDEX(_xlfn.SORTBY(M13:M14,O13:O14,-1),1))</f>
        <v>Moll</v>
      </c>
      <c r="U14" s="13" t="e" cm="1" vm="13">
        <f t="array" aca="1" ref="U14" ca="1">_xlfn.XLOOKUP(T14,Registration[Nickname],_FV(Registration[Country],"Image"))</f>
        <v>#VALUE!</v>
      </c>
      <c r="V14" s="3">
        <v>0</v>
      </c>
      <c r="W14" s="21"/>
      <c r="AD14" s="22"/>
      <c r="AK14" s="22"/>
      <c r="BG14" s="73"/>
      <c r="BH14" s="13" t="str">
        <f>IF(COUNTA(AC53:AC54)&lt;2,"",IF(AC53&gt;AC54,AA54,AA53))</f>
        <v>Leyla</v>
      </c>
      <c r="BI14" s="13">
        <v>400</v>
      </c>
    </row>
    <row r="15" spans="1:61" ht="15" customHeight="1">
      <c r="A15" s="27">
        <v>13</v>
      </c>
      <c r="B15" s="13" t="str">
        <v>Moll</v>
      </c>
      <c r="W15" s="22"/>
      <c r="X15" s="23"/>
      <c r="Y15" s="79">
        <v>1</v>
      </c>
      <c r="Z15" s="27" cm="1">
        <f t="array" ref="Z15">_xlfn.XLOOKUP(AA15,_xlfn.ANCHORARRAY($B$3),_xlfn.ANCHORARRAY($A$3),"",0)</f>
        <v>4</v>
      </c>
      <c r="AA15" s="13" t="str" cm="1">
        <f t="array" ref="AA15">IF(COUNTA(V13:V14)&lt;2,"Winner of 3",INDEX(_xlfn.SORTBY(T13:T14,V13:V14,-1),1))</f>
        <v>Takashi</v>
      </c>
      <c r="AB15" s="13" t="e" cm="1" vm="16">
        <f t="array" aca="1" ref="AB15" ca="1">_xlfn.XLOOKUP(AA15,Registration[Nickname],_FV(Registration[Country],"Image"))</f>
        <v>#VALUE!</v>
      </c>
      <c r="AC15" s="3">
        <v>2</v>
      </c>
      <c r="AD15" s="24"/>
      <c r="AK15" s="22"/>
      <c r="BG15" s="74" t="s">
        <v>365</v>
      </c>
      <c r="BH15" s="13" t="str">
        <f>IF(COUNTA(V53:V54)&lt;2,"",IF(V53&gt;V54,T54,T53))</f>
        <v>Kasmo</v>
      </c>
      <c r="BI15" s="13">
        <v>300</v>
      </c>
    </row>
    <row r="16" spans="1:61" ht="15" customHeight="1">
      <c r="A16" s="27">
        <v>14</v>
      </c>
      <c r="B16" s="13" t="str">
        <v>Flo</v>
      </c>
      <c r="W16" s="22"/>
      <c r="Y16" s="80"/>
      <c r="Z16" s="27" cm="1">
        <f t="array" ref="Z16">_xlfn.XLOOKUP(AA16,_xlfn.ANCHORARRAY($B$3),_xlfn.ANCHORARRAY($A$3),"",0)</f>
        <v>5</v>
      </c>
      <c r="AA16" s="13" t="str" cm="1">
        <f t="array" ref="AA16">IF(COUNTA(V17:V18)&lt;2,"Winner of 4",INDEX(_xlfn.SORTBY(T17:T18,V17:V18,-1),1))</f>
        <v>JDR</v>
      </c>
      <c r="AB16" s="13" t="e" cm="1" vm="15">
        <f t="array" aca="1" ref="AB16" ca="1">_xlfn.XLOOKUP(AA16,Registration[Nickname],_FV(Registration[Country],"Image"))</f>
        <v>#VALUE!</v>
      </c>
      <c r="AC16" s="3">
        <v>0</v>
      </c>
      <c r="AK16" s="22"/>
      <c r="BG16" s="75"/>
      <c r="BH16" s="13" t="str">
        <f>IF(COUNTA(V49:V50)&lt;2,"",IF(V49&gt;V50,T50,T49))</f>
        <v>Champix</v>
      </c>
      <c r="BI16" s="13">
        <v>300</v>
      </c>
    </row>
    <row r="17" spans="1:107" ht="15" customHeight="1">
      <c r="A17" s="27">
        <v>15</v>
      </c>
      <c r="B17" s="13" t="str">
        <v>Champix</v>
      </c>
      <c r="R17" s="79">
        <v>4</v>
      </c>
      <c r="S17" s="27">
        <v>5</v>
      </c>
      <c r="T17" s="13" t="str">
        <f t="shared" ref="T17:T18" si="2">_xlfn.XLOOKUP(S17,A:A,B:B)</f>
        <v>JDR</v>
      </c>
      <c r="U17" s="13" t="e" cm="1" vm="15">
        <f t="array" aca="1" ref="U17" ca="1">_xlfn.XLOOKUP(T17,Registration[Nickname],_FV(Registration[Country],"Image"))</f>
        <v>#VALUE!</v>
      </c>
      <c r="V17" s="3">
        <v>2</v>
      </c>
      <c r="W17" s="24"/>
      <c r="AK17" s="22"/>
      <c r="BG17" s="75"/>
      <c r="BH17" s="13" t="str">
        <f>IF(COUNTA(V45:V46)&lt;2,"",IF(V45&gt;V46,T46,T45))</f>
        <v>Moll</v>
      </c>
      <c r="BI17" s="13">
        <v>300</v>
      </c>
    </row>
    <row r="18" spans="1:107" ht="15" customHeight="1">
      <c r="A18" s="27">
        <v>16</v>
      </c>
      <c r="B18" s="13" t="str">
        <v>Franck</v>
      </c>
      <c r="R18" s="80"/>
      <c r="S18" s="27">
        <v>12</v>
      </c>
      <c r="T18" s="13" t="str">
        <f t="shared" si="2"/>
        <v>Zarkov</v>
      </c>
      <c r="U18" s="13" t="e" cm="1" vm="13">
        <f t="array" aca="1" ref="U18" ca="1">_xlfn.XLOOKUP(T18,Registration[Nickname],_FV(Registration[Country],"Image"))</f>
        <v>#VALUE!</v>
      </c>
      <c r="V18" s="3">
        <v>0</v>
      </c>
      <c r="AK18" s="22"/>
      <c r="BG18" s="73"/>
      <c r="BH18" s="13" t="str">
        <f>IF(COUNTA(V41:V42)&lt;2,"",IF(V41&gt;V42,T42,T41))</f>
        <v>Franck</v>
      </c>
      <c r="BI18" s="13">
        <v>300</v>
      </c>
    </row>
    <row r="19" spans="1:107" ht="15" customHeight="1">
      <c r="A19" s="27">
        <v>17</v>
      </c>
      <c r="B19" s="13" t="str">
        <v>Sumz</v>
      </c>
      <c r="AK19" s="22"/>
      <c r="AL19" s="25"/>
      <c r="AM19" s="79">
        <v>28</v>
      </c>
      <c r="AN19" s="27" cm="1">
        <f t="array" ref="AN19">_xlfn.XLOOKUP(AO19,_xlfn.ANCHORARRAY($B$3),_xlfn.ANCHORARRAY($A$3),"",0)</f>
        <v>1</v>
      </c>
      <c r="AO19" s="13" t="str" cm="1">
        <f t="array" ref="AO19">IF(COUNTA(AJ11:AJ12)&lt;2,"Winner of 23",INDEX(_xlfn.SORTBY(AH11:AH12,AJ11:AJ12,-1),1))</f>
        <v>KVD</v>
      </c>
      <c r="AP19" s="13" t="e" cm="1" vm="12">
        <f t="array" aca="1" ref="AP19" ca="1">_xlfn.XLOOKUP(AO19,Registration[Nickname],_FV(Registration[Country],"Image"))</f>
        <v>#VALUE!</v>
      </c>
      <c r="AQ19" s="3">
        <v>3</v>
      </c>
      <c r="AR19" s="23"/>
      <c r="AS19" s="24"/>
      <c r="AT19" s="79">
        <v>30</v>
      </c>
      <c r="AU19" s="27" cm="1">
        <f t="array" ref="AU19">_xlfn.XLOOKUP(AV19,_xlfn.ANCHORARRAY($B$3),_xlfn.ANCHORARRAY($A$3),"",0)</f>
        <v>1</v>
      </c>
      <c r="AV19" s="13" t="str" cm="1">
        <f t="array" ref="AV19">IF(COUNTA(AQ19:AQ20)&lt;2,"Winner of 28",INDEX(_xlfn.SORTBY(AO19:AO20,AQ19:AQ20,-1),1))</f>
        <v>KVD</v>
      </c>
      <c r="AW19" s="13" t="e" cm="1" vm="12">
        <f t="array" aca="1" ref="AW19" ca="1">_xlfn.XLOOKUP(AV19,Registration[Nickname],_FV(Registration[Country],"Image"))</f>
        <v>#VALUE!</v>
      </c>
      <c r="AX19" s="3">
        <v>1</v>
      </c>
      <c r="AY19" s="23"/>
      <c r="AZ19" s="24"/>
      <c r="BA19" s="79">
        <v>31</v>
      </c>
      <c r="BB19" s="27" cm="1">
        <f t="array" ref="BB19">_xlfn.XLOOKUP(BC19,_xlfn.ANCHORARRAY($B$3),_xlfn.ANCHORARRAY($A$3),"",0)</f>
        <v>2</v>
      </c>
      <c r="BC19" s="13" t="str" cm="1">
        <f t="array" ref="BC19">IF(COUNTA(AX19:AX20)&lt;2,"Winner of 30",INDEX(_xlfn.SORTBY(AV19:AV20,AX19:AX20,-1),1))</f>
        <v>Sami</v>
      </c>
      <c r="BD19" s="13" t="e" cm="1" vm="13">
        <f t="array" aca="1" ref="BD19" ca="1">_xlfn.XLOOKUP(BC19,Registration[Nickname],_FV(Registration[Country],"Image"))</f>
        <v>#VALUE!</v>
      </c>
      <c r="BE19" s="3">
        <v>1</v>
      </c>
      <c r="BG19" s="74" t="s">
        <v>366</v>
      </c>
      <c r="BH19" s="13" t="str">
        <f>IF(COUNTA(O5:O6)&lt;2,"",IF(O5&gt;O6,M6,M5))</f>
        <v>Sumz</v>
      </c>
      <c r="BI19" s="13">
        <v>150</v>
      </c>
    </row>
    <row r="20" spans="1:107" ht="15" customHeight="1">
      <c r="A20" s="27">
        <v>18</v>
      </c>
      <c r="B20" s="13" t="str">
        <v>Sjors</v>
      </c>
      <c r="AK20" s="22"/>
      <c r="AM20" s="80"/>
      <c r="AN20" s="27" cm="1">
        <f t="array" ref="AN20">_xlfn.XLOOKUP(AO20,_xlfn.ANCHORARRAY($B$3),_xlfn.ANCHORARRAY($A$3),"",0)</f>
        <v>7</v>
      </c>
      <c r="AO20" s="13" t="str" cm="1">
        <f t="array" ref="AO20">IF(COUNTA(AJ27:AJ28)&lt;2,"Winner of 24",INDEX(_xlfn.SORTBY(AH27:AH28,AJ27:AJ28,-1),1))</f>
        <v>Lafungo</v>
      </c>
      <c r="AP20" s="13" t="e" cm="1" vm="14">
        <f t="array" aca="1" ref="AP20" ca="1">_xlfn.XLOOKUP(AO20,Registration[Nickname],_FV(Registration[Country],"Image"))</f>
        <v>#VALUE!</v>
      </c>
      <c r="AQ20" s="3">
        <v>1</v>
      </c>
      <c r="AT20" s="80"/>
      <c r="AU20" s="27" cm="1">
        <f t="array" ref="AU20">_xlfn.XLOOKUP(AV20,_xlfn.ANCHORARRAY($B$3),_xlfn.ANCHORARRAY($A$3),"",0)</f>
        <v>2</v>
      </c>
      <c r="AV20" s="13" t="str" cm="1">
        <f t="array" ref="AV20">IF(COUNTA(BE47:BE48)&lt;2,"Winner of 29",INDEX(_xlfn.SORTBY(BC47:BC48,BE47:BE48,-1),1))</f>
        <v>Sami</v>
      </c>
      <c r="AW20" s="13" t="e" cm="1" vm="13">
        <f t="array" aca="1" ref="AW20" ca="1">_xlfn.XLOOKUP(AV20,Registration[Nickname],_FV(Registration[Country],"Image"))</f>
        <v>#VALUE!</v>
      </c>
      <c r="AX20" s="3">
        <v>3</v>
      </c>
      <c r="BA20" s="80"/>
      <c r="BB20" s="27" cm="1">
        <f t="array" ref="BB20">_xlfn.XLOOKUP(BC20,_xlfn.ANCHORARRAY($B$3),_xlfn.ANCHORARRAY($A$3),"",0)</f>
        <v>1</v>
      </c>
      <c r="BC20" s="13" t="str" cm="1">
        <f t="array" ref="BC20">IF(COUNTA(AX19:AX20)&lt;2,"Winner of 30",INDEX(_xlfn.SORTBY(AV19:AV20,AX19:AX20,1),1))</f>
        <v>KVD</v>
      </c>
      <c r="BD20" s="13" t="e" cm="1" vm="12">
        <f t="array" aca="1" ref="BD20" ca="1">_xlfn.XLOOKUP(BC20,Registration[Nickname],_FV(Registration[Country],"Image"))</f>
        <v>#VALUE!</v>
      </c>
      <c r="BE20" s="3">
        <v>3</v>
      </c>
      <c r="BG20" s="75"/>
      <c r="BH20" s="13" t="str">
        <f>IF(COUNTA(O21:O22)&lt;2,"",IF(O21&gt;O22,M22,M21))</f>
        <v>Sjors</v>
      </c>
      <c r="BI20" s="13">
        <v>150</v>
      </c>
    </row>
    <row r="21" spans="1:107" ht="15" customHeight="1">
      <c r="A21" s="27">
        <v>19</v>
      </c>
      <c r="B21" s="13" t="str">
        <v>Kasmo</v>
      </c>
      <c r="D21" s="79">
        <v>1</v>
      </c>
      <c r="E21" s="27">
        <v>18</v>
      </c>
      <c r="F21" s="13" t="str">
        <f t="shared" ref="F21:F22" si="3">_xlfn.XLOOKUP(E21,A:A,B:B)</f>
        <v>Sjors</v>
      </c>
      <c r="G21" s="13" t="e" cm="1" vm="12">
        <f t="array" aca="1" ref="G21" ca="1">_xlfn.XLOOKUP(F21,Registration[Nickname],_FV(Registration[Country],"Image"))</f>
        <v>#VALUE!</v>
      </c>
      <c r="H21" s="3">
        <v>1</v>
      </c>
      <c r="I21" s="23"/>
      <c r="J21" s="24"/>
      <c r="K21" s="79">
        <v>1</v>
      </c>
      <c r="L21" s="27">
        <v>15</v>
      </c>
      <c r="M21" s="13" t="str">
        <f>_xlfn.XLOOKUP(L21,A:A,B:B)</f>
        <v>Champix</v>
      </c>
      <c r="N21" s="13" t="e" cm="1" vm="15">
        <f t="array" aca="1" ref="N21" ca="1">_xlfn.XLOOKUP(M21,Registration[Nickname],_FV(Registration[Country],"Image"))</f>
        <v>#VALUE!</v>
      </c>
      <c r="O21" s="3">
        <v>1</v>
      </c>
      <c r="P21" s="23"/>
      <c r="Q21" s="24"/>
      <c r="R21" s="79">
        <v>5</v>
      </c>
      <c r="S21" s="27">
        <v>2</v>
      </c>
      <c r="T21" s="13" t="str">
        <f>_xlfn.XLOOKUP(S21,A:A,B:B)</f>
        <v>Sami</v>
      </c>
      <c r="U21" s="13" t="e" cm="1" vm="13">
        <f t="array" aca="1" ref="U21" ca="1">_xlfn.XLOOKUP(T21,Registration[Nickname],_FV(Registration[Country],"Image"))</f>
        <v>#VALUE!</v>
      </c>
      <c r="V21" s="3">
        <v>2</v>
      </c>
      <c r="AK21" s="22"/>
      <c r="BG21" s="75"/>
      <c r="BH21" s="13" t="str">
        <f>IF(COUNTA(O29:O30)&lt;2,"",IF(O29&gt;O30,M30,M29))</f>
        <v>Flo</v>
      </c>
      <c r="BI21" s="13">
        <v>150</v>
      </c>
    </row>
    <row r="22" spans="1:107" ht="15" customHeight="1">
      <c r="A22" s="27">
        <v>20</v>
      </c>
      <c r="B22" s="13" t="str">
        <v>Narnet</v>
      </c>
      <c r="D22" s="80"/>
      <c r="E22" s="27">
        <v>23</v>
      </c>
      <c r="F22" s="13" t="str">
        <f t="shared" si="3"/>
        <v>tif</v>
      </c>
      <c r="G22" s="13" t="e" cm="1" vm="15">
        <f t="array" aca="1" ref="G22" ca="1">_xlfn.XLOOKUP(F22,Registration[Nickname],_FV(Registration[Country],"Image"))</f>
        <v>#VALUE!</v>
      </c>
      <c r="H22" s="3">
        <v>0</v>
      </c>
      <c r="K22" s="80"/>
      <c r="L22" s="27">
        <f>_xlfn.XLOOKUP(M22,F21:F22,E21:E22,"",0)</f>
        <v>18</v>
      </c>
      <c r="M22" s="13" t="str" cm="1">
        <f t="array" ref="M22">IF(COUNTA(H21:H22)&lt;2,"Winner of B1,3",INDEX(_xlfn.SORTBY(F21:F22,H21:H22,-1),1))</f>
        <v>Sjors</v>
      </c>
      <c r="N22" s="13" t="e" cm="1" vm="12">
        <f t="array" aca="1" ref="N22" ca="1">_xlfn.XLOOKUP(M22,Registration[Nickname],_FV(Registration[Country],"Image"))</f>
        <v>#VALUE!</v>
      </c>
      <c r="O22" s="3">
        <v>0</v>
      </c>
      <c r="R22" s="80"/>
      <c r="S22" s="27" cm="1">
        <f t="array" ref="S22">_xlfn.XLOOKUP(T22,_xlfn.ANCHORARRAY($B$3),_xlfn.ANCHORARRAY($A$3),"",0)</f>
        <v>15</v>
      </c>
      <c r="T22" s="13" t="str" cm="1">
        <f t="array" ref="T22">IF(COUNTA(O21:O22)&lt;2,"Winner of B2,3",INDEX(_xlfn.SORTBY(M21:M22,O21:O22,-1),1))</f>
        <v>Champix</v>
      </c>
      <c r="U22" s="13" t="e" cm="1" vm="15">
        <f t="array" aca="1" ref="U22" ca="1">_xlfn.XLOOKUP(T22,Registration[Nickname],_FV(Registration[Country],"Image"))</f>
        <v>#VALUE!</v>
      </c>
      <c r="V22" s="3">
        <v>0</v>
      </c>
      <c r="W22" s="21"/>
      <c r="AK22" s="22"/>
      <c r="BG22" s="73"/>
      <c r="BH22" s="13" t="str">
        <f>IF(COUNTA(O13:O14)&lt;2,"",IF(O13&gt;O14,M14,M13))</f>
        <v>Thibault</v>
      </c>
      <c r="BI22" s="13">
        <v>150</v>
      </c>
    </row>
    <row r="23" spans="1:107" ht="15" customHeight="1">
      <c r="A23" s="27">
        <v>21</v>
      </c>
      <c r="B23" s="13" t="str">
        <v>Thibault</v>
      </c>
      <c r="W23" s="22"/>
      <c r="X23" s="23"/>
      <c r="Y23" s="79">
        <v>2</v>
      </c>
      <c r="Z23" s="27" cm="1">
        <f t="array" ref="Z23">_xlfn.XLOOKUP(AA23,_xlfn.ANCHORARRAY($B$3),_xlfn.ANCHORARRAY($A$3),"",0)</f>
        <v>2</v>
      </c>
      <c r="AA23" s="13" t="str" cm="1">
        <f t="array" ref="AA23">IF(COUNTA(V21:V22)&lt;2,"Winner of 5",INDEX(_xlfn.SORTBY(T21:T22,V21:V22,-1),1))</f>
        <v>Sami</v>
      </c>
      <c r="AB23" s="13" t="e" cm="1" vm="13">
        <f t="array" aca="1" ref="AB23" ca="1">_xlfn.XLOOKUP(AA23,Registration[Nickname],_FV(Registration[Country],"Image"))</f>
        <v>#VALUE!</v>
      </c>
      <c r="AC23" s="3">
        <v>1</v>
      </c>
      <c r="AK23" s="22"/>
      <c r="BG23" s="74" t="s">
        <v>368</v>
      </c>
      <c r="BH23" s="13" t="str">
        <f>IF(COUNTA(H13:H14)&lt;2,"",IF(H13&gt;H14,F14,F13))</f>
        <v>Narnet</v>
      </c>
      <c r="BI23" s="13">
        <v>100</v>
      </c>
    </row>
    <row r="24" spans="1:107" ht="15" customHeight="1">
      <c r="A24" s="27">
        <v>22</v>
      </c>
      <c r="B24" s="13" t="str">
        <v>Patrick</v>
      </c>
      <c r="W24" s="22"/>
      <c r="Y24" s="80"/>
      <c r="Z24" s="27" cm="1">
        <f t="array" ref="Z24">_xlfn.XLOOKUP(AA24,_xlfn.ANCHORARRAY($B$3),_xlfn.ANCHORARRAY($A$3),"",0)</f>
        <v>7</v>
      </c>
      <c r="AA24" s="13" t="str" cm="1">
        <f t="array" ref="AA24">IF(COUNTA(V25:V26)&lt;2,"Winner of 6",INDEX(_xlfn.SORTBY(T25:T26,V25:V26,-1),1))</f>
        <v>Lafungo</v>
      </c>
      <c r="AB24" s="13" t="e" cm="1" vm="14">
        <f t="array" aca="1" ref="AB24" ca="1">_xlfn.XLOOKUP(AA24,Registration[Nickname],_FV(Registration[Country],"Image"))</f>
        <v>#VALUE!</v>
      </c>
      <c r="AC24" s="3">
        <v>2</v>
      </c>
      <c r="AD24" s="21"/>
      <c r="AK24" s="22"/>
      <c r="BG24" s="75"/>
      <c r="BH24" s="13" t="str">
        <f>IF(COUNTA(H29:H30)&lt;2,"",IF(H29&gt;H30,F30,F29))</f>
        <v>Patrick</v>
      </c>
      <c r="BI24" s="13">
        <v>100</v>
      </c>
    </row>
    <row r="25" spans="1:107" ht="15" customHeight="1">
      <c r="A25" s="27">
        <v>23</v>
      </c>
      <c r="B25" s="13" t="str">
        <v>tif</v>
      </c>
      <c r="R25" s="79">
        <v>6</v>
      </c>
      <c r="S25" s="27">
        <v>7</v>
      </c>
      <c r="T25" s="13" t="str">
        <f t="shared" ref="T25:T26" si="4">_xlfn.XLOOKUP(S25,A:A,B:B)</f>
        <v>Lafungo</v>
      </c>
      <c r="U25" s="13" t="e" cm="1" vm="14">
        <f t="array" aca="1" ref="U25" ca="1">_xlfn.XLOOKUP(T25,Registration[Nickname],_FV(Registration[Country],"Image"))</f>
        <v>#VALUE!</v>
      </c>
      <c r="V25" s="3">
        <v>2</v>
      </c>
      <c r="W25" s="24"/>
      <c r="AD25" s="22"/>
      <c r="AK25" s="22"/>
      <c r="BG25" s="75"/>
      <c r="BH25" s="13" t="str">
        <f>IF(COUNTA(H21:H22)&lt;2,"",IF(H21&gt;H22,F22,F21))</f>
        <v>tif</v>
      </c>
      <c r="BI25" s="13">
        <v>100</v>
      </c>
    </row>
    <row r="26" spans="1:107" ht="15" customHeight="1">
      <c r="A26" s="27">
        <v>24</v>
      </c>
      <c r="B26" s="13" t="str">
        <v>Rejemy</v>
      </c>
      <c r="R26" s="80"/>
      <c r="S26" s="27">
        <v>10</v>
      </c>
      <c r="T26" s="13" t="str">
        <f t="shared" si="4"/>
        <v>Onwa</v>
      </c>
      <c r="U26" s="13" t="e" cm="1" vm="16">
        <f t="array" aca="1" ref="U26" ca="1">_xlfn.XLOOKUP(T26,Registration[Nickname],_FV(Registration[Country],"Image"))</f>
        <v>#VALUE!</v>
      </c>
      <c r="V26" s="3">
        <v>1</v>
      </c>
      <c r="AD26" s="22"/>
      <c r="AK26" s="22"/>
      <c r="BG26" s="73"/>
      <c r="BH26" s="13" t="str">
        <f>IF(COUNTA(H5:H6)&lt;2,"",IF(H5&gt;H6,F6,F5))</f>
        <v>Rejemy</v>
      </c>
      <c r="BI26" s="13">
        <v>100</v>
      </c>
    </row>
    <row r="27" spans="1:107" ht="15" customHeight="1">
      <c r="AD27" s="22"/>
      <c r="AE27" s="23"/>
      <c r="AF27" s="79">
        <v>1</v>
      </c>
      <c r="AG27" s="27" cm="1">
        <f t="array" ref="AG27">_xlfn.XLOOKUP(AH27,_xlfn.ANCHORARRAY($B$3),_xlfn.ANCHORARRAY($A$3),"",0)</f>
        <v>7</v>
      </c>
      <c r="AH27" s="13" t="str" cm="1">
        <f t="array" ref="AH27">IF(COUNTA(AC23:AC24)&lt;2,"Winner of 15",INDEX(_xlfn.SORTBY(AA23:AA24,AC23:AC24,-1),1))</f>
        <v>Lafungo</v>
      </c>
      <c r="AI27" s="13" t="e" cm="1" vm="14">
        <f t="array" aca="1" ref="AI27" ca="1">_xlfn.XLOOKUP(AH27,Registration[Nickname],_FV(Registration[Country],"Image"))</f>
        <v>#VALUE!</v>
      </c>
      <c r="AJ27" s="3">
        <v>2</v>
      </c>
      <c r="AK27" s="24"/>
    </row>
    <row r="28" spans="1:107" s="14" customFormat="1" ht="15" customHeight="1">
      <c r="A28" s="1"/>
      <c r="B28" s="1"/>
      <c r="C28" s="1"/>
      <c r="D28" s="1"/>
      <c r="E28" s="1"/>
      <c r="F28" s="1"/>
      <c r="G28" s="1"/>
      <c r="H28" s="1"/>
      <c r="I28" s="1"/>
      <c r="J28" s="1"/>
      <c r="K28" s="1"/>
      <c r="L28" s="1"/>
      <c r="M28" s="1"/>
      <c r="N28" s="1"/>
      <c r="O28" s="1"/>
      <c r="P28" s="1"/>
      <c r="Q28" s="1"/>
      <c r="R28" s="4"/>
      <c r="S28" s="4"/>
      <c r="T28" s="4"/>
      <c r="U28" s="4"/>
      <c r="V28" s="4"/>
      <c r="W28" s="4"/>
      <c r="X28" s="4"/>
      <c r="Y28" s="4"/>
      <c r="Z28" s="4"/>
      <c r="AA28" s="4"/>
      <c r="AB28" s="4"/>
      <c r="AC28" s="4"/>
      <c r="AD28" s="22"/>
      <c r="AE28" s="4"/>
      <c r="AF28" s="80"/>
      <c r="AG28" s="27" cm="1">
        <f t="array" ref="AG28">_xlfn.XLOOKUP(AH28,_xlfn.ANCHORARRAY($B$3),_xlfn.ANCHORARRAY($A$3),"",0)</f>
        <v>3</v>
      </c>
      <c r="AH28" s="13" t="str" cm="1">
        <f t="array" ref="AH28">IF(COUNTA(AC31:AC32)&lt;2,"Winner of 16",INDEX(_xlfn.SORTBY(AA31:AA32,AC31:AC32,-1),1))</f>
        <v>Antistar</v>
      </c>
      <c r="AI28" s="13" t="e" cm="1" vm="15">
        <f t="array" aca="1" ref="AI28" ca="1">_xlfn.XLOOKUP(AH28,Registration[Nickname],_FV(Registration[Country],"Image"))</f>
        <v>#VALUE!</v>
      </c>
      <c r="AJ28" s="3">
        <v>0</v>
      </c>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row>
    <row r="29" spans="1:107" ht="15" customHeight="1">
      <c r="D29" s="79">
        <v>2</v>
      </c>
      <c r="E29" s="27">
        <v>19</v>
      </c>
      <c r="F29" s="13" t="str">
        <f t="shared" ref="F29:F30" si="5">_xlfn.XLOOKUP(E29,A:A,B:B)</f>
        <v>Kasmo</v>
      </c>
      <c r="G29" s="13" t="e" cm="1" vm="16">
        <f t="array" aca="1" ref="G29" ca="1">_xlfn.XLOOKUP(F29,Registration[Nickname],_FV(Registration[Country],"Image"))</f>
        <v>#VALUE!</v>
      </c>
      <c r="H29" s="3">
        <v>1</v>
      </c>
      <c r="I29" s="23"/>
      <c r="J29" s="24"/>
      <c r="K29" s="79">
        <v>2</v>
      </c>
      <c r="L29" s="27">
        <v>14</v>
      </c>
      <c r="M29" s="13" t="str">
        <f>_xlfn.XLOOKUP(L29,A:A,B:B)</f>
        <v>Flo</v>
      </c>
      <c r="N29" s="13" t="e" cm="1" vm="15">
        <f t="array" aca="1" ref="N29" ca="1">_xlfn.XLOOKUP(M29,Registration[Nickname],_FV(Registration[Country],"Image"))</f>
        <v>#VALUE!</v>
      </c>
      <c r="O29" s="3">
        <v>0</v>
      </c>
      <c r="P29" s="23"/>
      <c r="Q29" s="24"/>
      <c r="R29" s="79">
        <v>7</v>
      </c>
      <c r="S29" s="27">
        <v>3</v>
      </c>
      <c r="T29" s="13" t="str">
        <f>_xlfn.XLOOKUP(S29,A:A,B:B)</f>
        <v>Antistar</v>
      </c>
      <c r="U29" s="13" t="e" cm="1" vm="15">
        <f t="array" aca="1" ref="U29" ca="1">_xlfn.XLOOKUP(T29,Registration[Nickname],_FV(Registration[Country],"Image"))</f>
        <v>#VALUE!</v>
      </c>
      <c r="V29" s="3">
        <v>2</v>
      </c>
      <c r="AD29" s="22"/>
    </row>
    <row r="30" spans="1:107" ht="15" customHeight="1">
      <c r="D30" s="80"/>
      <c r="E30" s="27">
        <v>22</v>
      </c>
      <c r="F30" s="13" t="str">
        <f t="shared" si="5"/>
        <v>Patrick</v>
      </c>
      <c r="G30" s="13" t="e" cm="1" vm="12">
        <f t="array" aca="1" ref="G30" ca="1">_xlfn.XLOOKUP(F30,Registration[Nickname],_FV(Registration[Country],"Image"))</f>
        <v>#VALUE!</v>
      </c>
      <c r="H30" s="3">
        <v>0</v>
      </c>
      <c r="K30" s="80"/>
      <c r="L30" s="27">
        <f>_xlfn.XLOOKUP(M30,F29:F30,E29:E30,"",0)</f>
        <v>19</v>
      </c>
      <c r="M30" s="13" t="str" cm="1">
        <f t="array" ref="M30">IF(COUNTA(H29:H30)&lt;2,"Winner of B1,4",INDEX(_xlfn.SORTBY(F29:F30,H29:H30,-1),1))</f>
        <v>Kasmo</v>
      </c>
      <c r="N30" s="13" t="e" cm="1" vm="16">
        <f t="array" aca="1" ref="N30" ca="1">_xlfn.XLOOKUP(M30,Registration[Nickname],_FV(Registration[Country],"Image"))</f>
        <v>#VALUE!</v>
      </c>
      <c r="O30" s="3">
        <v>1</v>
      </c>
      <c r="R30" s="80"/>
      <c r="S30" s="27" cm="1">
        <f t="array" ref="S30">_xlfn.XLOOKUP(T30,_xlfn.ANCHORARRAY($B$3),_xlfn.ANCHORARRAY($A$3),"",0)</f>
        <v>19</v>
      </c>
      <c r="T30" s="13" t="str" cm="1">
        <f t="array" ref="T30">IF(COUNTA(O29:O30)&lt;2,"Winner of B2,4",INDEX(_xlfn.SORTBY(M29:M30,O29:O30,-1),1))</f>
        <v>Kasmo</v>
      </c>
      <c r="U30" s="13" t="e" cm="1" vm="16">
        <f t="array" aca="1" ref="U30" ca="1">_xlfn.XLOOKUP(T30,Registration[Nickname],_FV(Registration[Country],"Image"))</f>
        <v>#VALUE!</v>
      </c>
      <c r="V30" s="3">
        <v>0</v>
      </c>
      <c r="W30" s="21"/>
      <c r="AD30" s="22"/>
    </row>
    <row r="31" spans="1:107" ht="15" customHeight="1">
      <c r="W31" s="22"/>
      <c r="X31" s="23"/>
      <c r="Y31" s="79">
        <v>4</v>
      </c>
      <c r="Z31" s="27" cm="1">
        <f t="array" ref="Z31">_xlfn.XLOOKUP(AA31,_xlfn.ANCHORARRAY($B$3),_xlfn.ANCHORARRAY($A$3),"",0)</f>
        <v>3</v>
      </c>
      <c r="AA31" s="13" t="str" cm="1">
        <f t="array" ref="AA31">IF(COUNTA(V29:V30)&lt;2,"Winner of 7",INDEX(_xlfn.SORTBY(T29:T30,V29:V30,-1),1))</f>
        <v>Antistar</v>
      </c>
      <c r="AB31" s="13" t="e" cm="1" vm="15">
        <f t="array" aca="1" ref="AB31" ca="1">_xlfn.XLOOKUP(AA31,Registration[Nickname],_FV(Registration[Country],"Image"))</f>
        <v>#VALUE!</v>
      </c>
      <c r="AC31" s="3">
        <v>2</v>
      </c>
      <c r="AD31" s="24"/>
    </row>
    <row r="32" spans="1:107" ht="15" customHeight="1">
      <c r="B32" s="20" t="s">
        <v>370</v>
      </c>
      <c r="W32" s="22"/>
      <c r="Y32" s="80"/>
      <c r="Z32" s="27" cm="1">
        <f t="array" ref="Z32">_xlfn.XLOOKUP(AA32,_xlfn.ANCHORARRAY($B$3),_xlfn.ANCHORARRAY($A$3),"",0)</f>
        <v>6</v>
      </c>
      <c r="AA32" s="13" t="str" cm="1">
        <f t="array" ref="AA32">IF(COUNTA(V33:V34)&lt;2,"Winner of 8",INDEX(_xlfn.SORTBY(T33:T34,V33:V34,-1),1))</f>
        <v>Geo</v>
      </c>
      <c r="AB32" s="13" t="e" cm="1" vm="15">
        <f t="array" aca="1" ref="AB32" ca="1">_xlfn.XLOOKUP(AA32,Registration[Nickname],_FV(Registration[Country],"Image"))</f>
        <v>#VALUE!</v>
      </c>
      <c r="AC32" s="3">
        <v>0</v>
      </c>
    </row>
    <row r="33" spans="2:57" ht="15" customHeight="1">
      <c r="B33" s="20" t="e" cm="1">
        <f t="array" aca="1" ref="B33" ca="1">OFFSET(Parameters!$BQ$1,RANDBETWEEN(0,3),0,B32*2-1,1)</f>
        <v>#VALUE!</v>
      </c>
      <c r="R33" s="79">
        <v>1</v>
      </c>
      <c r="S33" s="27">
        <v>6</v>
      </c>
      <c r="T33" s="13" t="str">
        <f t="shared" ref="T33:T34" si="6">_xlfn.XLOOKUP(S33,A:A,B:B)</f>
        <v>Geo</v>
      </c>
      <c r="U33" s="13" t="e" cm="1" vm="15">
        <f t="array" aca="1" ref="U33" ca="1">_xlfn.XLOOKUP(T33,Registration[Nickname],_FV(Registration[Country],"Image"))</f>
        <v>#VALUE!</v>
      </c>
      <c r="V33" s="3">
        <v>2</v>
      </c>
      <c r="W33" s="24"/>
    </row>
    <row r="34" spans="2:57" ht="15" customHeight="1">
      <c r="R34" s="80"/>
      <c r="S34" s="27">
        <v>11</v>
      </c>
      <c r="T34" s="13" t="str">
        <f t="shared" si="6"/>
        <v>Jarmou</v>
      </c>
      <c r="U34" s="13" t="e" cm="1" vm="17">
        <f t="array" aca="1" ref="U34" ca="1">_xlfn.XLOOKUP(T34,Registration[Nickname],_FV(Registration[Country],"Image"))</f>
        <v>#VALUE!</v>
      </c>
      <c r="V34" s="3">
        <v>0</v>
      </c>
    </row>
    <row r="35" spans="2:57" ht="15" customHeight="1"/>
    <row r="36" spans="2:57" ht="15" customHeight="1"/>
    <row r="37" spans="2:57" ht="15" customHeight="1">
      <c r="R37" s="67" t="s">
        <v>371</v>
      </c>
      <c r="S37" s="68"/>
      <c r="T37" s="68"/>
      <c r="U37" s="68"/>
      <c r="V37" s="76"/>
      <c r="Y37" s="67" t="s">
        <v>372</v>
      </c>
      <c r="Z37" s="68"/>
      <c r="AA37" s="68"/>
      <c r="AB37" s="68"/>
      <c r="AC37" s="76"/>
      <c r="AF37" s="67" t="s">
        <v>373</v>
      </c>
      <c r="AG37" s="68"/>
      <c r="AH37" s="68"/>
      <c r="AI37" s="68"/>
      <c r="AJ37" s="76"/>
      <c r="AM37" s="67" t="s">
        <v>374</v>
      </c>
      <c r="AN37" s="68"/>
      <c r="AO37" s="68"/>
      <c r="AP37" s="68"/>
      <c r="AQ37" s="76"/>
      <c r="AT37" s="67" t="s">
        <v>375</v>
      </c>
      <c r="AU37" s="68"/>
      <c r="AV37" s="68"/>
      <c r="AW37" s="68"/>
      <c r="AX37" s="76"/>
      <c r="BA37" s="67" t="s">
        <v>376</v>
      </c>
      <c r="BB37" s="68"/>
      <c r="BC37" s="68"/>
      <c r="BD37" s="68"/>
      <c r="BE37" s="76"/>
    </row>
    <row r="38" spans="2:57" ht="15" customHeight="1">
      <c r="R38" s="28" t="s">
        <v>194</v>
      </c>
      <c r="S38" s="81" t="s">
        <v>398</v>
      </c>
      <c r="T38" s="82"/>
      <c r="U38" s="82"/>
      <c r="V38" s="83"/>
      <c r="Y38" s="28" t="s">
        <v>194</v>
      </c>
      <c r="Z38" s="81" t="s">
        <v>397</v>
      </c>
      <c r="AA38" s="82"/>
      <c r="AB38" s="82"/>
      <c r="AC38" s="83"/>
      <c r="AF38" s="28" t="s">
        <v>194</v>
      </c>
      <c r="AG38" s="81" t="s">
        <v>399</v>
      </c>
      <c r="AH38" s="82"/>
      <c r="AI38" s="82"/>
      <c r="AJ38" s="83"/>
      <c r="AM38" s="28" t="s">
        <v>194</v>
      </c>
      <c r="AN38" s="81" t="s">
        <v>403</v>
      </c>
      <c r="AO38" s="82"/>
      <c r="AP38" s="82"/>
      <c r="AQ38" s="83"/>
      <c r="AT38" s="28" t="s">
        <v>194</v>
      </c>
      <c r="AU38" s="81" t="s">
        <v>400</v>
      </c>
      <c r="AV38" s="82"/>
      <c r="AW38" s="82"/>
      <c r="AX38" s="83"/>
      <c r="BA38" s="28" t="s">
        <v>194</v>
      </c>
      <c r="BB38" s="81" t="s">
        <v>404</v>
      </c>
      <c r="BC38" s="82"/>
      <c r="BD38" s="82"/>
      <c r="BE38" s="83"/>
    </row>
    <row r="39" spans="2:57" ht="15" customHeight="1">
      <c r="R39" s="26">
        <v>2</v>
      </c>
      <c r="S39" s="84"/>
      <c r="T39" s="85"/>
      <c r="U39" s="85"/>
      <c r="V39" s="86"/>
      <c r="Y39" s="26">
        <v>2</v>
      </c>
      <c r="Z39" s="84"/>
      <c r="AA39" s="85"/>
      <c r="AB39" s="85"/>
      <c r="AC39" s="86"/>
      <c r="AF39" s="26">
        <v>2</v>
      </c>
      <c r="AG39" s="84"/>
      <c r="AH39" s="85"/>
      <c r="AI39" s="85"/>
      <c r="AJ39" s="86"/>
      <c r="AM39" s="26">
        <v>2</v>
      </c>
      <c r="AN39" s="84"/>
      <c r="AO39" s="85"/>
      <c r="AP39" s="85"/>
      <c r="AQ39" s="86"/>
      <c r="AT39" s="26">
        <v>3</v>
      </c>
      <c r="AU39" s="84"/>
      <c r="AV39" s="85"/>
      <c r="AW39" s="85"/>
      <c r="AX39" s="86"/>
      <c r="BA39" s="26">
        <v>3</v>
      </c>
      <c r="BB39" s="84"/>
      <c r="BC39" s="85"/>
      <c r="BD39" s="85"/>
      <c r="BE39" s="86"/>
    </row>
    <row r="40" spans="2:57" ht="15" customHeight="1"/>
    <row r="41" spans="2:57" ht="15" customHeight="1">
      <c r="R41" s="79">
        <v>9</v>
      </c>
      <c r="S41" s="27" cm="1">
        <f t="array" ref="S41">_xlfn.XLOOKUP(T41,_xlfn.ANCHORARRAY($B$3),_xlfn.ANCHORARRAY($A$3),"",0)</f>
        <v>16</v>
      </c>
      <c r="T41" s="13" t="str" cm="1">
        <f t="array" ref="T41">IF(COUNTA(V5:V6)&lt;2,"Loser of 1",INDEX(_xlfn.SORTBY(T5:T6,V5:V6,1),1))</f>
        <v>Franck</v>
      </c>
      <c r="U41" s="13" t="e" cm="1" vm="15">
        <f t="array" aca="1" ref="U41" ca="1">_xlfn.XLOOKUP(T41,Registration[Nickname],_FV(Registration[Country],"Image"))</f>
        <v>#VALUE!</v>
      </c>
      <c r="V41" s="3">
        <v>0</v>
      </c>
      <c r="W41" s="23"/>
      <c r="X41" s="24"/>
      <c r="Y41" s="79">
        <v>2</v>
      </c>
      <c r="Z41" s="27" cm="1">
        <f t="array" ref="Z41">_xlfn.XLOOKUP(AA41,_xlfn.ANCHORARRAY($B$3),_xlfn.ANCHORARRAY($A$3),"",0)</f>
        <v>6</v>
      </c>
      <c r="AA41" s="13" t="str" cm="1">
        <f t="array" ref="AA41">IF(COUNTA(AC31:AC32)&lt;2,"Loser of 16",INDEX(_xlfn.SORTBY(AA31:AA32,AC31:AC32,1),1))</f>
        <v>Geo</v>
      </c>
      <c r="AB41" s="13" t="e" cm="1" vm="15">
        <f t="array" aca="1" ref="AB41" ca="1">_xlfn.XLOOKUP(AA41,Registration[Nickname],_FV(Registration[Country],"Image"))</f>
        <v>#VALUE!</v>
      </c>
      <c r="AC41" s="3">
        <v>2</v>
      </c>
    </row>
    <row r="42" spans="2:57" ht="15" customHeight="1">
      <c r="R42" s="80"/>
      <c r="S42" s="27" cm="1">
        <f t="array" ref="S42">_xlfn.XLOOKUP(T42,_xlfn.ANCHORARRAY($B$3),_xlfn.ANCHORARRAY($A$3),"",0)</f>
        <v>9</v>
      </c>
      <c r="T42" s="13" t="str" cm="1">
        <f t="array" ref="T42">IF(COUNTA(V9:V10)&lt;2,"Loser of 2",INDEX(_xlfn.SORTBY(T9:T10,V9:V10,1),1))</f>
        <v>Drew</v>
      </c>
      <c r="U42" s="13" t="e" cm="1" vm="14">
        <f t="array" aca="1" ref="U42" ca="1">_xlfn.XLOOKUP(T42,Registration[Nickname],_FV(Registration[Country],"Image"))</f>
        <v>#VALUE!</v>
      </c>
      <c r="V42" s="3">
        <v>2</v>
      </c>
      <c r="Y42" s="80"/>
      <c r="Z42" s="27" cm="1">
        <f t="array" ref="Z42">_xlfn.XLOOKUP(AA42,_xlfn.ANCHORARRAY($B$3),_xlfn.ANCHORARRAY($A$3),"",0)</f>
        <v>9</v>
      </c>
      <c r="AA42" s="13" t="str" cm="1">
        <f t="array" ref="AA42">IF(COUNTA(V41:V42)&lt;2,"Winner of 9",INDEX(_xlfn.SORTBY(T41:T42,V41:V42,-1),1))</f>
        <v>Drew</v>
      </c>
      <c r="AB42" s="13" t="e" cm="1" vm="14">
        <f t="array" aca="1" ref="AB42" ca="1">_xlfn.XLOOKUP(AA42,Registration[Nickname],_FV(Registration[Country],"Image"))</f>
        <v>#VALUE!</v>
      </c>
      <c r="AC42" s="3">
        <v>0</v>
      </c>
      <c r="AD42" s="21"/>
    </row>
    <row r="43" spans="2:57" ht="15" customHeight="1">
      <c r="AD43" s="22"/>
      <c r="AE43" s="23"/>
      <c r="AF43" s="79">
        <v>4</v>
      </c>
      <c r="AG43" s="27" cm="1">
        <f t="array" ref="AG43">_xlfn.XLOOKUP(AH43,_xlfn.ANCHORARRAY($B$3),_xlfn.ANCHORARRAY($A$3),"",0)</f>
        <v>6</v>
      </c>
      <c r="AH43" s="13" t="str" cm="1">
        <f t="array" ref="AH43">IF(COUNTA(AC41:AC42)&lt;2,"Winner of 20",INDEX(_xlfn.SORTBY(AA41:AA42,AC41:AC42,-1),1))</f>
        <v>Geo</v>
      </c>
      <c r="AI43" s="13" t="e" cm="1" vm="15">
        <f t="array" aca="1" ref="AI43" ca="1">_xlfn.XLOOKUP(AH43,Registration[Nickname],_FV(Registration[Country],"Image"))</f>
        <v>#VALUE!</v>
      </c>
      <c r="AJ43" s="3">
        <v>1</v>
      </c>
      <c r="AK43" s="23"/>
      <c r="AL43" s="24"/>
      <c r="AM43" s="79">
        <v>25</v>
      </c>
      <c r="AN43" s="27" cm="1">
        <f t="array" ref="AN43">_xlfn.XLOOKUP(AO43,_xlfn.ANCHORARRAY($B$3),_xlfn.ANCHORARRAY($A$3),"",0)</f>
        <v>4</v>
      </c>
      <c r="AO43" s="13" t="str" cm="1">
        <f t="array" ref="AO43">IF(COUNTA(AJ11:AJ12)&lt;2,"Loser of 23",INDEX(_xlfn.SORTBY(AH11:AH12,AJ11:AJ12,1),1))</f>
        <v>Takashi</v>
      </c>
      <c r="AP43" s="13" t="e" cm="1" vm="16">
        <f t="array" aca="1" ref="AP43" ca="1">_xlfn.XLOOKUP(AO43,Registration[Nickname],_FV(Registration[Country],"Image"))</f>
        <v>#VALUE!</v>
      </c>
      <c r="AQ43" s="3">
        <v>0</v>
      </c>
    </row>
    <row r="44" spans="2:57" ht="15" customHeight="1">
      <c r="AD44" s="22"/>
      <c r="AF44" s="80"/>
      <c r="AG44" s="27" cm="1">
        <f t="array" ref="AG44">_xlfn.XLOOKUP(AH44,_xlfn.ANCHORARRAY($B$3),_xlfn.ANCHORARRAY($A$3),"",0)</f>
        <v>2</v>
      </c>
      <c r="AH44" s="13" t="str" cm="1">
        <f t="array" ref="AH44">IF(COUNTA(AC45:AC46)&lt;2,"Winner of 19",INDEX(_xlfn.SORTBY(AA45:AA46,AC45:AC46,-1),1))</f>
        <v>Sami</v>
      </c>
      <c r="AI44" s="13" t="e" cm="1" vm="13">
        <f t="array" aca="1" ref="AI44" ca="1">_xlfn.XLOOKUP(AH44,Registration[Nickname],_FV(Registration[Country],"Image"))</f>
        <v>#VALUE!</v>
      </c>
      <c r="AJ44" s="3">
        <v>2</v>
      </c>
      <c r="AM44" s="80"/>
      <c r="AN44" s="27" cm="1">
        <f t="array" ref="AN44">_xlfn.XLOOKUP(AO44,_xlfn.ANCHORARRAY($B$3),_xlfn.ANCHORARRAY($A$3),"",0)</f>
        <v>2</v>
      </c>
      <c r="AO44" s="13" t="str" cm="1">
        <f t="array" ref="AO44">IF(COUNTA(AJ43:AJ44)&lt;2,"Winner of 22",INDEX(_xlfn.SORTBY(AH43:AH44,AJ43:AJ44,-1),1))</f>
        <v>Sami</v>
      </c>
      <c r="AP44" s="13" t="e" cm="1" vm="13">
        <f t="array" aca="1" ref="AP44" ca="1">_xlfn.XLOOKUP(AO44,Registration[Nickname],_FV(Registration[Country],"Image"))</f>
        <v>#VALUE!</v>
      </c>
      <c r="AQ44" s="3">
        <v>2</v>
      </c>
      <c r="AR44" s="21"/>
    </row>
    <row r="45" spans="2:57" ht="15" customHeight="1">
      <c r="R45" s="79">
        <v>10</v>
      </c>
      <c r="S45" s="27" cm="1">
        <f t="array" ref="S45">_xlfn.XLOOKUP(T45,_xlfn.ANCHORARRAY($B$3),_xlfn.ANCHORARRAY($A$3),"",0)</f>
        <v>13</v>
      </c>
      <c r="T45" s="13" t="str" cm="1">
        <f t="array" ref="T45">IF(COUNTA(V13:V14)&lt;2,"Loser of 3",INDEX(_xlfn.SORTBY(T13:T14,V13:V14,1),1))</f>
        <v>Moll</v>
      </c>
      <c r="U45" s="13" t="e" cm="1" vm="13">
        <f t="array" aca="1" ref="U45" ca="1">_xlfn.XLOOKUP(T45,Registration[Nickname],_FV(Registration[Country],"Image"))</f>
        <v>#VALUE!</v>
      </c>
      <c r="V45" s="3">
        <v>1</v>
      </c>
      <c r="W45" s="23"/>
      <c r="X45" s="24"/>
      <c r="Y45" s="79">
        <v>3</v>
      </c>
      <c r="Z45" s="27" cm="1">
        <f t="array" ref="Z45">_xlfn.XLOOKUP(AA45,_xlfn.ANCHORARRAY($B$3),_xlfn.ANCHORARRAY($A$3),"",0)</f>
        <v>2</v>
      </c>
      <c r="AA45" s="13" t="str" cm="1">
        <f t="array" ref="AA45">IF(COUNTA(AC23:AC24)&lt;2,"Loser of 15",INDEX(_xlfn.SORTBY(AA23:AA24,AC23:AC24,1),1))</f>
        <v>Sami</v>
      </c>
      <c r="AB45" s="13" t="e" cm="1" vm="13">
        <f t="array" aca="1" ref="AB45" ca="1">_xlfn.XLOOKUP(AA45,Registration[Nickname],_FV(Registration[Country],"Image"))</f>
        <v>#VALUE!</v>
      </c>
      <c r="AC45" s="3">
        <v>2</v>
      </c>
      <c r="AD45" s="24"/>
      <c r="AR45" s="22"/>
    </row>
    <row r="46" spans="2:57" ht="15" customHeight="1">
      <c r="R46" s="80"/>
      <c r="S46" s="27" cm="1">
        <f t="array" ref="S46">_xlfn.XLOOKUP(T46,_xlfn.ANCHORARRAY($B$3),_xlfn.ANCHORARRAY($A$3),"",0)</f>
        <v>12</v>
      </c>
      <c r="T46" s="13" t="str" cm="1">
        <f t="array" ref="T46">IF(COUNTA(V17:V18)&lt;2,"Loser of 4",INDEX(_xlfn.SORTBY(T17:T18,V17:V18,1),1))</f>
        <v>Zarkov</v>
      </c>
      <c r="U46" s="13" t="e" cm="1" vm="13">
        <f t="array" aca="1" ref="U46" ca="1">_xlfn.XLOOKUP(T46,Registration[Nickname],_FV(Registration[Country],"Image"))</f>
        <v>#VALUE!</v>
      </c>
      <c r="V46" s="3">
        <v>2</v>
      </c>
      <c r="Y46" s="80"/>
      <c r="Z46" s="27" cm="1">
        <f t="array" ref="Z46">_xlfn.XLOOKUP(AA46,_xlfn.ANCHORARRAY($B$3),_xlfn.ANCHORARRAY($A$3),"",0)</f>
        <v>12</v>
      </c>
      <c r="AA46" s="13" t="str" cm="1">
        <f t="array" ref="AA46">IF(COUNTA(V45:V46)&lt;2,"Winner of 10",INDEX(_xlfn.SORTBY(T45:T46,V45:V46,-1),1))</f>
        <v>Zarkov</v>
      </c>
      <c r="AB46" s="13" t="e" cm="1" vm="13">
        <f t="array" aca="1" ref="AB46" ca="1">_xlfn.XLOOKUP(AA46,Registration[Nickname],_FV(Registration[Country],"Image"))</f>
        <v>#VALUE!</v>
      </c>
      <c r="AC46" s="3">
        <v>0</v>
      </c>
      <c r="AR46" s="22"/>
    </row>
    <row r="47" spans="2:57" ht="15" customHeight="1">
      <c r="AR47" s="22"/>
      <c r="AS47" s="23"/>
      <c r="AT47" s="79">
        <v>27</v>
      </c>
      <c r="AU47" s="27" cm="1">
        <f t="array" ref="AU47">_xlfn.XLOOKUP(AV47,_xlfn.ANCHORARRAY($B$3),_xlfn.ANCHORARRAY($A$3),"",0)</f>
        <v>2</v>
      </c>
      <c r="AV47" s="13" t="str" cm="1">
        <f t="array" ref="AV47">IF(COUNTA(AQ43:AQ44)&lt;2,"Winner of 25",INDEX(_xlfn.SORTBY(AO43:AO44,AQ43:AQ44,-1),1))</f>
        <v>Sami</v>
      </c>
      <c r="AW47" s="13" t="e" cm="1" vm="13">
        <f t="array" aca="1" ref="AW47" ca="1">_xlfn.XLOOKUP(AV47,Registration[Nickname],_FV(Registration[Country],"Image"))</f>
        <v>#VALUE!</v>
      </c>
      <c r="AX47" s="3">
        <v>3</v>
      </c>
      <c r="AY47" s="23"/>
      <c r="AZ47" s="24"/>
      <c r="BA47" s="79">
        <v>29</v>
      </c>
      <c r="BB47" s="27" cm="1">
        <f t="array" ref="BB47">_xlfn.XLOOKUP(BC47,_xlfn.ANCHORARRAY($B$3),_xlfn.ANCHORARRAY($A$3),"",0)</f>
        <v>7</v>
      </c>
      <c r="BC47" s="13" t="str" cm="1">
        <f t="array" ref="BC47">IF(COUNTA(AQ19:AQ20)&lt;2,"Loser of 28",INDEX(_xlfn.SORTBY(AO19:AO20,AQ19:AQ20,1),1))</f>
        <v>Lafungo</v>
      </c>
      <c r="BD47" s="13" t="e" cm="1" vm="14">
        <f t="array" aca="1" ref="BD47" ca="1">_xlfn.XLOOKUP(BC47,Registration[Nickname],_FV(Registration[Country],"Image"))</f>
        <v>#VALUE!</v>
      </c>
      <c r="BE47" s="3">
        <v>1</v>
      </c>
    </row>
    <row r="48" spans="2:57" ht="15" customHeight="1">
      <c r="AR48" s="22"/>
      <c r="AT48" s="80"/>
      <c r="AU48" s="27" cm="1">
        <f t="array" ref="AU48">_xlfn.XLOOKUP(AV48,_xlfn.ANCHORARRAY($B$3),_xlfn.ANCHORARRAY($A$3),"",0)</f>
        <v>3</v>
      </c>
      <c r="AV48" s="13" t="str" cm="1">
        <f t="array" ref="AV48">IF(COUNTA(AQ51:AQ52)&lt;2,"Winner of 26",INDEX(_xlfn.SORTBY(AO51:AO52,AQ51:AQ52,-1),1))</f>
        <v>Antistar</v>
      </c>
      <c r="AW48" s="13" t="e" cm="1" vm="15">
        <f t="array" aca="1" ref="AW48" ca="1">_xlfn.XLOOKUP(AV48,Registration[Nickname],_FV(Registration[Country],"Image"))</f>
        <v>#VALUE!</v>
      </c>
      <c r="AX48" s="3">
        <v>0</v>
      </c>
      <c r="BA48" s="80"/>
      <c r="BB48" s="27" cm="1">
        <f t="array" ref="BB48">_xlfn.XLOOKUP(BC48,_xlfn.ANCHORARRAY($B$3),_xlfn.ANCHORARRAY($A$3),"",0)</f>
        <v>2</v>
      </c>
      <c r="BC48" s="13" t="str" cm="1">
        <f t="array" ref="BC48">IF(COUNTA(AX47:AX48)&lt;2,"Winner of 27",INDEX(_xlfn.SORTBY(AV47:AV48,AX47:AX48,-1),1))</f>
        <v>Sami</v>
      </c>
      <c r="BD48" s="13" t="e" cm="1" vm="13">
        <f t="array" aca="1" ref="BD48" ca="1">_xlfn.XLOOKUP(BC48,Registration[Nickname],_FV(Registration[Country],"Image"))</f>
        <v>#VALUE!</v>
      </c>
      <c r="BE48" s="3">
        <v>3</v>
      </c>
    </row>
    <row r="49" spans="18:44" ht="15" customHeight="1">
      <c r="R49" s="79">
        <v>11</v>
      </c>
      <c r="S49" s="27" cm="1">
        <f t="array" ref="S49">_xlfn.XLOOKUP(T49,_xlfn.ANCHORARRAY($B$3),_xlfn.ANCHORARRAY($A$3),"",0)</f>
        <v>15</v>
      </c>
      <c r="T49" s="13" t="str" cm="1">
        <f t="array" ref="T49">IF(COUNTA(V21:V22)&lt;2,"Loser of 5",INDEX(_xlfn.SORTBY(T21:T22,V21:V22,1),1))</f>
        <v>Champix</v>
      </c>
      <c r="U49" s="13" t="e" cm="1" vm="15">
        <f t="array" aca="1" ref="U49" ca="1">_xlfn.XLOOKUP(T49,Registration[Nickname],_FV(Registration[Country],"Image"))</f>
        <v>#VALUE!</v>
      </c>
      <c r="V49" s="3">
        <v>0</v>
      </c>
      <c r="W49" s="23"/>
      <c r="X49" s="24"/>
      <c r="Y49" s="79">
        <v>4</v>
      </c>
      <c r="Z49" s="27" cm="1">
        <f t="array" ref="Z49">_xlfn.XLOOKUP(AA49,_xlfn.ANCHORARRAY($B$3),_xlfn.ANCHORARRAY($A$3),"",0)</f>
        <v>5</v>
      </c>
      <c r="AA49" s="13" t="str" cm="1">
        <f t="array" ref="AA49">IF(COUNTA(AC15:AC16)&lt;2,"Loser of 14",INDEX(_xlfn.SORTBY(AA15:AA16,AC15:AC16,1),1))</f>
        <v>JDR</v>
      </c>
      <c r="AB49" s="13" t="e" cm="1" vm="15">
        <f t="array" aca="1" ref="AB49" ca="1">_xlfn.XLOOKUP(AA49,Registration[Nickname],_FV(Registration[Country],"Image"))</f>
        <v>#VALUE!</v>
      </c>
      <c r="AC49" s="3">
        <v>2</v>
      </c>
      <c r="AR49" s="22"/>
    </row>
    <row r="50" spans="18:44" ht="15" customHeight="1">
      <c r="R50" s="80"/>
      <c r="S50" s="27" cm="1">
        <f t="array" ref="S50">_xlfn.XLOOKUP(T50,_xlfn.ANCHORARRAY($B$3),_xlfn.ANCHORARRAY($A$3),"",0)</f>
        <v>10</v>
      </c>
      <c r="T50" s="13" t="str" cm="1">
        <f t="array" ref="T50">IF(COUNTA(V25:V26)&lt;2,"Loser of 6",INDEX(_xlfn.SORTBY(T25:T26,V25:V26,1),1))</f>
        <v>Onwa</v>
      </c>
      <c r="U50" s="13" t="e" cm="1" vm="16">
        <f t="array" aca="1" ref="U50" ca="1">_xlfn.XLOOKUP(T50,Registration[Nickname],_FV(Registration[Country],"Image"))</f>
        <v>#VALUE!</v>
      </c>
      <c r="V50" s="3">
        <v>2</v>
      </c>
      <c r="Y50" s="80"/>
      <c r="Z50" s="27" cm="1">
        <f t="array" ref="Z50">_xlfn.XLOOKUP(AA50,_xlfn.ANCHORARRAY($B$3),_xlfn.ANCHORARRAY($A$3),"",0)</f>
        <v>10</v>
      </c>
      <c r="AA50" s="13" t="str" cm="1">
        <f t="array" ref="AA50">IF(COUNTA(V49:V50)&lt;2,"Winner of 11",INDEX(_xlfn.SORTBY(T49:T50,V49:V50,-1),1))</f>
        <v>Onwa</v>
      </c>
      <c r="AB50" s="13" t="e" cm="1" vm="16">
        <f t="array" aca="1" ref="AB50" ca="1">_xlfn.XLOOKUP(AA50,Registration[Nickname],_FV(Registration[Country],"Image"))</f>
        <v>#VALUE!</v>
      </c>
      <c r="AC50" s="3">
        <v>0</v>
      </c>
      <c r="AD50" s="21"/>
      <c r="AR50" s="22"/>
    </row>
    <row r="51" spans="18:44" ht="15" customHeight="1">
      <c r="AD51" s="22"/>
      <c r="AE51" s="23"/>
      <c r="AF51" s="79">
        <v>3</v>
      </c>
      <c r="AG51" s="27" cm="1">
        <f t="array" ref="AG51">_xlfn.XLOOKUP(AH51,_xlfn.ANCHORARRAY($B$3),_xlfn.ANCHORARRAY($A$3),"",0)</f>
        <v>5</v>
      </c>
      <c r="AH51" s="13" t="str" cm="1">
        <f t="array" ref="AH51">IF(COUNTA(AC49:AC50)&lt;2,"Winner of 18",INDEX(_xlfn.SORTBY(AA49:AA50,AC49:AC50,-1),1))</f>
        <v>JDR</v>
      </c>
      <c r="AI51" s="13" t="e" cm="1" vm="15">
        <f t="array" aca="1" ref="AI51" ca="1">_xlfn.XLOOKUP(AH51,Registration[Nickname],_FV(Registration[Country],"Image"))</f>
        <v>#VALUE!</v>
      </c>
      <c r="AJ51" s="3">
        <v>2</v>
      </c>
      <c r="AK51" s="23"/>
      <c r="AL51" s="24"/>
      <c r="AM51" s="79">
        <v>26</v>
      </c>
      <c r="AN51" s="27" cm="1">
        <f t="array" ref="AN51">_xlfn.XLOOKUP(AO51,_xlfn.ANCHORARRAY($B$3),_xlfn.ANCHORARRAY($A$3),"",0)</f>
        <v>3</v>
      </c>
      <c r="AO51" s="13" t="str" cm="1">
        <f t="array" ref="AO51">IF(COUNTA(AJ27:AJ28)&lt;2,"Loser of 24",INDEX(_xlfn.SORTBY(AH27:AH28,AJ27:AJ28,1),1))</f>
        <v>Antistar</v>
      </c>
      <c r="AP51" s="13" t="e" cm="1" vm="15">
        <f t="array" aca="1" ref="AP51" ca="1">_xlfn.XLOOKUP(AO51,Registration[Nickname],_FV(Registration[Country],"Image"))</f>
        <v>#VALUE!</v>
      </c>
      <c r="AQ51" s="3">
        <v>2</v>
      </c>
      <c r="AR51" s="24"/>
    </row>
    <row r="52" spans="18:44" ht="15" customHeight="1">
      <c r="AD52" s="22"/>
      <c r="AF52" s="80"/>
      <c r="AG52" s="27" cm="1">
        <f t="array" ref="AG52">_xlfn.XLOOKUP(AH52,_xlfn.ANCHORARRAY($B$3),_xlfn.ANCHORARRAY($A$3),"",0)</f>
        <v>11</v>
      </c>
      <c r="AH52" s="13" t="str" cm="1">
        <f t="array" ref="AH52">IF(COUNTA(AC53:AC54)&lt;2,"Winner of 17",INDEX(_xlfn.SORTBY(AA53:AA54,AC53:AC54,-1),1))</f>
        <v>Jarmou</v>
      </c>
      <c r="AI52" s="13" t="e" cm="1" vm="17">
        <f t="array" aca="1" ref="AI52" ca="1">_xlfn.XLOOKUP(AH52,Registration[Nickname],_FV(Registration[Country],"Image"))</f>
        <v>#VALUE!</v>
      </c>
      <c r="AJ52" s="3">
        <v>1</v>
      </c>
      <c r="AM52" s="80"/>
      <c r="AN52" s="27" cm="1">
        <f t="array" ref="AN52">_xlfn.XLOOKUP(AO52,_xlfn.ANCHORARRAY($B$3),_xlfn.ANCHORARRAY($A$3),"",0)</f>
        <v>5</v>
      </c>
      <c r="AO52" s="13" t="str" cm="1">
        <f t="array" ref="AO52">IF(COUNTA(AJ51:AJ52)&lt;2,"Winner of 21",INDEX(_xlfn.SORTBY(AH51:AH52,AJ51:AJ52,-1),1))</f>
        <v>JDR</v>
      </c>
      <c r="AP52" s="13" t="e" cm="1" vm="15">
        <f t="array" aca="1" ref="AP52" ca="1">_xlfn.XLOOKUP(AO52,Registration[Nickname],_FV(Registration[Country],"Image"))</f>
        <v>#VALUE!</v>
      </c>
      <c r="AQ52" s="3">
        <v>0</v>
      </c>
    </row>
    <row r="53" spans="18:44" ht="15" customHeight="1">
      <c r="R53" s="79">
        <v>12</v>
      </c>
      <c r="S53" s="27" cm="1">
        <f t="array" ref="S53">_xlfn.XLOOKUP(T53,_xlfn.ANCHORARRAY($B$3),_xlfn.ANCHORARRAY($A$3),"",0)</f>
        <v>19</v>
      </c>
      <c r="T53" s="13" t="str" cm="1">
        <f t="array" ref="T53">IF(COUNTA(V29:V30)&lt;2,"Loser of 7",INDEX(_xlfn.SORTBY(T29:T30,V29:V30,1),1))</f>
        <v>Kasmo</v>
      </c>
      <c r="U53" s="13" t="e" cm="1" vm="16">
        <f t="array" aca="1" ref="U53" ca="1">_xlfn.XLOOKUP(T53,Registration[Nickname],_FV(Registration[Country],"Image"))</f>
        <v>#VALUE!</v>
      </c>
      <c r="V53" s="3">
        <v>0</v>
      </c>
      <c r="W53" s="23"/>
      <c r="X53" s="24"/>
      <c r="Y53" s="79">
        <v>1</v>
      </c>
      <c r="Z53" s="27" cm="1">
        <f t="array" ref="Z53">_xlfn.XLOOKUP(AA53,_xlfn.ANCHORARRAY($B$3),_xlfn.ANCHORARRAY($A$3),"",0)</f>
        <v>8</v>
      </c>
      <c r="AA53" s="13" t="str" cm="1">
        <f t="array" ref="AA53">IF(COUNTA(AC7:AC8)&lt;2,"Loser of 13",INDEX(_xlfn.SORTBY(AA7:AA8,AC7:AC8,1),1))</f>
        <v>Leyla</v>
      </c>
      <c r="AB53" s="13" t="e" cm="1" vm="13">
        <f t="array" aca="1" ref="AB53" ca="1">_xlfn.XLOOKUP(AA53,Registration[Nickname],_FV(Registration[Country],"Image"))</f>
        <v>#VALUE!</v>
      </c>
      <c r="AC53" s="3">
        <v>0</v>
      </c>
      <c r="AD53" s="24"/>
    </row>
    <row r="54" spans="18:44" ht="15" customHeight="1">
      <c r="R54" s="80"/>
      <c r="S54" s="27" cm="1">
        <f t="array" ref="S54">_xlfn.XLOOKUP(T54,_xlfn.ANCHORARRAY($B$3),_xlfn.ANCHORARRAY($A$3),"",0)</f>
        <v>11</v>
      </c>
      <c r="T54" s="13" t="str" cm="1">
        <f t="array" ref="T54">IF(COUNTA(V33:V34)&lt;2,"Loser of 8",INDEX(_xlfn.SORTBY(T33:T34,V33:V34,1),1))</f>
        <v>Jarmou</v>
      </c>
      <c r="U54" s="13" t="e" cm="1" vm="17">
        <f t="array" aca="1" ref="U54" ca="1">_xlfn.XLOOKUP(T54,Registration[Nickname],_FV(Registration[Country],"Image"))</f>
        <v>#VALUE!</v>
      </c>
      <c r="V54" s="3">
        <v>2</v>
      </c>
      <c r="Y54" s="80"/>
      <c r="Z54" s="27" cm="1">
        <f t="array" ref="Z54">_xlfn.XLOOKUP(AA54,_xlfn.ANCHORARRAY($B$3),_xlfn.ANCHORARRAY($A$3),"",0)</f>
        <v>11</v>
      </c>
      <c r="AA54" s="13" t="str" cm="1">
        <f t="array" ref="AA54">IF(COUNTA(V53:V54)&lt;2,"Winner of B112",INDEX(_xlfn.SORTBY(T53:T54,V53:V54,-1),1))</f>
        <v>Jarmou</v>
      </c>
      <c r="AB54" s="13" t="e" cm="1" vm="17">
        <f t="array" aca="1" ref="AB54" ca="1">_xlfn.XLOOKUP(AA54,Registration[Nickname],_FV(Registration[Country],"Image"))</f>
        <v>#VALUE!</v>
      </c>
      <c r="AC54" s="3">
        <v>2</v>
      </c>
    </row>
  </sheetData>
  <mergeCells count="75">
    <mergeCell ref="D13:D14"/>
    <mergeCell ref="A1:B1"/>
    <mergeCell ref="D1:H1"/>
    <mergeCell ref="K1:O1"/>
    <mergeCell ref="D5:D6"/>
    <mergeCell ref="K5:K6"/>
    <mergeCell ref="K13:K14"/>
    <mergeCell ref="Y31:Y32"/>
    <mergeCell ref="AT37:AX37"/>
    <mergeCell ref="BA37:BE37"/>
    <mergeCell ref="BB38:BE39"/>
    <mergeCell ref="Y41:Y42"/>
    <mergeCell ref="BA1:BE1"/>
    <mergeCell ref="BG1:BI1"/>
    <mergeCell ref="E2:H3"/>
    <mergeCell ref="L2:O3"/>
    <mergeCell ref="S2:V3"/>
    <mergeCell ref="Z2:AC3"/>
    <mergeCell ref="AG2:AJ3"/>
    <mergeCell ref="AN2:AQ3"/>
    <mergeCell ref="AU2:AX3"/>
    <mergeCell ref="BB2:BE3"/>
    <mergeCell ref="R1:V1"/>
    <mergeCell ref="Y1:AC1"/>
    <mergeCell ref="AF1:AJ1"/>
    <mergeCell ref="AM1:AQ1"/>
    <mergeCell ref="AT1:AX1"/>
    <mergeCell ref="R5:R6"/>
    <mergeCell ref="BG7:BG8"/>
    <mergeCell ref="R9:R10"/>
    <mergeCell ref="BG9:BG10"/>
    <mergeCell ref="AF11:AF12"/>
    <mergeCell ref="BG11:BG14"/>
    <mergeCell ref="Y7:Y8"/>
    <mergeCell ref="R13:R14"/>
    <mergeCell ref="Y15:Y16"/>
    <mergeCell ref="BG15:BG18"/>
    <mergeCell ref="R17:R18"/>
    <mergeCell ref="AM19:AM20"/>
    <mergeCell ref="AT19:AT20"/>
    <mergeCell ref="BA19:BA20"/>
    <mergeCell ref="BG19:BG22"/>
    <mergeCell ref="D21:D22"/>
    <mergeCell ref="K21:K22"/>
    <mergeCell ref="R21:R22"/>
    <mergeCell ref="BG23:BG26"/>
    <mergeCell ref="R25:R26"/>
    <mergeCell ref="AF27:AF28"/>
    <mergeCell ref="D29:D30"/>
    <mergeCell ref="K29:K30"/>
    <mergeCell ref="R29:R30"/>
    <mergeCell ref="Y23:Y24"/>
    <mergeCell ref="R33:R34"/>
    <mergeCell ref="R37:V37"/>
    <mergeCell ref="Y37:AC37"/>
    <mergeCell ref="AF37:AJ37"/>
    <mergeCell ref="AM37:AQ37"/>
    <mergeCell ref="S38:V39"/>
    <mergeCell ref="Z38:AC39"/>
    <mergeCell ref="AG38:AJ39"/>
    <mergeCell ref="AN38:AQ39"/>
    <mergeCell ref="AU38:AX39"/>
    <mergeCell ref="R41:R42"/>
    <mergeCell ref="AF43:AF44"/>
    <mergeCell ref="AM43:AM44"/>
    <mergeCell ref="R45:R46"/>
    <mergeCell ref="Y45:Y46"/>
    <mergeCell ref="R53:R54"/>
    <mergeCell ref="Y53:Y54"/>
    <mergeCell ref="AT47:AT48"/>
    <mergeCell ref="BA47:BA48"/>
    <mergeCell ref="R49:R50"/>
    <mergeCell ref="Y49:Y50"/>
    <mergeCell ref="AF51:AF52"/>
    <mergeCell ref="AM51:AM52"/>
  </mergeCells>
  <conditionalFormatting sqref="A28:Q28">
    <cfRule type="notContainsBlanks" dxfId="44" priority="45">
      <formula>LEN(TRIM(A28))&gt;0</formula>
    </cfRule>
  </conditionalFormatting>
  <conditionalFormatting sqref="B3:B26">
    <cfRule type="notContainsBlanks" dxfId="43" priority="18">
      <formula>LEN(TRIM(B3))&gt;0</formula>
    </cfRule>
  </conditionalFormatting>
  <conditionalFormatting sqref="B27 B29:B1048576">
    <cfRule type="notContainsBlanks" dxfId="42" priority="46">
      <formula>LEN(TRIM(B27))&gt;0</formula>
    </cfRule>
  </conditionalFormatting>
  <conditionalFormatting sqref="F5:G6 M5:N6">
    <cfRule type="notContainsBlanks" dxfId="41" priority="42">
      <formula>LEN(TRIM(F5))&gt;0</formula>
    </cfRule>
  </conditionalFormatting>
  <conditionalFormatting sqref="F13:G14">
    <cfRule type="notContainsBlanks" dxfId="40" priority="41">
      <formula>LEN(TRIM(F13))&gt;0</formula>
    </cfRule>
  </conditionalFormatting>
  <conditionalFormatting sqref="F21:G22">
    <cfRule type="notContainsBlanks" dxfId="39" priority="40">
      <formula>LEN(TRIM(F21))&gt;0</formula>
    </cfRule>
  </conditionalFormatting>
  <conditionalFormatting sqref="F29:G30">
    <cfRule type="notContainsBlanks" dxfId="38" priority="39">
      <formula>LEN(TRIM(F29))&gt;0</formula>
    </cfRule>
  </conditionalFormatting>
  <conditionalFormatting sqref="M13:N14">
    <cfRule type="notContainsBlanks" dxfId="37" priority="38">
      <formula>LEN(TRIM(M13))&gt;0</formula>
    </cfRule>
  </conditionalFormatting>
  <conditionalFormatting sqref="M21:N22">
    <cfRule type="notContainsBlanks" dxfId="36" priority="37">
      <formula>LEN(TRIM(M21))&gt;0</formula>
    </cfRule>
  </conditionalFormatting>
  <conditionalFormatting sqref="M29:N30">
    <cfRule type="notContainsBlanks" dxfId="35" priority="36">
      <formula>LEN(TRIM(M29))&gt;0</formula>
    </cfRule>
  </conditionalFormatting>
  <conditionalFormatting sqref="T5:U6">
    <cfRule type="notContainsBlanks" dxfId="34" priority="35">
      <formula>LEN(TRIM(T5))&gt;0</formula>
    </cfRule>
  </conditionalFormatting>
  <conditionalFormatting sqref="T9:U10 T17:U18 T25:U26 T33:U34">
    <cfRule type="notContainsBlanks" dxfId="33" priority="44">
      <formula>LEN(TRIM(T9))&gt;0</formula>
    </cfRule>
  </conditionalFormatting>
  <conditionalFormatting sqref="T13:U14">
    <cfRule type="notContainsBlanks" dxfId="32" priority="34">
      <formula>LEN(TRIM(T13))&gt;0</formula>
    </cfRule>
  </conditionalFormatting>
  <conditionalFormatting sqref="T21:U22">
    <cfRule type="notContainsBlanks" dxfId="31" priority="33">
      <formula>LEN(TRIM(T21))&gt;0</formula>
    </cfRule>
  </conditionalFormatting>
  <conditionalFormatting sqref="T29:U30">
    <cfRule type="notContainsBlanks" dxfId="30" priority="32">
      <formula>LEN(TRIM(T29))&gt;0</formula>
    </cfRule>
  </conditionalFormatting>
  <conditionalFormatting sqref="T41:U42">
    <cfRule type="notContainsBlanks" dxfId="29" priority="22">
      <formula>LEN(TRIM(T41))&gt;0</formula>
    </cfRule>
  </conditionalFormatting>
  <conditionalFormatting sqref="T45:U46">
    <cfRule type="notContainsBlanks" dxfId="28" priority="21">
      <formula>LEN(TRIM(T45))&gt;0</formula>
    </cfRule>
  </conditionalFormatting>
  <conditionalFormatting sqref="T49:U50">
    <cfRule type="notContainsBlanks" dxfId="27" priority="20">
      <formula>LEN(TRIM(T49))&gt;0</formula>
    </cfRule>
  </conditionalFormatting>
  <conditionalFormatting sqref="T53:U54">
    <cfRule type="notContainsBlanks" dxfId="26" priority="19">
      <formula>LEN(TRIM(T53))&gt;0</formula>
    </cfRule>
  </conditionalFormatting>
  <conditionalFormatting sqref="AA7:AB8">
    <cfRule type="notContainsBlanks" dxfId="25" priority="31">
      <formula>LEN(TRIM(AA7))&gt;0</formula>
    </cfRule>
  </conditionalFormatting>
  <conditionalFormatting sqref="AA15:AB16">
    <cfRule type="notContainsBlanks" dxfId="24" priority="30">
      <formula>LEN(TRIM(AA15))&gt;0</formula>
    </cfRule>
  </conditionalFormatting>
  <conditionalFormatting sqref="AA23:AB24">
    <cfRule type="notContainsBlanks" dxfId="23" priority="29">
      <formula>LEN(TRIM(AA23))&gt;0</formula>
    </cfRule>
  </conditionalFormatting>
  <conditionalFormatting sqref="AA31:AB32">
    <cfRule type="notContainsBlanks" dxfId="22" priority="28">
      <formula>LEN(TRIM(AA31))&gt;0</formula>
    </cfRule>
  </conditionalFormatting>
  <conditionalFormatting sqref="AA41:AB42">
    <cfRule type="notContainsBlanks" dxfId="21" priority="14">
      <formula>LEN(TRIM(AA41))&gt;0</formula>
    </cfRule>
  </conditionalFormatting>
  <conditionalFormatting sqref="AA45:AB46">
    <cfRule type="notContainsBlanks" dxfId="20" priority="13">
      <formula>LEN(TRIM(AA45))&gt;0</formula>
    </cfRule>
  </conditionalFormatting>
  <conditionalFormatting sqref="AA49:AB50">
    <cfRule type="notContainsBlanks" dxfId="19" priority="12">
      <formula>LEN(TRIM(AA49))&gt;0</formula>
    </cfRule>
  </conditionalFormatting>
  <conditionalFormatting sqref="AA53:AB54">
    <cfRule type="notContainsBlanks" dxfId="18" priority="11">
      <formula>LEN(TRIM(AA53))&gt;0</formula>
    </cfRule>
  </conditionalFormatting>
  <conditionalFormatting sqref="AH11:AI12">
    <cfRule type="notContainsBlanks" dxfId="17" priority="27">
      <formula>LEN(TRIM(AH11))&gt;0</formula>
    </cfRule>
  </conditionalFormatting>
  <conditionalFormatting sqref="AH27:AI28">
    <cfRule type="notContainsBlanks" dxfId="16" priority="26">
      <formula>LEN(TRIM(AH27))&gt;0</formula>
    </cfRule>
  </conditionalFormatting>
  <conditionalFormatting sqref="AH43:AI44">
    <cfRule type="notContainsBlanks" dxfId="15" priority="10">
      <formula>LEN(TRIM(AH43))&gt;0</formula>
    </cfRule>
  </conditionalFormatting>
  <conditionalFormatting sqref="AH51:AI52">
    <cfRule type="notContainsBlanks" dxfId="14" priority="9">
      <formula>LEN(TRIM(AH51))&gt;0</formula>
    </cfRule>
  </conditionalFormatting>
  <conditionalFormatting sqref="AO19:AP20">
    <cfRule type="notContainsBlanks" dxfId="13" priority="25">
      <formula>LEN(TRIM(AO19))&gt;0</formula>
    </cfRule>
  </conditionalFormatting>
  <conditionalFormatting sqref="AO43:AP44">
    <cfRule type="notContainsBlanks" dxfId="12" priority="8">
      <formula>LEN(TRIM(AO43))&gt;0</formula>
    </cfRule>
  </conditionalFormatting>
  <conditionalFormatting sqref="AO51:AP52">
    <cfRule type="notContainsBlanks" dxfId="11" priority="6">
      <formula>LEN(TRIM(AO51))&gt;0</formula>
    </cfRule>
  </conditionalFormatting>
  <conditionalFormatting sqref="AV19:AW20">
    <cfRule type="notContainsBlanks" dxfId="10" priority="24">
      <formula>LEN(TRIM(AV19))&gt;0</formula>
    </cfRule>
  </conditionalFormatting>
  <conditionalFormatting sqref="AV47:AW48">
    <cfRule type="notContainsBlanks" dxfId="9" priority="5">
      <formula>LEN(TRIM(AV47))&gt;0</formula>
    </cfRule>
  </conditionalFormatting>
  <conditionalFormatting sqref="BC19:BD19 BD20">
    <cfRule type="notContainsBlanks" dxfId="8" priority="23">
      <formula>LEN(TRIM(BC19))&gt;0</formula>
    </cfRule>
  </conditionalFormatting>
  <conditionalFormatting sqref="BC47:BD48">
    <cfRule type="notContainsBlanks" dxfId="7" priority="3">
      <formula>LEN(TRIM(BC47))&gt;0</formula>
    </cfRule>
  </conditionalFormatting>
  <conditionalFormatting sqref="BH3:BI26">
    <cfRule type="notContainsBlanks" dxfId="6" priority="2">
      <formula>LEN(TRIM(BH3))&gt;0</formula>
    </cfRule>
  </conditionalFormatting>
  <conditionalFormatting sqref="BC20">
    <cfRule type="notContainsBlanks" dxfId="5" priority="1">
      <formula>LEN(TRIM(BC20))&gt;0</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91198-7E4D-40FD-8EDC-06E26481B822}">
  <sheetPr codeName="Sheet6">
    <tabColor rgb="FF7030A0"/>
  </sheetPr>
  <dimension ref="A1:X65"/>
  <sheetViews>
    <sheetView zoomScaleNormal="100" workbookViewId="0">
      <selection activeCell="Q2" sqref="Q2"/>
    </sheetView>
  </sheetViews>
  <sheetFormatPr defaultColWidth="9.140625" defaultRowHeight="12.75"/>
  <cols>
    <col min="1" max="1" width="3.28515625" style="4" bestFit="1" customWidth="1"/>
    <col min="2" max="2" width="12.42578125" style="4" bestFit="1" customWidth="1"/>
    <col min="3" max="3" width="5.7109375" style="4" customWidth="1"/>
    <col min="4" max="4" width="4.85546875" style="4" bestFit="1" customWidth="1"/>
    <col min="5" max="5" width="9.140625" style="4" bestFit="1" customWidth="1"/>
    <col min="6" max="6" width="8.140625" style="4" bestFit="1" customWidth="1"/>
    <col min="7" max="7" width="5.7109375" style="4" customWidth="1"/>
    <col min="8" max="8" width="5.5703125" style="4" bestFit="1" customWidth="1"/>
    <col min="9" max="9" width="9.85546875" style="4" bestFit="1" customWidth="1"/>
    <col min="10" max="10" width="8.85546875" style="4" bestFit="1" customWidth="1"/>
    <col min="11" max="11" width="5.7109375" style="4" customWidth="1"/>
    <col min="12" max="12" width="5.7109375" style="4" bestFit="1" customWidth="1"/>
    <col min="13" max="13" width="10" style="4" bestFit="1" customWidth="1"/>
    <col min="14" max="14" width="9" style="4" bestFit="1" customWidth="1"/>
    <col min="15" max="15" width="5.7109375" style="4" customWidth="1"/>
    <col min="16" max="16" width="5.140625" style="4" bestFit="1" customWidth="1"/>
    <col min="17" max="17" width="9.42578125" style="4" bestFit="1" customWidth="1"/>
    <col min="18" max="18" width="8.42578125" style="4" bestFit="1" customWidth="1"/>
    <col min="19" max="19" width="5.7109375" style="4" customWidth="1"/>
    <col min="20" max="20" width="11.5703125" style="4" bestFit="1" customWidth="1"/>
    <col min="21" max="21" width="5.7109375" style="4" customWidth="1"/>
    <col min="22" max="22" width="3.28515625" style="4" bestFit="1" customWidth="1"/>
    <col min="23" max="23" width="12.42578125" style="4" bestFit="1" customWidth="1"/>
    <col min="24" max="24" width="11.5703125" style="4" bestFit="1" customWidth="1"/>
    <col min="25" max="16384" width="9.140625" style="4"/>
  </cols>
  <sheetData>
    <row r="1" spans="1:24">
      <c r="A1" s="31" t="s">
        <v>0</v>
      </c>
      <c r="B1" s="31" t="s">
        <v>330</v>
      </c>
      <c r="D1" s="31" t="s">
        <v>405</v>
      </c>
      <c r="E1" s="31" t="s">
        <v>406</v>
      </c>
      <c r="F1" s="31" t="s">
        <v>407</v>
      </c>
      <c r="H1" s="31" t="s">
        <v>408</v>
      </c>
      <c r="I1" s="31" t="s">
        <v>409</v>
      </c>
      <c r="J1" s="31" t="s">
        <v>410</v>
      </c>
      <c r="L1" s="31" t="s">
        <v>411</v>
      </c>
      <c r="M1" s="31" t="s">
        <v>412</v>
      </c>
      <c r="N1" s="31" t="s">
        <v>413</v>
      </c>
      <c r="P1" s="31" t="s">
        <v>414</v>
      </c>
      <c r="Q1" s="31" t="s">
        <v>415</v>
      </c>
      <c r="R1" s="31" t="s">
        <v>416</v>
      </c>
      <c r="T1" s="31" t="s">
        <v>417</v>
      </c>
      <c r="V1" s="31" t="s">
        <v>0</v>
      </c>
      <c r="W1" s="31" t="s">
        <v>330</v>
      </c>
      <c r="X1" s="31" t="s">
        <v>417</v>
      </c>
    </row>
    <row r="2" spans="1:24">
      <c r="A2" s="31" cm="1">
        <f t="array" ref="A2:A61">_xlfn.SEQUENCE(COUNTA(_xlfn.ANCHORARRAY(B2)))</f>
        <v>1</v>
      </c>
      <c r="B2" s="32" t="str" cm="1">
        <f t="array" ref="B2:B61">_xlfn._xlws.SORT(_xlfn.UNIQUE(Registration[Nickname]))</f>
        <v>Ale</v>
      </c>
      <c r="D2" s="33" cm="1">
        <f t="array" aca="1" ref="D2:D61" ca="1">_xlfn.XLOOKUP(_xlfn.ANCHORARRAY($B$2),'TT Qualifications'!CN:CN,'TT Qualifications'!CR:CR,0,0)</f>
        <v>153.2608695652174</v>
      </c>
      <c r="E2" s="33" cm="1">
        <f t="array" aca="1" ref="E2:E61" ca="1">_xlfn.XLOOKUP(_xlfn.ANCHORARRAY(B2),'TT Finals'!TB:TB,'TT Finals'!TD:TD,0,0)</f>
        <v>0</v>
      </c>
      <c r="F2" s="33" cm="1">
        <f t="array" aca="1" ref="F2:F61" ca="1">_xlfn.ANCHORARRAY(D2)+_xlfn.ANCHORARRAY(E2)</f>
        <v>153.2608695652174</v>
      </c>
      <c r="H2" s="34" cm="1">
        <f t="array" ref="H2:H61">_xlfn.XLOOKUP(_xlfn.ANCHORARRAY($B$2),'BM Qualifications'!AG:AG,'BM Qualifications'!AI:AI,0,0)</f>
        <v>166</v>
      </c>
      <c r="I2" s="34" cm="1">
        <f t="array" ref="I2:I61">_xlfn.XLOOKUP(_xlfn.ANCHORARRAY($B$2),'BM Finals'!BH:BH,'BM Finals'!BI:BI,0,0)</f>
        <v>0</v>
      </c>
      <c r="J2" s="34" cm="1">
        <f t="array" ref="J2:J61">_xlfn.ANCHORARRAY(H2)+_xlfn.ANCHORARRAY(I2)</f>
        <v>166</v>
      </c>
      <c r="L2" s="35" cm="1">
        <f t="array" ref="L2:L61">_xlfn.XLOOKUP(_xlfn.ANCHORARRAY($B$2),'MR Qualifications'!AK:AK,'MR Qualifications'!AM:AM,0,0)</f>
        <v>66</v>
      </c>
      <c r="M2" s="35" cm="1">
        <f t="array" ref="M2:M61">_xlfn.XLOOKUP(_xlfn.ANCHORARRAY($B$2),'MR Finals'!BH:BH,'MR Finals'!BI:BI,0,0)</f>
        <v>0</v>
      </c>
      <c r="N2" s="35" cm="1">
        <f t="array" ref="N2:N61">_xlfn.ANCHORARRAY(L2)+_xlfn.ANCHORARRAY(M2)</f>
        <v>66</v>
      </c>
      <c r="P2" s="36" cm="1">
        <f t="array" ref="P2:P61">_xlfn.XLOOKUP(_xlfn.ANCHORARRAY($B$2),'GP Qualifications'!AH:AH,'GP Qualifications'!AJ:AJ,0,0)</f>
        <v>200</v>
      </c>
      <c r="Q2" s="36" cm="1">
        <f t="array" ref="Q2:Q61">_xlfn.XLOOKUP(_xlfn.ANCHORARRAY($B$2),'GP Finals'!BH:BH,'GP Finals'!BI:BI,0,0)</f>
        <v>0</v>
      </c>
      <c r="R2" s="36" cm="1">
        <f t="array" ref="R2:R61">_xlfn.ANCHORARRAY(P2)+_xlfn.ANCHORARRAY(Q2)</f>
        <v>200</v>
      </c>
      <c r="T2" s="37" cm="1">
        <f t="array" aca="1" ref="T2:T61" ca="1">_xlfn.ANCHORARRAY(F2)+_xlfn.ANCHORARRAY(J2)+_xlfn.ANCHORARRAY(N2)+_xlfn.ANCHORARRAY(R2)</f>
        <v>585.26086956521738</v>
      </c>
      <c r="U2" s="38"/>
      <c r="V2" s="31" cm="1">
        <f t="array" aca="1" ref="V2:V61" ca="1">ROW(_xlfn.ANCHORARRAY(W2))-1</f>
        <v>1</v>
      </c>
      <c r="W2" s="32" t="str" cm="1">
        <f t="array" aca="1" ref="W2:W61" ca="1">_xlfn.SORTBY(_xlfn.ANCHORARRAY(B2),_xlfn.ANCHORARRAY(T2),-1)</f>
        <v>Sami</v>
      </c>
      <c r="X2" s="39" cm="1">
        <f t="array" aca="1" ref="X2:X61" ca="1">_xlfn._xlws.SORT(_xlfn.ANCHORARRAY(T2),1,-1)</f>
        <v>10136.95652173913</v>
      </c>
    </row>
    <row r="3" spans="1:24">
      <c r="A3" s="31">
        <v>2</v>
      </c>
      <c r="B3" s="32" t="str">
        <v>Antistar</v>
      </c>
      <c r="D3" s="33">
        <f ca="1"/>
        <v>908.695652173913</v>
      </c>
      <c r="E3" s="33">
        <f ca="1"/>
        <v>2000</v>
      </c>
      <c r="F3" s="33">
        <f ca="1"/>
        <v>2908.695652173913</v>
      </c>
      <c r="H3" s="34">
        <v>900</v>
      </c>
      <c r="I3" s="34">
        <v>550</v>
      </c>
      <c r="J3" s="34">
        <v>1450</v>
      </c>
      <c r="L3" s="35">
        <v>1000</v>
      </c>
      <c r="M3" s="35">
        <v>750</v>
      </c>
      <c r="N3" s="35">
        <v>1750</v>
      </c>
      <c r="P3" s="36">
        <v>933.33333333333337</v>
      </c>
      <c r="Q3" s="36">
        <v>1000</v>
      </c>
      <c r="R3" s="36">
        <v>1933.3333333333335</v>
      </c>
      <c r="T3" s="37">
        <f ca="1"/>
        <v>8042.028985507246</v>
      </c>
      <c r="V3" s="31">
        <f ca="1"/>
        <v>2</v>
      </c>
      <c r="W3" s="32" t="str">
        <f ca="1"/>
        <v>Lafungo</v>
      </c>
      <c r="X3" s="39">
        <f ca="1"/>
        <v>8977.927536231884</v>
      </c>
    </row>
    <row r="4" spans="1:24">
      <c r="A4" s="31">
        <v>3</v>
      </c>
      <c r="B4" s="32" t="str">
        <v>Ashley</v>
      </c>
      <c r="D4" s="33">
        <f ca="1"/>
        <v>356.52173913043475</v>
      </c>
      <c r="E4" s="33">
        <f ca="1"/>
        <v>0</v>
      </c>
      <c r="F4" s="33">
        <f ca="1"/>
        <v>356.52173913043475</v>
      </c>
      <c r="H4" s="34">
        <v>366</v>
      </c>
      <c r="I4" s="34">
        <v>0</v>
      </c>
      <c r="J4" s="34">
        <v>366</v>
      </c>
      <c r="L4" s="35">
        <v>566</v>
      </c>
      <c r="M4" s="35">
        <v>100</v>
      </c>
      <c r="N4" s="35">
        <v>666</v>
      </c>
      <c r="P4" s="36">
        <v>466.66666666666669</v>
      </c>
      <c r="Q4" s="36">
        <v>0</v>
      </c>
      <c r="R4" s="36">
        <v>466.66666666666669</v>
      </c>
      <c r="T4" s="37">
        <f ca="1"/>
        <v>1855.1884057971015</v>
      </c>
      <c r="V4" s="31">
        <f ca="1"/>
        <v>3</v>
      </c>
      <c r="W4" s="32" t="str">
        <f ca="1"/>
        <v>KVD</v>
      </c>
      <c r="X4" s="39">
        <f ca="1"/>
        <v>8826.8695652173919</v>
      </c>
    </row>
    <row r="5" spans="1:24">
      <c r="A5" s="31">
        <v>4</v>
      </c>
      <c r="B5" s="32" t="str">
        <v>Banana</v>
      </c>
      <c r="D5" s="33">
        <f ca="1"/>
        <v>445.65217391304344</v>
      </c>
      <c r="E5" s="33">
        <f ca="1"/>
        <v>0</v>
      </c>
      <c r="F5" s="33">
        <f ca="1"/>
        <v>445.65217391304344</v>
      </c>
      <c r="H5" s="34">
        <v>500</v>
      </c>
      <c r="I5" s="34">
        <v>100</v>
      </c>
      <c r="J5" s="34">
        <v>600</v>
      </c>
      <c r="L5" s="35">
        <v>533</v>
      </c>
      <c r="M5" s="35">
        <v>0</v>
      </c>
      <c r="N5" s="35">
        <v>533</v>
      </c>
      <c r="P5" s="36">
        <v>466.66666666666669</v>
      </c>
      <c r="Q5" s="36">
        <v>0</v>
      </c>
      <c r="R5" s="36">
        <v>466.66666666666669</v>
      </c>
      <c r="T5" s="37">
        <f ca="1"/>
        <v>2045.3188405797102</v>
      </c>
      <c r="V5" s="31">
        <f ca="1"/>
        <v>4</v>
      </c>
      <c r="W5" s="32" t="str">
        <f ca="1"/>
        <v>Antistar</v>
      </c>
      <c r="X5" s="39">
        <f ca="1"/>
        <v>8042.028985507246</v>
      </c>
    </row>
    <row r="6" spans="1:24">
      <c r="A6" s="31">
        <v>5</v>
      </c>
      <c r="B6" s="32" t="str">
        <v>BigMountain</v>
      </c>
      <c r="D6" s="33">
        <f ca="1"/>
        <v>126.08695652173913</v>
      </c>
      <c r="E6" s="33">
        <f ca="1"/>
        <v>0</v>
      </c>
      <c r="F6" s="33">
        <f ca="1"/>
        <v>126.08695652173913</v>
      </c>
      <c r="H6" s="34">
        <v>166</v>
      </c>
      <c r="I6" s="34">
        <v>0</v>
      </c>
      <c r="J6" s="34">
        <v>166</v>
      </c>
      <c r="L6" s="35">
        <v>100</v>
      </c>
      <c r="M6" s="35">
        <v>0</v>
      </c>
      <c r="N6" s="35">
        <v>100</v>
      </c>
      <c r="P6" s="36">
        <v>133.33333333333334</v>
      </c>
      <c r="Q6" s="36">
        <v>0</v>
      </c>
      <c r="R6" s="36">
        <v>133.33333333333334</v>
      </c>
      <c r="T6" s="37">
        <f ca="1"/>
        <v>525.4202898550725</v>
      </c>
      <c r="V6" s="31">
        <f ca="1"/>
        <v>5</v>
      </c>
      <c r="W6" s="32" t="str">
        <f ca="1"/>
        <v>Takashi</v>
      </c>
      <c r="X6" s="39">
        <f ca="1"/>
        <v>7326.898550724638</v>
      </c>
    </row>
    <row r="7" spans="1:24">
      <c r="A7" s="31">
        <v>6</v>
      </c>
      <c r="B7" s="32" t="str">
        <v>Bluh</v>
      </c>
      <c r="D7" s="33">
        <f ca="1"/>
        <v>265.21739130434781</v>
      </c>
      <c r="E7" s="33">
        <f ca="1"/>
        <v>0</v>
      </c>
      <c r="F7" s="33">
        <f ca="1"/>
        <v>265.21739130434781</v>
      </c>
      <c r="H7" s="34">
        <v>300</v>
      </c>
      <c r="I7" s="34">
        <v>0</v>
      </c>
      <c r="J7" s="34">
        <v>300</v>
      </c>
      <c r="L7" s="35">
        <v>200</v>
      </c>
      <c r="M7" s="35">
        <v>0</v>
      </c>
      <c r="N7" s="35">
        <v>200</v>
      </c>
      <c r="P7" s="36">
        <v>0</v>
      </c>
      <c r="Q7" s="36">
        <v>0</v>
      </c>
      <c r="R7" s="36">
        <v>0</v>
      </c>
      <c r="T7" s="37">
        <f ca="1"/>
        <v>765.21739130434776</v>
      </c>
      <c r="V7" s="31">
        <f ca="1"/>
        <v>6</v>
      </c>
      <c r="W7" s="32" t="str">
        <f ca="1"/>
        <v>Geo</v>
      </c>
      <c r="X7" s="39">
        <f ca="1"/>
        <v>6522.420289855072</v>
      </c>
    </row>
    <row r="8" spans="1:24">
      <c r="A8" s="31">
        <v>7</v>
      </c>
      <c r="B8" s="32" t="str">
        <v>Cap</v>
      </c>
      <c r="D8" s="33">
        <f ca="1"/>
        <v>202.17391304347828</v>
      </c>
      <c r="E8" s="33">
        <f ca="1"/>
        <v>0</v>
      </c>
      <c r="F8" s="33">
        <f ca="1"/>
        <v>202.17391304347828</v>
      </c>
      <c r="H8" s="34">
        <v>233</v>
      </c>
      <c r="I8" s="34">
        <v>0</v>
      </c>
      <c r="J8" s="34">
        <v>233</v>
      </c>
      <c r="L8" s="35">
        <v>200</v>
      </c>
      <c r="M8" s="35">
        <v>0</v>
      </c>
      <c r="N8" s="35">
        <v>200</v>
      </c>
      <c r="P8" s="36">
        <v>266.66666666666669</v>
      </c>
      <c r="Q8" s="36">
        <v>0</v>
      </c>
      <c r="R8" s="36">
        <v>266.66666666666669</v>
      </c>
      <c r="T8" s="37">
        <f ca="1"/>
        <v>901.84057971014499</v>
      </c>
      <c r="V8" s="31">
        <f ca="1"/>
        <v>7</v>
      </c>
      <c r="W8" s="32" t="str">
        <f ca="1"/>
        <v>Drew</v>
      </c>
      <c r="X8" s="39">
        <f ca="1"/>
        <v>5558.188405797102</v>
      </c>
    </row>
    <row r="9" spans="1:24">
      <c r="A9" s="31">
        <v>8</v>
      </c>
      <c r="B9" s="32" t="str">
        <v>Chachamaxx</v>
      </c>
      <c r="D9" s="33">
        <f ca="1"/>
        <v>135.86956521739128</v>
      </c>
      <c r="E9" s="33">
        <f ca="1"/>
        <v>0</v>
      </c>
      <c r="F9" s="33">
        <f ca="1"/>
        <v>135.86956521739128</v>
      </c>
      <c r="H9" s="34">
        <v>400</v>
      </c>
      <c r="I9" s="34">
        <v>0</v>
      </c>
      <c r="J9" s="34">
        <v>400</v>
      </c>
      <c r="L9" s="35">
        <v>0</v>
      </c>
      <c r="M9" s="35">
        <v>0</v>
      </c>
      <c r="N9" s="35">
        <v>0</v>
      </c>
      <c r="P9" s="36">
        <v>0</v>
      </c>
      <c r="Q9" s="36">
        <v>0</v>
      </c>
      <c r="R9" s="36">
        <v>0</v>
      </c>
      <c r="T9" s="37">
        <f ca="1"/>
        <v>535.86956521739125</v>
      </c>
      <c r="V9" s="31">
        <f ca="1"/>
        <v>8</v>
      </c>
      <c r="W9" s="32" t="str">
        <f ca="1"/>
        <v>Jarmou</v>
      </c>
      <c r="X9" s="39">
        <f ca="1"/>
        <v>5371.826086956522</v>
      </c>
    </row>
    <row r="10" spans="1:24">
      <c r="A10" s="31">
        <v>9</v>
      </c>
      <c r="B10" s="32" t="str">
        <v>Champix</v>
      </c>
      <c r="D10" s="33">
        <f ca="1"/>
        <v>626.08695652173913</v>
      </c>
      <c r="E10" s="33">
        <f ca="1"/>
        <v>280</v>
      </c>
      <c r="F10" s="33">
        <f ca="1"/>
        <v>906.08695652173913</v>
      </c>
      <c r="H10" s="34">
        <v>933</v>
      </c>
      <c r="I10" s="34">
        <v>550</v>
      </c>
      <c r="J10" s="34">
        <v>1483</v>
      </c>
      <c r="L10" s="35">
        <v>700</v>
      </c>
      <c r="M10" s="35">
        <v>150</v>
      </c>
      <c r="N10" s="35">
        <v>850</v>
      </c>
      <c r="P10" s="36">
        <v>666.66666666666663</v>
      </c>
      <c r="Q10" s="36">
        <v>300</v>
      </c>
      <c r="R10" s="36">
        <v>966.66666666666663</v>
      </c>
      <c r="T10" s="37">
        <f ca="1"/>
        <v>4205.753623188406</v>
      </c>
      <c r="V10" s="31">
        <f ca="1"/>
        <v>9</v>
      </c>
      <c r="W10" s="32" t="str">
        <f ca="1"/>
        <v>JDR</v>
      </c>
      <c r="X10" s="39">
        <f ca="1"/>
        <v>5103.376811594203</v>
      </c>
    </row>
    <row r="11" spans="1:24">
      <c r="A11" s="31">
        <v>10</v>
      </c>
      <c r="B11" s="32" t="str">
        <v>Danny</v>
      </c>
      <c r="D11" s="33">
        <f ca="1"/>
        <v>110.8695652173913</v>
      </c>
      <c r="E11" s="33">
        <f ca="1"/>
        <v>0</v>
      </c>
      <c r="F11" s="33">
        <f ca="1"/>
        <v>110.8695652173913</v>
      </c>
      <c r="H11" s="34">
        <v>166</v>
      </c>
      <c r="I11" s="34">
        <v>0</v>
      </c>
      <c r="J11" s="34">
        <v>166</v>
      </c>
      <c r="L11" s="35">
        <v>233</v>
      </c>
      <c r="M11" s="35">
        <v>0</v>
      </c>
      <c r="N11" s="35">
        <v>233</v>
      </c>
      <c r="P11" s="36">
        <v>0</v>
      </c>
      <c r="Q11" s="36">
        <v>0</v>
      </c>
      <c r="R11" s="36">
        <v>0</v>
      </c>
      <c r="T11" s="37">
        <f ca="1"/>
        <v>509.86956521739131</v>
      </c>
      <c r="V11" s="31">
        <f ca="1"/>
        <v>10</v>
      </c>
      <c r="W11" s="32" t="str">
        <f ca="1"/>
        <v>Leyla</v>
      </c>
      <c r="X11" s="39">
        <f ca="1"/>
        <v>5026.536231884058</v>
      </c>
    </row>
    <row r="12" spans="1:24">
      <c r="A12" s="31">
        <v>11</v>
      </c>
      <c r="B12" s="32" t="str">
        <v>Drew</v>
      </c>
      <c r="D12" s="33">
        <f ca="1"/>
        <v>581.52173913043487</v>
      </c>
      <c r="E12" s="33">
        <f ca="1"/>
        <v>110</v>
      </c>
      <c r="F12" s="33">
        <f ca="1"/>
        <v>691.52173913043487</v>
      </c>
      <c r="H12" s="34">
        <v>900</v>
      </c>
      <c r="I12" s="34">
        <v>1600</v>
      </c>
      <c r="J12" s="34">
        <v>2500</v>
      </c>
      <c r="L12" s="35">
        <v>700</v>
      </c>
      <c r="M12" s="35">
        <v>400</v>
      </c>
      <c r="N12" s="35">
        <v>1100</v>
      </c>
      <c r="P12" s="36">
        <v>866.66666666666663</v>
      </c>
      <c r="Q12" s="36">
        <v>400</v>
      </c>
      <c r="R12" s="36">
        <v>1266.6666666666665</v>
      </c>
      <c r="T12" s="37">
        <f ca="1"/>
        <v>5558.188405797102</v>
      </c>
      <c r="V12" s="31">
        <f ca="1"/>
        <v>11</v>
      </c>
      <c r="W12" s="32" t="str">
        <f ca="1"/>
        <v>Onwa</v>
      </c>
      <c r="X12" s="39">
        <f ca="1"/>
        <v>4846.565217391304</v>
      </c>
    </row>
    <row r="13" spans="1:24">
      <c r="A13" s="31">
        <v>12</v>
      </c>
      <c r="B13" s="32" t="str">
        <v>Edwin</v>
      </c>
      <c r="D13" s="33">
        <f ca="1"/>
        <v>508.695652173913</v>
      </c>
      <c r="E13" s="33">
        <f ca="1"/>
        <v>0</v>
      </c>
      <c r="F13" s="33">
        <f ca="1"/>
        <v>508.695652173913</v>
      </c>
      <c r="H13" s="34">
        <v>433</v>
      </c>
      <c r="I13" s="34">
        <v>0</v>
      </c>
      <c r="J13" s="34">
        <v>433</v>
      </c>
      <c r="L13" s="35">
        <v>0</v>
      </c>
      <c r="M13" s="35">
        <v>0</v>
      </c>
      <c r="N13" s="35">
        <v>0</v>
      </c>
      <c r="P13" s="36">
        <v>0</v>
      </c>
      <c r="Q13" s="36">
        <v>0</v>
      </c>
      <c r="R13" s="36">
        <v>0</v>
      </c>
      <c r="T13" s="37">
        <f ca="1"/>
        <v>941.695652173913</v>
      </c>
      <c r="V13" s="31">
        <f ca="1"/>
        <v>12</v>
      </c>
      <c r="W13" s="32" t="str">
        <f ca="1"/>
        <v>Moll</v>
      </c>
      <c r="X13" s="39">
        <f ca="1"/>
        <v>4336.2028985507241</v>
      </c>
    </row>
    <row r="14" spans="1:24">
      <c r="A14" s="31">
        <v>13</v>
      </c>
      <c r="B14" s="32" t="str">
        <v>FF</v>
      </c>
      <c r="D14" s="33">
        <f ca="1"/>
        <v>381.52173913043481</v>
      </c>
      <c r="E14" s="33">
        <f ca="1"/>
        <v>0</v>
      </c>
      <c r="F14" s="33">
        <f ca="1"/>
        <v>381.52173913043481</v>
      </c>
      <c r="H14" s="34">
        <v>300</v>
      </c>
      <c r="I14" s="34">
        <v>0</v>
      </c>
      <c r="J14" s="34">
        <v>300</v>
      </c>
      <c r="L14" s="35">
        <v>433</v>
      </c>
      <c r="M14" s="35">
        <v>0</v>
      </c>
      <c r="N14" s="35">
        <v>433</v>
      </c>
      <c r="P14" s="36">
        <v>400</v>
      </c>
      <c r="Q14" s="36">
        <v>0</v>
      </c>
      <c r="R14" s="36">
        <v>400</v>
      </c>
      <c r="T14" s="37">
        <f ca="1"/>
        <v>1514.5217391304348</v>
      </c>
      <c r="V14" s="31">
        <f ca="1"/>
        <v>13</v>
      </c>
      <c r="W14" s="32" t="str">
        <f ca="1"/>
        <v>Kasmo</v>
      </c>
      <c r="X14" s="39">
        <f ca="1"/>
        <v>4310.565217391304</v>
      </c>
    </row>
    <row r="15" spans="1:24">
      <c r="A15" s="31">
        <v>14</v>
      </c>
      <c r="B15" s="32" t="str">
        <v>Flo</v>
      </c>
      <c r="D15" s="33">
        <f ca="1"/>
        <v>678.26086956521738</v>
      </c>
      <c r="E15" s="33">
        <f ca="1"/>
        <v>160</v>
      </c>
      <c r="F15" s="33">
        <f ca="1"/>
        <v>838.26086956521738</v>
      </c>
      <c r="H15" s="34">
        <v>600</v>
      </c>
      <c r="I15" s="34">
        <v>150</v>
      </c>
      <c r="J15" s="34">
        <v>750</v>
      </c>
      <c r="L15" s="35">
        <v>666</v>
      </c>
      <c r="M15" s="35">
        <v>300</v>
      </c>
      <c r="N15" s="35">
        <v>966</v>
      </c>
      <c r="P15" s="36">
        <v>733.33333333333337</v>
      </c>
      <c r="Q15" s="36">
        <v>150</v>
      </c>
      <c r="R15" s="36">
        <v>883.33333333333337</v>
      </c>
      <c r="T15" s="37">
        <f ca="1"/>
        <v>3437.594202898551</v>
      </c>
      <c r="V15" s="31">
        <f ca="1"/>
        <v>14</v>
      </c>
      <c r="W15" s="32" t="str">
        <f ca="1"/>
        <v>Champix</v>
      </c>
      <c r="X15" s="39">
        <f ca="1"/>
        <v>4205.753623188406</v>
      </c>
    </row>
    <row r="16" spans="1:24">
      <c r="A16" s="31">
        <v>15</v>
      </c>
      <c r="B16" s="32" t="str">
        <v>Franck</v>
      </c>
      <c r="D16" s="33">
        <f ca="1"/>
        <v>0</v>
      </c>
      <c r="E16" s="33">
        <f ca="1"/>
        <v>0</v>
      </c>
      <c r="F16" s="33">
        <f ca="1"/>
        <v>0</v>
      </c>
      <c r="H16" s="34">
        <v>0</v>
      </c>
      <c r="I16" s="34">
        <v>0</v>
      </c>
      <c r="J16" s="34">
        <v>0</v>
      </c>
      <c r="L16" s="35">
        <v>433</v>
      </c>
      <c r="M16" s="35">
        <v>0</v>
      </c>
      <c r="N16" s="35">
        <v>433</v>
      </c>
      <c r="P16" s="36">
        <v>733.33333333333337</v>
      </c>
      <c r="Q16" s="36">
        <v>300</v>
      </c>
      <c r="R16" s="36">
        <v>1033.3333333333335</v>
      </c>
      <c r="T16" s="37">
        <f ca="1"/>
        <v>1466.3333333333335</v>
      </c>
      <c r="V16" s="31">
        <f ca="1"/>
        <v>15</v>
      </c>
      <c r="W16" s="32" t="str">
        <f ca="1"/>
        <v>Zarkov</v>
      </c>
      <c r="X16" s="39">
        <f ca="1"/>
        <v>3957.0434782608695</v>
      </c>
    </row>
    <row r="17" spans="1:24">
      <c r="A17" s="31">
        <v>16</v>
      </c>
      <c r="B17" s="32" t="str">
        <v>Geo</v>
      </c>
      <c r="D17" s="33">
        <f ca="1"/>
        <v>776.08695652173924</v>
      </c>
      <c r="E17" s="33">
        <f ca="1"/>
        <v>380</v>
      </c>
      <c r="F17" s="33">
        <f ca="1"/>
        <v>1156.0869565217392</v>
      </c>
      <c r="H17" s="34">
        <v>1000</v>
      </c>
      <c r="I17" s="34">
        <v>1300</v>
      </c>
      <c r="J17" s="34">
        <v>2300</v>
      </c>
      <c r="L17" s="35">
        <v>833</v>
      </c>
      <c r="M17" s="35">
        <v>750</v>
      </c>
      <c r="N17" s="35">
        <v>1583</v>
      </c>
      <c r="P17" s="36">
        <v>933.33333333333337</v>
      </c>
      <c r="Q17" s="36">
        <v>550</v>
      </c>
      <c r="R17" s="36">
        <v>1483.3333333333335</v>
      </c>
      <c r="T17" s="37">
        <f ca="1"/>
        <v>6522.420289855072</v>
      </c>
      <c r="V17" s="31">
        <f ca="1"/>
        <v>16</v>
      </c>
      <c r="W17" s="32" t="str">
        <f ca="1"/>
        <v>Flo</v>
      </c>
      <c r="X17" s="39">
        <f ca="1"/>
        <v>3437.594202898551</v>
      </c>
    </row>
    <row r="18" spans="1:24">
      <c r="A18" s="31">
        <v>17</v>
      </c>
      <c r="B18" s="32" t="str">
        <v>Getarez</v>
      </c>
      <c r="D18" s="33">
        <f ca="1"/>
        <v>269.56521739130437</v>
      </c>
      <c r="E18" s="33">
        <f ca="1"/>
        <v>0</v>
      </c>
      <c r="F18" s="33">
        <f ca="1"/>
        <v>269.56521739130437</v>
      </c>
      <c r="H18" s="34">
        <v>300</v>
      </c>
      <c r="I18" s="34">
        <v>0</v>
      </c>
      <c r="J18" s="34">
        <v>300</v>
      </c>
      <c r="L18" s="35">
        <v>233</v>
      </c>
      <c r="M18" s="35">
        <v>0</v>
      </c>
      <c r="N18" s="35">
        <v>233</v>
      </c>
      <c r="P18" s="36">
        <v>333.33333333333331</v>
      </c>
      <c r="Q18" s="36">
        <v>0</v>
      </c>
      <c r="R18" s="36">
        <v>333.33333333333331</v>
      </c>
      <c r="T18" s="37">
        <f ca="1"/>
        <v>1135.8985507246377</v>
      </c>
      <c r="V18" s="31">
        <f ca="1"/>
        <v>17</v>
      </c>
      <c r="W18" s="32" t="str">
        <f ca="1"/>
        <v>Patrick</v>
      </c>
      <c r="X18" s="39">
        <f ca="1"/>
        <v>3183.391304347826</v>
      </c>
    </row>
    <row r="19" spans="1:24">
      <c r="A19" s="31">
        <v>18</v>
      </c>
      <c r="B19" s="32" t="str">
        <v>Jarmou</v>
      </c>
      <c r="D19" s="33">
        <f ca="1"/>
        <v>822.82608695652186</v>
      </c>
      <c r="E19" s="33">
        <f ca="1"/>
        <v>800</v>
      </c>
      <c r="F19" s="33">
        <f ca="1"/>
        <v>1622.826086956522</v>
      </c>
      <c r="H19" s="34">
        <v>733</v>
      </c>
      <c r="I19" s="34">
        <v>400</v>
      </c>
      <c r="J19" s="34">
        <v>1133</v>
      </c>
      <c r="L19" s="35">
        <v>866</v>
      </c>
      <c r="M19" s="35">
        <v>400</v>
      </c>
      <c r="N19" s="35">
        <v>1266</v>
      </c>
      <c r="P19" s="36">
        <v>800</v>
      </c>
      <c r="Q19" s="36">
        <v>550</v>
      </c>
      <c r="R19" s="36">
        <v>1350</v>
      </c>
      <c r="T19" s="37">
        <f ca="1"/>
        <v>5371.826086956522</v>
      </c>
      <c r="V19" s="31">
        <f ca="1"/>
        <v>18</v>
      </c>
      <c r="W19" s="32" t="str">
        <f ca="1"/>
        <v>Thibault</v>
      </c>
      <c r="X19" s="39">
        <f ca="1"/>
        <v>3079.521739130435</v>
      </c>
    </row>
    <row r="20" spans="1:24">
      <c r="A20" s="31">
        <v>19</v>
      </c>
      <c r="B20" s="32" t="str">
        <v>JDR</v>
      </c>
      <c r="D20" s="33">
        <f ca="1"/>
        <v>838.04347826086951</v>
      </c>
      <c r="E20" s="33">
        <f ca="1"/>
        <v>600</v>
      </c>
      <c r="F20" s="33">
        <f ca="1"/>
        <v>1438.0434782608695</v>
      </c>
      <c r="H20" s="34">
        <v>466</v>
      </c>
      <c r="I20" s="34">
        <v>100</v>
      </c>
      <c r="J20" s="34">
        <v>566</v>
      </c>
      <c r="L20" s="35">
        <v>866</v>
      </c>
      <c r="M20" s="35">
        <v>550</v>
      </c>
      <c r="N20" s="35">
        <v>1416</v>
      </c>
      <c r="P20" s="36">
        <v>933.33333333333337</v>
      </c>
      <c r="Q20" s="36">
        <v>750</v>
      </c>
      <c r="R20" s="36">
        <v>1683.3333333333335</v>
      </c>
      <c r="T20" s="37">
        <f ca="1"/>
        <v>5103.376811594203</v>
      </c>
      <c r="V20" s="31">
        <f ca="1"/>
        <v>19</v>
      </c>
      <c r="W20" s="32" t="str">
        <f ca="1"/>
        <v>Sumz</v>
      </c>
      <c r="X20" s="39">
        <f ca="1"/>
        <v>2722.2753623188405</v>
      </c>
    </row>
    <row r="21" spans="1:24">
      <c r="A21" s="31">
        <v>20</v>
      </c>
      <c r="B21" s="32" t="str">
        <v>Ju2a</v>
      </c>
      <c r="D21" s="33">
        <f ca="1"/>
        <v>66.304347826086953</v>
      </c>
      <c r="E21" s="33">
        <f ca="1"/>
        <v>0</v>
      </c>
      <c r="F21" s="33">
        <f ca="1"/>
        <v>66.304347826086953</v>
      </c>
      <c r="H21" s="34">
        <v>0</v>
      </c>
      <c r="I21" s="34">
        <v>0</v>
      </c>
      <c r="J21" s="34">
        <v>0</v>
      </c>
      <c r="L21" s="35">
        <v>0</v>
      </c>
      <c r="M21" s="35">
        <v>0</v>
      </c>
      <c r="N21" s="35">
        <v>0</v>
      </c>
      <c r="P21" s="36">
        <v>0</v>
      </c>
      <c r="Q21" s="36">
        <v>0</v>
      </c>
      <c r="R21" s="36">
        <v>0</v>
      </c>
      <c r="T21" s="37">
        <f ca="1"/>
        <v>66.304347826086953</v>
      </c>
      <c r="V21" s="31">
        <f ca="1"/>
        <v>20</v>
      </c>
      <c r="W21" s="32" t="str">
        <f ca="1"/>
        <v>tif</v>
      </c>
      <c r="X21" s="39">
        <f ca="1"/>
        <v>2671.072463768116</v>
      </c>
    </row>
    <row r="22" spans="1:24">
      <c r="A22" s="31">
        <v>21</v>
      </c>
      <c r="B22" s="32" t="str">
        <v>Julien</v>
      </c>
      <c r="D22" s="33">
        <f ca="1"/>
        <v>606.52173913043475</v>
      </c>
      <c r="E22" s="33">
        <f ca="1"/>
        <v>150</v>
      </c>
      <c r="F22" s="33">
        <f ca="1"/>
        <v>756.52173913043475</v>
      </c>
      <c r="H22" s="34">
        <v>0</v>
      </c>
      <c r="I22" s="34">
        <v>0</v>
      </c>
      <c r="J22" s="34">
        <v>0</v>
      </c>
      <c r="L22" s="35">
        <v>0</v>
      </c>
      <c r="M22" s="35">
        <v>0</v>
      </c>
      <c r="N22" s="35">
        <v>0</v>
      </c>
      <c r="P22" s="36">
        <v>0</v>
      </c>
      <c r="Q22" s="36">
        <v>0</v>
      </c>
      <c r="R22" s="36">
        <v>0</v>
      </c>
      <c r="T22" s="37">
        <f ca="1"/>
        <v>756.52173913043475</v>
      </c>
      <c r="V22" s="31">
        <f ca="1"/>
        <v>21</v>
      </c>
      <c r="W22" s="32" t="str">
        <f ca="1"/>
        <v>Sjors</v>
      </c>
      <c r="X22" s="39">
        <f ca="1"/>
        <v>2519.913043478261</v>
      </c>
    </row>
    <row r="23" spans="1:24">
      <c r="A23" s="31">
        <v>22</v>
      </c>
      <c r="B23" s="32" t="str">
        <v>Kasmo</v>
      </c>
      <c r="D23" s="33">
        <f ca="1"/>
        <v>644.56521739130437</v>
      </c>
      <c r="E23" s="33">
        <f ca="1"/>
        <v>300</v>
      </c>
      <c r="F23" s="33">
        <f ca="1"/>
        <v>944.56521739130437</v>
      </c>
      <c r="H23" s="34">
        <v>833</v>
      </c>
      <c r="I23" s="34">
        <v>750</v>
      </c>
      <c r="J23" s="34">
        <v>1583</v>
      </c>
      <c r="L23" s="35">
        <v>733</v>
      </c>
      <c r="M23" s="35">
        <v>150</v>
      </c>
      <c r="N23" s="35">
        <v>883</v>
      </c>
      <c r="P23" s="36">
        <v>600</v>
      </c>
      <c r="Q23" s="36">
        <v>300</v>
      </c>
      <c r="R23" s="36">
        <v>900</v>
      </c>
      <c r="T23" s="37">
        <f ca="1"/>
        <v>4310.565217391304</v>
      </c>
      <c r="V23" s="31">
        <f ca="1"/>
        <v>22</v>
      </c>
      <c r="W23" s="32" t="str">
        <f ca="1"/>
        <v>Narnet</v>
      </c>
      <c r="X23" s="39">
        <f ca="1"/>
        <v>2442.565217391304</v>
      </c>
    </row>
    <row r="24" spans="1:24">
      <c r="A24" s="31">
        <v>23</v>
      </c>
      <c r="B24" s="32" t="str">
        <v>Kit</v>
      </c>
      <c r="D24" s="33">
        <f ca="1"/>
        <v>0</v>
      </c>
      <c r="E24" s="33">
        <f ca="1"/>
        <v>0</v>
      </c>
      <c r="F24" s="33">
        <f ca="1"/>
        <v>0</v>
      </c>
      <c r="H24" s="34">
        <v>0</v>
      </c>
      <c r="I24" s="34">
        <v>0</v>
      </c>
      <c r="J24" s="34">
        <v>0</v>
      </c>
      <c r="L24" s="35">
        <v>0</v>
      </c>
      <c r="M24" s="35">
        <v>0</v>
      </c>
      <c r="N24" s="35">
        <v>0</v>
      </c>
      <c r="P24" s="36">
        <v>0</v>
      </c>
      <c r="Q24" s="36">
        <v>0</v>
      </c>
      <c r="R24" s="36">
        <v>0</v>
      </c>
      <c r="T24" s="37">
        <f ca="1"/>
        <v>0</v>
      </c>
      <c r="V24" s="31">
        <f ca="1"/>
        <v>23</v>
      </c>
      <c r="W24" s="32" t="str">
        <f ca="1"/>
        <v>Mark</v>
      </c>
      <c r="X24" s="39">
        <f ca="1"/>
        <v>2324.376811594203</v>
      </c>
    </row>
    <row r="25" spans="1:24">
      <c r="A25" s="31">
        <v>24</v>
      </c>
      <c r="B25" s="32" t="str">
        <v>KVD</v>
      </c>
      <c r="D25" s="33">
        <f ca="1"/>
        <v>960.86956521739137</v>
      </c>
      <c r="E25" s="33">
        <f ca="1"/>
        <v>1600</v>
      </c>
      <c r="F25" s="33">
        <f ca="1"/>
        <v>2560.8695652173915</v>
      </c>
      <c r="H25" s="34">
        <v>966</v>
      </c>
      <c r="I25" s="34">
        <v>400</v>
      </c>
      <c r="J25" s="34">
        <v>1366</v>
      </c>
      <c r="L25" s="35">
        <v>900</v>
      </c>
      <c r="M25" s="35">
        <v>1000</v>
      </c>
      <c r="N25" s="35">
        <v>1900</v>
      </c>
      <c r="P25" s="36">
        <v>1000</v>
      </c>
      <c r="Q25" s="36">
        <v>2000</v>
      </c>
      <c r="R25" s="36">
        <v>3000</v>
      </c>
      <c r="T25" s="37">
        <f ca="1"/>
        <v>8826.8695652173919</v>
      </c>
      <c r="V25" s="31">
        <f ca="1"/>
        <v>24</v>
      </c>
      <c r="W25" s="32" t="str">
        <f ca="1"/>
        <v>Rejemy</v>
      </c>
      <c r="X25" s="39">
        <f ca="1"/>
        <v>2156.9420289855075</v>
      </c>
    </row>
    <row r="26" spans="1:24">
      <c r="A26" s="31">
        <v>25</v>
      </c>
      <c r="B26" s="32" t="str">
        <v>Lafungo</v>
      </c>
      <c r="D26" s="33">
        <f ca="1"/>
        <v>928.26086956521749</v>
      </c>
      <c r="E26" s="33">
        <f ca="1"/>
        <v>1300</v>
      </c>
      <c r="F26" s="33">
        <f ca="1"/>
        <v>2228.2608695652175</v>
      </c>
      <c r="H26" s="34">
        <v>900</v>
      </c>
      <c r="I26" s="34">
        <v>750</v>
      </c>
      <c r="J26" s="34">
        <v>1650</v>
      </c>
      <c r="L26" s="35">
        <v>933</v>
      </c>
      <c r="M26" s="35">
        <v>2000</v>
      </c>
      <c r="N26" s="35">
        <v>2933</v>
      </c>
      <c r="P26" s="36">
        <v>866.66666666666663</v>
      </c>
      <c r="Q26" s="36">
        <v>1300</v>
      </c>
      <c r="R26" s="36">
        <v>2166.6666666666665</v>
      </c>
      <c r="T26" s="37">
        <f ca="1"/>
        <v>8977.927536231884</v>
      </c>
      <c r="V26" s="31">
        <f ca="1"/>
        <v>25</v>
      </c>
      <c r="W26" s="32" t="str">
        <f ca="1"/>
        <v>Banana</v>
      </c>
      <c r="X26" s="39">
        <f ca="1"/>
        <v>2045.3188405797102</v>
      </c>
    </row>
    <row r="27" spans="1:24">
      <c r="A27" s="31">
        <v>26</v>
      </c>
      <c r="B27" s="32" t="str">
        <v>Lenain</v>
      </c>
      <c r="D27" s="33">
        <f ca="1"/>
        <v>501.08695652173918</v>
      </c>
      <c r="E27" s="33">
        <f ca="1"/>
        <v>0</v>
      </c>
      <c r="F27" s="33">
        <f ca="1"/>
        <v>501.08695652173918</v>
      </c>
      <c r="H27" s="34">
        <v>233</v>
      </c>
      <c r="I27" s="34">
        <v>0</v>
      </c>
      <c r="J27" s="34">
        <v>233</v>
      </c>
      <c r="L27" s="35">
        <v>500</v>
      </c>
      <c r="M27" s="35">
        <v>0</v>
      </c>
      <c r="N27" s="35">
        <v>500</v>
      </c>
      <c r="P27" s="36">
        <v>400</v>
      </c>
      <c r="Q27" s="36">
        <v>0</v>
      </c>
      <c r="R27" s="36">
        <v>400</v>
      </c>
      <c r="T27" s="37">
        <f ca="1"/>
        <v>1634.0869565217392</v>
      </c>
      <c r="V27" s="31">
        <f ca="1"/>
        <v>26</v>
      </c>
      <c r="W27" s="32" t="str">
        <f ca="1"/>
        <v>Ashley</v>
      </c>
      <c r="X27" s="39">
        <f ca="1"/>
        <v>1855.1884057971015</v>
      </c>
    </row>
    <row r="28" spans="1:24">
      <c r="A28" s="31">
        <v>27</v>
      </c>
      <c r="B28" s="32" t="str">
        <v>L'escargot</v>
      </c>
      <c r="D28" s="33">
        <f ca="1"/>
        <v>197.82608695652175</v>
      </c>
      <c r="E28" s="33">
        <f ca="1"/>
        <v>0</v>
      </c>
      <c r="F28" s="33">
        <f ca="1"/>
        <v>197.82608695652175</v>
      </c>
      <c r="H28" s="34">
        <v>200</v>
      </c>
      <c r="I28" s="34">
        <v>0</v>
      </c>
      <c r="J28" s="34">
        <v>200</v>
      </c>
      <c r="L28" s="35">
        <v>266</v>
      </c>
      <c r="M28" s="35">
        <v>0</v>
      </c>
      <c r="N28" s="35">
        <v>266</v>
      </c>
      <c r="P28" s="36">
        <v>333.33333333333331</v>
      </c>
      <c r="Q28" s="36">
        <v>0</v>
      </c>
      <c r="R28" s="36">
        <v>333.33333333333331</v>
      </c>
      <c r="T28" s="37">
        <f ca="1"/>
        <v>997.15942028985501</v>
      </c>
      <c r="V28" s="31">
        <f ca="1"/>
        <v>27</v>
      </c>
      <c r="W28" s="32" t="str">
        <f ca="1"/>
        <v>Rub</v>
      </c>
      <c r="X28" s="39">
        <f ca="1"/>
        <v>1832</v>
      </c>
    </row>
    <row r="29" spans="1:24">
      <c r="A29" s="31">
        <v>28</v>
      </c>
      <c r="B29" s="32" t="str">
        <v>Leyla</v>
      </c>
      <c r="D29" s="33">
        <f ca="1"/>
        <v>810.86956521739125</v>
      </c>
      <c r="E29" s="33">
        <f ca="1"/>
        <v>400</v>
      </c>
      <c r="F29" s="33">
        <f ca="1"/>
        <v>1210.8695652173913</v>
      </c>
      <c r="H29" s="34">
        <v>733</v>
      </c>
      <c r="I29" s="34">
        <v>400</v>
      </c>
      <c r="J29" s="34">
        <v>1133</v>
      </c>
      <c r="L29" s="35">
        <v>866</v>
      </c>
      <c r="M29" s="35">
        <v>550</v>
      </c>
      <c r="N29" s="35">
        <v>1416</v>
      </c>
      <c r="P29" s="36">
        <v>866.66666666666663</v>
      </c>
      <c r="Q29" s="36">
        <v>400</v>
      </c>
      <c r="R29" s="36">
        <v>1266.6666666666665</v>
      </c>
      <c r="T29" s="37">
        <f ca="1"/>
        <v>5026.536231884058</v>
      </c>
      <c r="V29" s="31">
        <f ca="1"/>
        <v>28</v>
      </c>
      <c r="W29" s="32" t="str">
        <f ca="1"/>
        <v>Lenain</v>
      </c>
      <c r="X29" s="39">
        <f ca="1"/>
        <v>1634.0869565217392</v>
      </c>
    </row>
    <row r="30" spans="1:24">
      <c r="A30" s="31">
        <v>29</v>
      </c>
      <c r="B30" s="32" t="str">
        <v>Lio</v>
      </c>
      <c r="D30" s="33">
        <f ca="1"/>
        <v>20.652173913043477</v>
      </c>
      <c r="E30" s="33">
        <f ca="1"/>
        <v>0</v>
      </c>
      <c r="F30" s="33">
        <f ca="1"/>
        <v>20.652173913043477</v>
      </c>
      <c r="H30" s="34">
        <v>100</v>
      </c>
      <c r="I30" s="34">
        <v>0</v>
      </c>
      <c r="J30" s="34">
        <v>100</v>
      </c>
      <c r="L30" s="35">
        <v>133</v>
      </c>
      <c r="M30" s="35">
        <v>0</v>
      </c>
      <c r="N30" s="35">
        <v>133</v>
      </c>
      <c r="P30" s="36">
        <v>200</v>
      </c>
      <c r="Q30" s="36">
        <v>0</v>
      </c>
      <c r="R30" s="36">
        <v>200</v>
      </c>
      <c r="T30" s="37">
        <f ca="1"/>
        <v>453.6521739130435</v>
      </c>
      <c r="V30" s="31">
        <f ca="1"/>
        <v>29</v>
      </c>
      <c r="W30" s="32" t="str">
        <f ca="1"/>
        <v>FF</v>
      </c>
      <c r="X30" s="39">
        <f ca="1"/>
        <v>1514.5217391304348</v>
      </c>
    </row>
    <row r="31" spans="1:24">
      <c r="A31" s="31">
        <v>30</v>
      </c>
      <c r="B31" s="32" t="str">
        <v>Loser 1</v>
      </c>
      <c r="D31" s="33">
        <f ca="1"/>
        <v>0</v>
      </c>
      <c r="E31" s="33">
        <f ca="1"/>
        <v>0</v>
      </c>
      <c r="F31" s="33">
        <f ca="1"/>
        <v>0</v>
      </c>
      <c r="H31" s="34">
        <v>0</v>
      </c>
      <c r="I31" s="34">
        <v>0</v>
      </c>
      <c r="J31" s="34">
        <v>0</v>
      </c>
      <c r="L31" s="35">
        <v>0</v>
      </c>
      <c r="M31" s="35">
        <v>0</v>
      </c>
      <c r="N31" s="35">
        <v>0</v>
      </c>
      <c r="P31" s="36">
        <v>0</v>
      </c>
      <c r="Q31" s="36">
        <v>0</v>
      </c>
      <c r="R31" s="36">
        <v>0</v>
      </c>
      <c r="T31" s="37">
        <f ca="1"/>
        <v>0</v>
      </c>
      <c r="V31" s="31">
        <f ca="1"/>
        <v>30</v>
      </c>
      <c r="W31" s="32" t="str">
        <f ca="1"/>
        <v>Franck</v>
      </c>
      <c r="X31" s="39">
        <f ca="1"/>
        <v>1466.3333333333335</v>
      </c>
    </row>
    <row r="32" spans="1:24">
      <c r="A32" s="31">
        <v>31</v>
      </c>
      <c r="B32" s="32" t="str">
        <v>Loser 2</v>
      </c>
      <c r="D32" s="33">
        <f ca="1"/>
        <v>0</v>
      </c>
      <c r="E32" s="33">
        <f ca="1"/>
        <v>0</v>
      </c>
      <c r="F32" s="33">
        <f ca="1"/>
        <v>0</v>
      </c>
      <c r="H32" s="34">
        <v>0</v>
      </c>
      <c r="I32" s="34">
        <v>0</v>
      </c>
      <c r="J32" s="34">
        <v>0</v>
      </c>
      <c r="L32" s="35">
        <v>0</v>
      </c>
      <c r="M32" s="35">
        <v>0</v>
      </c>
      <c r="N32" s="35">
        <v>0</v>
      </c>
      <c r="P32" s="36">
        <v>0</v>
      </c>
      <c r="Q32" s="36">
        <v>0</v>
      </c>
      <c r="R32" s="36">
        <v>0</v>
      </c>
      <c r="T32" s="37">
        <f ca="1"/>
        <v>0</v>
      </c>
      <c r="V32" s="31">
        <f ca="1"/>
        <v>31</v>
      </c>
      <c r="W32" s="32" t="str">
        <f ca="1"/>
        <v>Ours</v>
      </c>
      <c r="X32" s="39">
        <f ca="1"/>
        <v>1423.6376811594203</v>
      </c>
    </row>
    <row r="33" spans="1:24">
      <c r="A33" s="31">
        <v>32</v>
      </c>
      <c r="B33" s="32" t="str">
        <v>Loser 3</v>
      </c>
      <c r="D33" s="33">
        <f ca="1"/>
        <v>0</v>
      </c>
      <c r="E33" s="33">
        <f ca="1"/>
        <v>0</v>
      </c>
      <c r="F33" s="33">
        <f ca="1"/>
        <v>0</v>
      </c>
      <c r="H33" s="34">
        <v>0</v>
      </c>
      <c r="I33" s="34">
        <v>0</v>
      </c>
      <c r="J33" s="34">
        <v>0</v>
      </c>
      <c r="L33" s="35">
        <v>0</v>
      </c>
      <c r="M33" s="35">
        <v>0</v>
      </c>
      <c r="N33" s="35">
        <v>0</v>
      </c>
      <c r="P33" s="36">
        <v>0</v>
      </c>
      <c r="Q33" s="36">
        <v>0</v>
      </c>
      <c r="R33" s="36">
        <v>0</v>
      </c>
      <c r="T33" s="37">
        <f ca="1"/>
        <v>0</v>
      </c>
      <c r="V33" s="31">
        <f ca="1"/>
        <v>32</v>
      </c>
      <c r="W33" s="32" t="str">
        <f ca="1"/>
        <v>Zip</v>
      </c>
      <c r="X33" s="39">
        <f ca="1"/>
        <v>1312.3478260869565</v>
      </c>
    </row>
    <row r="34" spans="1:24">
      <c r="A34" s="31">
        <v>33</v>
      </c>
      <c r="B34" s="32" t="str">
        <v>Loser 4</v>
      </c>
      <c r="D34" s="33">
        <f ca="1"/>
        <v>0</v>
      </c>
      <c r="E34" s="33">
        <f ca="1"/>
        <v>0</v>
      </c>
      <c r="F34" s="33">
        <f ca="1"/>
        <v>0</v>
      </c>
      <c r="H34" s="34">
        <v>0</v>
      </c>
      <c r="I34" s="34">
        <v>0</v>
      </c>
      <c r="J34" s="34">
        <v>0</v>
      </c>
      <c r="L34" s="35">
        <v>0</v>
      </c>
      <c r="M34" s="35">
        <v>0</v>
      </c>
      <c r="N34" s="35">
        <v>0</v>
      </c>
      <c r="P34" s="36">
        <v>0</v>
      </c>
      <c r="Q34" s="36">
        <v>0</v>
      </c>
      <c r="R34" s="36">
        <v>0</v>
      </c>
      <c r="T34" s="37">
        <f ca="1"/>
        <v>0</v>
      </c>
      <c r="V34" s="31">
        <f ca="1"/>
        <v>33</v>
      </c>
      <c r="W34" s="32" t="str">
        <f ca="1"/>
        <v>Mike</v>
      </c>
      <c r="X34" s="39">
        <f ca="1"/>
        <v>1294.5652173913043</v>
      </c>
    </row>
    <row r="35" spans="1:24">
      <c r="A35" s="31">
        <v>34</v>
      </c>
      <c r="B35" s="32" t="str">
        <v>Mackie</v>
      </c>
      <c r="D35" s="33">
        <f ca="1"/>
        <v>0</v>
      </c>
      <c r="E35" s="33">
        <f ca="1"/>
        <v>0</v>
      </c>
      <c r="F35" s="33">
        <f ca="1"/>
        <v>0</v>
      </c>
      <c r="H35" s="34">
        <v>0</v>
      </c>
      <c r="I35" s="34">
        <v>0</v>
      </c>
      <c r="J35" s="34">
        <v>0</v>
      </c>
      <c r="L35" s="35">
        <v>100</v>
      </c>
      <c r="M35" s="35">
        <v>0</v>
      </c>
      <c r="N35" s="35">
        <v>100</v>
      </c>
      <c r="P35" s="36">
        <v>133.33333333333334</v>
      </c>
      <c r="Q35" s="36">
        <v>0</v>
      </c>
      <c r="R35" s="36">
        <v>133.33333333333334</v>
      </c>
      <c r="T35" s="37">
        <f ca="1"/>
        <v>233.33333333333334</v>
      </c>
      <c r="V35" s="31">
        <f ca="1"/>
        <v>34</v>
      </c>
      <c r="W35" s="32" t="str">
        <f ca="1"/>
        <v>Getarez</v>
      </c>
      <c r="X35" s="39">
        <f ca="1"/>
        <v>1135.8985507246377</v>
      </c>
    </row>
    <row r="36" spans="1:24">
      <c r="A36" s="31">
        <v>35</v>
      </c>
      <c r="B36" s="32" t="str">
        <v>Mark</v>
      </c>
      <c r="D36" s="33">
        <f ca="1"/>
        <v>538.04347826086951</v>
      </c>
      <c r="E36" s="33">
        <f ca="1"/>
        <v>120</v>
      </c>
      <c r="F36" s="33">
        <f ca="1"/>
        <v>658.04347826086951</v>
      </c>
      <c r="H36" s="34">
        <v>600</v>
      </c>
      <c r="I36" s="34">
        <v>100</v>
      </c>
      <c r="J36" s="34">
        <v>700</v>
      </c>
      <c r="L36" s="35">
        <v>433</v>
      </c>
      <c r="M36" s="35">
        <v>0</v>
      </c>
      <c r="N36" s="35">
        <v>433</v>
      </c>
      <c r="P36" s="36">
        <v>533.33333333333337</v>
      </c>
      <c r="Q36" s="36">
        <v>0</v>
      </c>
      <c r="R36" s="36">
        <v>533.33333333333337</v>
      </c>
      <c r="T36" s="37">
        <f ca="1"/>
        <v>2324.376811594203</v>
      </c>
      <c r="V36" s="31">
        <f ca="1"/>
        <v>35</v>
      </c>
      <c r="W36" s="32" t="str">
        <f ca="1"/>
        <v>Rune</v>
      </c>
      <c r="X36" s="39">
        <f ca="1"/>
        <v>1132</v>
      </c>
    </row>
    <row r="37" spans="1:24">
      <c r="A37" s="31">
        <v>36</v>
      </c>
      <c r="B37" s="32" t="str">
        <v>Mike</v>
      </c>
      <c r="D37" s="33">
        <f ca="1"/>
        <v>794.56521739130426</v>
      </c>
      <c r="E37" s="33">
        <f ca="1"/>
        <v>500</v>
      </c>
      <c r="F37" s="33">
        <f ca="1"/>
        <v>1294.5652173913043</v>
      </c>
      <c r="H37" s="34">
        <v>0</v>
      </c>
      <c r="I37" s="34">
        <v>0</v>
      </c>
      <c r="J37" s="34">
        <v>0</v>
      </c>
      <c r="L37" s="35">
        <v>0</v>
      </c>
      <c r="M37" s="35">
        <v>0</v>
      </c>
      <c r="N37" s="35">
        <v>0</v>
      </c>
      <c r="P37" s="36">
        <v>0</v>
      </c>
      <c r="Q37" s="36">
        <v>0</v>
      </c>
      <c r="R37" s="36">
        <v>0</v>
      </c>
      <c r="T37" s="37">
        <f ca="1"/>
        <v>1294.5652173913043</v>
      </c>
      <c r="V37" s="31">
        <f ca="1"/>
        <v>36</v>
      </c>
      <c r="W37" s="32" t="str">
        <f ca="1"/>
        <v>Oni</v>
      </c>
      <c r="X37" s="39">
        <f ca="1"/>
        <v>997.8840579710145</v>
      </c>
    </row>
    <row r="38" spans="1:24">
      <c r="A38" s="31">
        <v>37</v>
      </c>
      <c r="B38" s="32" t="str">
        <v>Miku</v>
      </c>
      <c r="D38" s="33">
        <f ca="1"/>
        <v>246.7391304347826</v>
      </c>
      <c r="E38" s="33">
        <f ca="1"/>
        <v>0</v>
      </c>
      <c r="F38" s="33">
        <f ca="1"/>
        <v>246.7391304347826</v>
      </c>
      <c r="H38" s="34">
        <v>100</v>
      </c>
      <c r="I38" s="34">
        <v>0</v>
      </c>
      <c r="J38" s="34">
        <v>100</v>
      </c>
      <c r="L38" s="35">
        <v>233</v>
      </c>
      <c r="M38" s="35">
        <v>0</v>
      </c>
      <c r="N38" s="35">
        <v>233</v>
      </c>
      <c r="P38" s="36">
        <v>266.66666666666669</v>
      </c>
      <c r="Q38" s="36">
        <v>0</v>
      </c>
      <c r="R38" s="36">
        <v>266.66666666666669</v>
      </c>
      <c r="T38" s="37">
        <f ca="1"/>
        <v>846.40579710144925</v>
      </c>
      <c r="V38" s="31">
        <f ca="1"/>
        <v>37</v>
      </c>
      <c r="W38" s="32" t="str">
        <f ca="1"/>
        <v>L'escargot</v>
      </c>
      <c r="X38" s="39">
        <f ca="1"/>
        <v>997.15942028985501</v>
      </c>
    </row>
    <row r="39" spans="1:24">
      <c r="A39" s="31">
        <v>38</v>
      </c>
      <c r="B39" s="32" t="str">
        <v>Moll</v>
      </c>
      <c r="D39" s="33">
        <f ca="1"/>
        <v>810.86956521739125</v>
      </c>
      <c r="E39" s="33">
        <f ca="1"/>
        <v>360</v>
      </c>
      <c r="F39" s="33">
        <f ca="1"/>
        <v>1170.8695652173913</v>
      </c>
      <c r="H39" s="34">
        <v>766</v>
      </c>
      <c r="I39" s="34">
        <v>300</v>
      </c>
      <c r="J39" s="34">
        <v>1066</v>
      </c>
      <c r="L39" s="35">
        <v>766</v>
      </c>
      <c r="M39" s="35">
        <v>300</v>
      </c>
      <c r="N39" s="35">
        <v>1066</v>
      </c>
      <c r="P39" s="36">
        <v>733.33333333333337</v>
      </c>
      <c r="Q39" s="36">
        <v>300</v>
      </c>
      <c r="R39" s="36">
        <v>1033.3333333333335</v>
      </c>
      <c r="T39" s="37">
        <f ca="1"/>
        <v>4336.2028985507241</v>
      </c>
      <c r="V39" s="31">
        <f ca="1"/>
        <v>38</v>
      </c>
      <c r="W39" s="32" t="str">
        <f ca="1"/>
        <v>Edwin</v>
      </c>
      <c r="X39" s="39">
        <f ca="1"/>
        <v>941.695652173913</v>
      </c>
    </row>
    <row r="40" spans="1:24">
      <c r="A40" s="31">
        <v>39</v>
      </c>
      <c r="B40" s="32" t="str">
        <v>Myu</v>
      </c>
      <c r="D40" s="33">
        <f ca="1"/>
        <v>0</v>
      </c>
      <c r="E40" s="33">
        <f ca="1"/>
        <v>0</v>
      </c>
      <c r="F40" s="33">
        <f ca="1"/>
        <v>0</v>
      </c>
      <c r="H40" s="34">
        <v>0</v>
      </c>
      <c r="I40" s="34">
        <v>0</v>
      </c>
      <c r="J40" s="34">
        <v>0</v>
      </c>
      <c r="L40" s="35">
        <v>0</v>
      </c>
      <c r="M40" s="35">
        <v>0</v>
      </c>
      <c r="N40" s="35">
        <v>0</v>
      </c>
      <c r="P40" s="36">
        <v>0</v>
      </c>
      <c r="Q40" s="36">
        <v>0</v>
      </c>
      <c r="R40" s="36">
        <v>0</v>
      </c>
      <c r="T40" s="37">
        <f ca="1"/>
        <v>0</v>
      </c>
      <c r="V40" s="31">
        <f ca="1"/>
        <v>39</v>
      </c>
      <c r="W40" s="32" t="str">
        <f ca="1"/>
        <v>Cap</v>
      </c>
      <c r="X40" s="39">
        <f ca="1"/>
        <v>901.84057971014499</v>
      </c>
    </row>
    <row r="41" spans="1:24">
      <c r="A41" s="31">
        <v>40</v>
      </c>
      <c r="B41" s="32" t="str">
        <v>Narnet</v>
      </c>
      <c r="D41" s="33">
        <f ca="1"/>
        <v>569.56521739130426</v>
      </c>
      <c r="E41" s="33">
        <f ca="1"/>
        <v>90</v>
      </c>
      <c r="F41" s="33">
        <f ca="1"/>
        <v>659.56521739130426</v>
      </c>
      <c r="H41" s="34">
        <v>333</v>
      </c>
      <c r="I41" s="34">
        <v>0</v>
      </c>
      <c r="J41" s="34">
        <v>333</v>
      </c>
      <c r="L41" s="35">
        <v>600</v>
      </c>
      <c r="M41" s="35">
        <v>150</v>
      </c>
      <c r="N41" s="35">
        <v>750</v>
      </c>
      <c r="P41" s="36">
        <v>600</v>
      </c>
      <c r="Q41" s="36">
        <v>100</v>
      </c>
      <c r="R41" s="36">
        <v>700</v>
      </c>
      <c r="T41" s="37">
        <f ca="1"/>
        <v>2442.565217391304</v>
      </c>
      <c r="V41" s="31">
        <f ca="1"/>
        <v>40</v>
      </c>
      <c r="W41" s="32" t="str">
        <f ca="1"/>
        <v>Miku</v>
      </c>
      <c r="X41" s="39">
        <f ca="1"/>
        <v>846.40579710144925</v>
      </c>
    </row>
    <row r="42" spans="1:24">
      <c r="A42" s="31">
        <v>41</v>
      </c>
      <c r="B42" s="32" t="str">
        <v>Neetsel</v>
      </c>
      <c r="D42" s="33">
        <f ca="1"/>
        <v>0</v>
      </c>
      <c r="E42" s="33">
        <f ca="1"/>
        <v>0</v>
      </c>
      <c r="F42" s="33">
        <f ca="1"/>
        <v>0</v>
      </c>
      <c r="H42" s="34">
        <v>0</v>
      </c>
      <c r="I42" s="34">
        <v>0</v>
      </c>
      <c r="J42" s="34">
        <v>0</v>
      </c>
      <c r="L42" s="35">
        <v>0</v>
      </c>
      <c r="M42" s="35">
        <v>0</v>
      </c>
      <c r="N42" s="35">
        <v>0</v>
      </c>
      <c r="P42" s="36">
        <v>0</v>
      </c>
      <c r="Q42" s="36">
        <v>0</v>
      </c>
      <c r="R42" s="36">
        <v>0</v>
      </c>
      <c r="T42" s="37">
        <f ca="1"/>
        <v>0</v>
      </c>
      <c r="V42" s="31">
        <f ca="1"/>
        <v>41</v>
      </c>
      <c r="W42" s="32" t="str">
        <f ca="1"/>
        <v>Sargoth</v>
      </c>
      <c r="X42" s="39">
        <f ca="1"/>
        <v>783</v>
      </c>
    </row>
    <row r="43" spans="1:24">
      <c r="A43" s="31">
        <v>42</v>
      </c>
      <c r="B43" s="32" t="str">
        <v>Oni</v>
      </c>
      <c r="D43" s="33">
        <f ca="1"/>
        <v>165.21739130434781</v>
      </c>
      <c r="E43" s="33">
        <f ca="1"/>
        <v>0</v>
      </c>
      <c r="F43" s="33">
        <f ca="1"/>
        <v>165.21739130434781</v>
      </c>
      <c r="H43" s="34">
        <v>400</v>
      </c>
      <c r="I43" s="34">
        <v>0</v>
      </c>
      <c r="J43" s="34">
        <v>400</v>
      </c>
      <c r="L43" s="35">
        <v>166</v>
      </c>
      <c r="M43" s="35">
        <v>0</v>
      </c>
      <c r="N43" s="35">
        <v>166</v>
      </c>
      <c r="P43" s="36">
        <v>266.66666666666669</v>
      </c>
      <c r="Q43" s="36">
        <v>0</v>
      </c>
      <c r="R43" s="36">
        <v>266.66666666666669</v>
      </c>
      <c r="T43" s="37">
        <f ca="1"/>
        <v>997.8840579710145</v>
      </c>
      <c r="V43" s="31">
        <f ca="1"/>
        <v>42</v>
      </c>
      <c r="W43" s="32" t="str">
        <f ca="1"/>
        <v>Bluh</v>
      </c>
      <c r="X43" s="39">
        <f ca="1"/>
        <v>765.21739130434776</v>
      </c>
    </row>
    <row r="44" spans="1:24">
      <c r="A44" s="31">
        <v>43</v>
      </c>
      <c r="B44" s="32" t="str">
        <v>Onwa</v>
      </c>
      <c r="D44" s="33">
        <f ca="1"/>
        <v>794.56521739130426</v>
      </c>
      <c r="E44" s="33">
        <f ca="1"/>
        <v>420</v>
      </c>
      <c r="F44" s="33">
        <f ca="1"/>
        <v>1214.5652173913043</v>
      </c>
      <c r="H44" s="34">
        <v>766</v>
      </c>
      <c r="I44" s="34">
        <v>400</v>
      </c>
      <c r="J44" s="34">
        <v>1166</v>
      </c>
      <c r="L44" s="35">
        <v>866</v>
      </c>
      <c r="M44" s="35">
        <v>400</v>
      </c>
      <c r="N44" s="35">
        <v>1266</v>
      </c>
      <c r="P44" s="36">
        <v>800</v>
      </c>
      <c r="Q44" s="36">
        <v>400</v>
      </c>
      <c r="R44" s="36">
        <v>1200</v>
      </c>
      <c r="T44" s="37">
        <f ca="1"/>
        <v>4846.565217391304</v>
      </c>
      <c r="V44" s="31">
        <f ca="1"/>
        <v>43</v>
      </c>
      <c r="W44" s="32" t="str">
        <f ca="1"/>
        <v>Julien</v>
      </c>
      <c r="X44" s="39">
        <f ca="1"/>
        <v>756.52173913043475</v>
      </c>
    </row>
    <row r="45" spans="1:24">
      <c r="A45" s="31">
        <v>44</v>
      </c>
      <c r="B45" s="32" t="str">
        <v>Ours</v>
      </c>
      <c r="D45" s="33">
        <f ca="1"/>
        <v>291.30434782608694</v>
      </c>
      <c r="E45" s="33">
        <f ca="1"/>
        <v>0</v>
      </c>
      <c r="F45" s="33">
        <f ca="1"/>
        <v>291.30434782608694</v>
      </c>
      <c r="H45" s="34">
        <v>433</v>
      </c>
      <c r="I45" s="34">
        <v>0</v>
      </c>
      <c r="J45" s="34">
        <v>433</v>
      </c>
      <c r="L45" s="35">
        <v>366</v>
      </c>
      <c r="M45" s="35">
        <v>0</v>
      </c>
      <c r="N45" s="35">
        <v>366</v>
      </c>
      <c r="P45" s="36">
        <v>333.33333333333331</v>
      </c>
      <c r="Q45" s="36">
        <v>0</v>
      </c>
      <c r="R45" s="36">
        <v>333.33333333333331</v>
      </c>
      <c r="T45" s="37">
        <f ca="1"/>
        <v>1423.6376811594203</v>
      </c>
      <c r="V45" s="31">
        <f ca="1"/>
        <v>44</v>
      </c>
      <c r="W45" s="32" t="str">
        <f ca="1"/>
        <v>Ale</v>
      </c>
      <c r="X45" s="39">
        <f ca="1"/>
        <v>585.26086956521738</v>
      </c>
    </row>
    <row r="46" spans="1:24">
      <c r="A46" s="31">
        <v>45</v>
      </c>
      <c r="B46" s="32" t="str">
        <v>Patrick</v>
      </c>
      <c r="D46" s="33">
        <f ca="1"/>
        <v>517.39130434782612</v>
      </c>
      <c r="E46" s="33">
        <f ca="1"/>
        <v>0</v>
      </c>
      <c r="F46" s="33">
        <f ca="1"/>
        <v>517.39130434782612</v>
      </c>
      <c r="H46" s="34">
        <v>666</v>
      </c>
      <c r="I46" s="34">
        <v>300</v>
      </c>
      <c r="J46" s="34">
        <v>966</v>
      </c>
      <c r="L46" s="35">
        <v>600</v>
      </c>
      <c r="M46" s="35">
        <v>400</v>
      </c>
      <c r="N46" s="35">
        <v>1000</v>
      </c>
      <c r="P46" s="36">
        <v>600</v>
      </c>
      <c r="Q46" s="36">
        <v>100</v>
      </c>
      <c r="R46" s="36">
        <v>700</v>
      </c>
      <c r="T46" s="37">
        <f ca="1"/>
        <v>3183.391304347826</v>
      </c>
      <c r="V46" s="31">
        <f ca="1"/>
        <v>45</v>
      </c>
      <c r="W46" s="32" t="str">
        <f ca="1"/>
        <v>Chachamaxx</v>
      </c>
      <c r="X46" s="39">
        <f ca="1"/>
        <v>535.86956521739125</v>
      </c>
    </row>
    <row r="47" spans="1:24">
      <c r="A47" s="31">
        <v>46</v>
      </c>
      <c r="B47" s="32" t="str">
        <v>Pie999</v>
      </c>
      <c r="D47" s="33">
        <f ca="1"/>
        <v>214.13043478260869</v>
      </c>
      <c r="E47" s="33">
        <f ca="1"/>
        <v>0</v>
      </c>
      <c r="F47" s="33">
        <f ca="1"/>
        <v>214.13043478260869</v>
      </c>
      <c r="H47" s="34">
        <v>0</v>
      </c>
      <c r="I47" s="34">
        <v>0</v>
      </c>
      <c r="J47" s="34">
        <v>0</v>
      </c>
      <c r="L47" s="35">
        <v>66</v>
      </c>
      <c r="M47" s="35">
        <v>0</v>
      </c>
      <c r="N47" s="35">
        <v>66</v>
      </c>
      <c r="P47" s="36">
        <v>200</v>
      </c>
      <c r="Q47" s="36">
        <v>0</v>
      </c>
      <c r="R47" s="36">
        <v>200</v>
      </c>
      <c r="T47" s="37">
        <f ca="1"/>
        <v>480.13043478260869</v>
      </c>
      <c r="V47" s="31">
        <f ca="1"/>
        <v>46</v>
      </c>
      <c r="W47" s="32" t="str">
        <f ca="1"/>
        <v>BigMountain</v>
      </c>
      <c r="X47" s="39">
        <f ca="1"/>
        <v>525.4202898550725</v>
      </c>
    </row>
    <row r="48" spans="1:24">
      <c r="A48" s="31">
        <v>47</v>
      </c>
      <c r="B48" s="32" t="str">
        <v>Rejemy</v>
      </c>
      <c r="D48" s="33">
        <f ca="1"/>
        <v>557.60869565217388</v>
      </c>
      <c r="E48" s="33">
        <f ca="1"/>
        <v>100</v>
      </c>
      <c r="F48" s="33">
        <f ca="1"/>
        <v>657.60869565217388</v>
      </c>
      <c r="H48" s="34">
        <v>466</v>
      </c>
      <c r="I48" s="34">
        <v>0</v>
      </c>
      <c r="J48" s="34">
        <v>466</v>
      </c>
      <c r="L48" s="35">
        <v>400</v>
      </c>
      <c r="M48" s="35">
        <v>0</v>
      </c>
      <c r="N48" s="35">
        <v>400</v>
      </c>
      <c r="P48" s="36">
        <v>533.33333333333337</v>
      </c>
      <c r="Q48" s="36">
        <v>100</v>
      </c>
      <c r="R48" s="36">
        <v>633.33333333333337</v>
      </c>
      <c r="T48" s="37">
        <f ca="1"/>
        <v>2156.9420289855075</v>
      </c>
      <c r="V48" s="31">
        <f ca="1"/>
        <v>47</v>
      </c>
      <c r="W48" s="32" t="str">
        <f ca="1"/>
        <v>Danny</v>
      </c>
      <c r="X48" s="39">
        <f ca="1"/>
        <v>509.86956521739131</v>
      </c>
    </row>
    <row r="49" spans="1:24">
      <c r="A49" s="31">
        <v>48</v>
      </c>
      <c r="B49" s="32" t="str">
        <v>Rub</v>
      </c>
      <c r="D49" s="33">
        <f ca="1"/>
        <v>0</v>
      </c>
      <c r="E49" s="33">
        <f ca="1"/>
        <v>0</v>
      </c>
      <c r="F49" s="33">
        <f ca="1"/>
        <v>0</v>
      </c>
      <c r="H49" s="34">
        <v>666</v>
      </c>
      <c r="I49" s="34">
        <v>300</v>
      </c>
      <c r="J49" s="34">
        <v>966</v>
      </c>
      <c r="L49" s="35">
        <v>566</v>
      </c>
      <c r="M49" s="35">
        <v>300</v>
      </c>
      <c r="N49" s="35">
        <v>866</v>
      </c>
      <c r="P49" s="36">
        <v>0</v>
      </c>
      <c r="Q49" s="36">
        <v>0</v>
      </c>
      <c r="R49" s="36">
        <v>0</v>
      </c>
      <c r="T49" s="37">
        <f ca="1"/>
        <v>1832</v>
      </c>
      <c r="V49" s="31">
        <f ca="1"/>
        <v>48</v>
      </c>
      <c r="W49" s="32" t="str">
        <f ca="1"/>
        <v>Pie999</v>
      </c>
      <c r="X49" s="39">
        <f ca="1"/>
        <v>480.13043478260869</v>
      </c>
    </row>
    <row r="50" spans="1:24">
      <c r="A50" s="31">
        <v>49</v>
      </c>
      <c r="B50" s="32" t="str">
        <v>Rune</v>
      </c>
      <c r="D50" s="33">
        <f ca="1"/>
        <v>0</v>
      </c>
      <c r="E50" s="33">
        <f ca="1"/>
        <v>0</v>
      </c>
      <c r="F50" s="33">
        <f ca="1"/>
        <v>0</v>
      </c>
      <c r="H50" s="34">
        <v>566</v>
      </c>
      <c r="I50" s="34">
        <v>100</v>
      </c>
      <c r="J50" s="34">
        <v>666</v>
      </c>
      <c r="L50" s="35">
        <v>466</v>
      </c>
      <c r="M50" s="35">
        <v>0</v>
      </c>
      <c r="N50" s="35">
        <v>466</v>
      </c>
      <c r="P50" s="36">
        <v>0</v>
      </c>
      <c r="Q50" s="36">
        <v>0</v>
      </c>
      <c r="R50" s="36">
        <v>0</v>
      </c>
      <c r="T50" s="37">
        <f ca="1"/>
        <v>1132</v>
      </c>
      <c r="V50" s="31">
        <f ca="1"/>
        <v>49</v>
      </c>
      <c r="W50" s="32" t="str">
        <f ca="1"/>
        <v>Lio</v>
      </c>
      <c r="X50" s="39">
        <f ca="1"/>
        <v>453.6521739130435</v>
      </c>
    </row>
    <row r="51" spans="1:24">
      <c r="A51" s="31">
        <v>50</v>
      </c>
      <c r="B51" s="32" t="str">
        <v>Sami</v>
      </c>
      <c r="D51" s="33">
        <f ca="1"/>
        <v>936.95652173913049</v>
      </c>
      <c r="E51" s="33">
        <f ca="1"/>
        <v>1000</v>
      </c>
      <c r="F51" s="33">
        <f ca="1"/>
        <v>1936.9565217391305</v>
      </c>
      <c r="H51" s="34">
        <v>1000</v>
      </c>
      <c r="I51" s="34">
        <v>2000</v>
      </c>
      <c r="J51" s="34">
        <v>3000</v>
      </c>
      <c r="L51" s="35">
        <v>1000</v>
      </c>
      <c r="M51" s="35">
        <v>1600</v>
      </c>
      <c r="N51" s="35">
        <v>2600</v>
      </c>
      <c r="P51" s="36">
        <v>1000</v>
      </c>
      <c r="Q51" s="36">
        <v>1600</v>
      </c>
      <c r="R51" s="36">
        <v>2600</v>
      </c>
      <c r="T51" s="37">
        <f ca="1"/>
        <v>10136.95652173913</v>
      </c>
      <c r="V51" s="31">
        <f ca="1"/>
        <v>50</v>
      </c>
      <c r="W51" s="32" t="str">
        <f ca="1"/>
        <v>Mackie</v>
      </c>
      <c r="X51" s="39">
        <f ca="1"/>
        <v>233.33333333333334</v>
      </c>
    </row>
    <row r="52" spans="1:24">
      <c r="A52" s="31">
        <v>51</v>
      </c>
      <c r="B52" s="32" t="str">
        <v>Sargoth</v>
      </c>
      <c r="D52" s="33">
        <f ca="1"/>
        <v>0</v>
      </c>
      <c r="E52" s="33">
        <f ca="1"/>
        <v>0</v>
      </c>
      <c r="F52" s="33">
        <f ca="1"/>
        <v>0</v>
      </c>
      <c r="H52" s="34">
        <v>633</v>
      </c>
      <c r="I52" s="34">
        <v>150</v>
      </c>
      <c r="J52" s="34">
        <v>783</v>
      </c>
      <c r="L52" s="35">
        <v>0</v>
      </c>
      <c r="M52" s="35">
        <v>0</v>
      </c>
      <c r="N52" s="35">
        <v>0</v>
      </c>
      <c r="P52" s="36">
        <v>0</v>
      </c>
      <c r="Q52" s="36">
        <v>0</v>
      </c>
      <c r="R52" s="36">
        <v>0</v>
      </c>
      <c r="T52" s="37">
        <f ca="1"/>
        <v>783</v>
      </c>
      <c r="V52" s="31">
        <f ca="1"/>
        <v>51</v>
      </c>
      <c r="W52" s="32" t="str">
        <f ca="1"/>
        <v>Titou</v>
      </c>
      <c r="X52" s="39">
        <f ca="1"/>
        <v>166</v>
      </c>
    </row>
    <row r="53" spans="1:24">
      <c r="A53" s="31">
        <v>52</v>
      </c>
      <c r="B53" s="32" t="str">
        <v>SDW</v>
      </c>
      <c r="D53" s="33">
        <f ca="1"/>
        <v>13.043478260869565</v>
      </c>
      <c r="E53" s="33">
        <f ca="1"/>
        <v>0</v>
      </c>
      <c r="F53" s="33">
        <f ca="1"/>
        <v>13.043478260869565</v>
      </c>
      <c r="H53" s="34">
        <v>0</v>
      </c>
      <c r="I53" s="34">
        <v>0</v>
      </c>
      <c r="J53" s="34">
        <v>0</v>
      </c>
      <c r="L53" s="35">
        <v>0</v>
      </c>
      <c r="M53" s="35">
        <v>0</v>
      </c>
      <c r="N53" s="35">
        <v>0</v>
      </c>
      <c r="P53" s="36">
        <v>0</v>
      </c>
      <c r="Q53" s="36">
        <v>0</v>
      </c>
      <c r="R53" s="36">
        <v>0</v>
      </c>
      <c r="T53" s="37">
        <f ca="1"/>
        <v>13.043478260869565</v>
      </c>
      <c r="V53" s="31">
        <f ca="1"/>
        <v>52</v>
      </c>
      <c r="W53" s="32" t="str">
        <f ca="1"/>
        <v>Ju2a</v>
      </c>
      <c r="X53" s="39">
        <f ca="1"/>
        <v>66.304347826086953</v>
      </c>
    </row>
    <row r="54" spans="1:24">
      <c r="A54" s="31">
        <v>53</v>
      </c>
      <c r="B54" s="32" t="str">
        <v>Sjors</v>
      </c>
      <c r="D54" s="33">
        <f ca="1"/>
        <v>573.91304347826087</v>
      </c>
      <c r="E54" s="33">
        <f ca="1"/>
        <v>130</v>
      </c>
      <c r="F54" s="33">
        <f ca="1"/>
        <v>703.91304347826087</v>
      </c>
      <c r="H54" s="34">
        <v>400</v>
      </c>
      <c r="I54" s="34">
        <v>0</v>
      </c>
      <c r="J54" s="34">
        <v>400</v>
      </c>
      <c r="L54" s="35">
        <v>566</v>
      </c>
      <c r="M54" s="35">
        <v>100</v>
      </c>
      <c r="N54" s="35">
        <v>666</v>
      </c>
      <c r="P54" s="36">
        <v>600</v>
      </c>
      <c r="Q54" s="36">
        <v>150</v>
      </c>
      <c r="R54" s="36">
        <v>750</v>
      </c>
      <c r="T54" s="37">
        <f ca="1"/>
        <v>2519.913043478261</v>
      </c>
      <c r="V54" s="31">
        <f ca="1"/>
        <v>53</v>
      </c>
      <c r="W54" s="32" t="str">
        <f ca="1"/>
        <v>SDW</v>
      </c>
      <c r="X54" s="39">
        <f ca="1"/>
        <v>13.043478260869565</v>
      </c>
    </row>
    <row r="55" spans="1:24">
      <c r="A55" s="31">
        <v>54</v>
      </c>
      <c r="B55" s="32" t="str">
        <v>Sumz</v>
      </c>
      <c r="D55" s="33">
        <f ca="1"/>
        <v>632.60869565217388</v>
      </c>
      <c r="E55" s="33">
        <f ca="1"/>
        <v>340</v>
      </c>
      <c r="F55" s="33">
        <f ca="1"/>
        <v>972.60869565217388</v>
      </c>
      <c r="H55" s="34">
        <v>0</v>
      </c>
      <c r="I55" s="34">
        <v>0</v>
      </c>
      <c r="J55" s="34">
        <v>0</v>
      </c>
      <c r="L55" s="35">
        <v>633</v>
      </c>
      <c r="M55" s="35">
        <v>300</v>
      </c>
      <c r="N55" s="35">
        <v>933</v>
      </c>
      <c r="P55" s="36">
        <v>666.66666666666663</v>
      </c>
      <c r="Q55" s="36">
        <v>150</v>
      </c>
      <c r="R55" s="36">
        <v>816.66666666666663</v>
      </c>
      <c r="T55" s="37">
        <f ca="1"/>
        <v>2722.2753623188405</v>
      </c>
      <c r="V55" s="31">
        <f ca="1"/>
        <v>54</v>
      </c>
      <c r="W55" s="32" t="str">
        <f ca="1"/>
        <v>Kit</v>
      </c>
      <c r="X55" s="39">
        <f ca="1"/>
        <v>0</v>
      </c>
    </row>
    <row r="56" spans="1:24">
      <c r="A56" s="31">
        <v>55</v>
      </c>
      <c r="B56" s="32" t="str">
        <v>Takashi</v>
      </c>
      <c r="D56" s="33">
        <f ca="1"/>
        <v>844.56521739130437</v>
      </c>
      <c r="E56" s="33">
        <f ca="1"/>
        <v>700</v>
      </c>
      <c r="F56" s="33">
        <f ca="1"/>
        <v>1544.5652173913045</v>
      </c>
      <c r="H56" s="34">
        <v>833</v>
      </c>
      <c r="I56" s="34">
        <v>1000</v>
      </c>
      <c r="J56" s="34">
        <v>1833</v>
      </c>
      <c r="L56" s="35">
        <v>966</v>
      </c>
      <c r="M56" s="35">
        <v>1300</v>
      </c>
      <c r="N56" s="35">
        <v>2266</v>
      </c>
      <c r="P56" s="36">
        <v>933.33333333333337</v>
      </c>
      <c r="Q56" s="36">
        <v>750</v>
      </c>
      <c r="R56" s="36">
        <v>1683.3333333333335</v>
      </c>
      <c r="T56" s="37">
        <f ca="1"/>
        <v>7326.898550724638</v>
      </c>
      <c r="V56" s="31">
        <f ca="1"/>
        <v>55</v>
      </c>
      <c r="W56" s="32" t="str">
        <f ca="1"/>
        <v>Loser 1</v>
      </c>
      <c r="X56" s="39">
        <f ca="1"/>
        <v>0</v>
      </c>
    </row>
    <row r="57" spans="1:24">
      <c r="A57" s="31">
        <v>56</v>
      </c>
      <c r="B57" s="32" t="str">
        <v>Thibault</v>
      </c>
      <c r="D57" s="33">
        <f ca="1"/>
        <v>606.52173913043475</v>
      </c>
      <c r="E57" s="33">
        <f ca="1"/>
        <v>140</v>
      </c>
      <c r="F57" s="33">
        <f ca="1"/>
        <v>746.52173913043475</v>
      </c>
      <c r="H57" s="34">
        <v>700</v>
      </c>
      <c r="I57" s="34">
        <v>150</v>
      </c>
      <c r="J57" s="34">
        <v>850</v>
      </c>
      <c r="L57" s="35">
        <v>633</v>
      </c>
      <c r="M57" s="35">
        <v>100</v>
      </c>
      <c r="N57" s="35">
        <v>733</v>
      </c>
      <c r="P57" s="36">
        <v>600</v>
      </c>
      <c r="Q57" s="36">
        <v>150</v>
      </c>
      <c r="R57" s="36">
        <v>750</v>
      </c>
      <c r="T57" s="37">
        <f ca="1"/>
        <v>3079.521739130435</v>
      </c>
      <c r="V57" s="31">
        <f ca="1"/>
        <v>56</v>
      </c>
      <c r="W57" s="32" t="str">
        <f ca="1"/>
        <v>Loser 2</v>
      </c>
      <c r="X57" s="39">
        <f ca="1"/>
        <v>0</v>
      </c>
    </row>
    <row r="58" spans="1:24">
      <c r="A58" s="31">
        <v>57</v>
      </c>
      <c r="B58" s="32" t="str">
        <v>tif</v>
      </c>
      <c r="D58" s="33">
        <f ca="1"/>
        <v>521.73913043478262</v>
      </c>
      <c r="E58" s="33">
        <f ca="1"/>
        <v>0</v>
      </c>
      <c r="F58" s="33">
        <f ca="1"/>
        <v>521.73913043478262</v>
      </c>
      <c r="H58" s="34">
        <v>700</v>
      </c>
      <c r="I58" s="34">
        <v>150</v>
      </c>
      <c r="J58" s="34">
        <v>850</v>
      </c>
      <c r="L58" s="35">
        <v>566</v>
      </c>
      <c r="M58" s="35">
        <v>100</v>
      </c>
      <c r="N58" s="35">
        <v>666</v>
      </c>
      <c r="P58" s="36">
        <v>533.33333333333337</v>
      </c>
      <c r="Q58" s="36">
        <v>100</v>
      </c>
      <c r="R58" s="36">
        <v>633.33333333333337</v>
      </c>
      <c r="T58" s="37">
        <f ca="1"/>
        <v>2671.072463768116</v>
      </c>
      <c r="V58" s="31">
        <f ca="1"/>
        <v>57</v>
      </c>
      <c r="W58" s="32" t="str">
        <f ca="1"/>
        <v>Loser 3</v>
      </c>
      <c r="X58" s="39">
        <f ca="1"/>
        <v>0</v>
      </c>
    </row>
    <row r="59" spans="1:24">
      <c r="A59" s="31">
        <v>58</v>
      </c>
      <c r="B59" s="32" t="str">
        <v>Titou</v>
      </c>
      <c r="D59" s="33">
        <f ca="1"/>
        <v>0</v>
      </c>
      <c r="E59" s="33">
        <f ca="1"/>
        <v>0</v>
      </c>
      <c r="F59" s="33">
        <f ca="1"/>
        <v>0</v>
      </c>
      <c r="H59" s="34">
        <v>166</v>
      </c>
      <c r="I59" s="34">
        <v>0</v>
      </c>
      <c r="J59" s="34">
        <v>166</v>
      </c>
      <c r="L59" s="35">
        <v>0</v>
      </c>
      <c r="M59" s="35">
        <v>0</v>
      </c>
      <c r="N59" s="35">
        <v>0</v>
      </c>
      <c r="P59" s="36">
        <v>0</v>
      </c>
      <c r="Q59" s="36">
        <v>0</v>
      </c>
      <c r="R59" s="36">
        <v>0</v>
      </c>
      <c r="T59" s="37">
        <f ca="1"/>
        <v>166</v>
      </c>
      <c r="V59" s="31">
        <f ca="1"/>
        <v>58</v>
      </c>
      <c r="W59" s="32" t="str">
        <f ca="1"/>
        <v>Loser 4</v>
      </c>
      <c r="X59" s="39">
        <f ca="1"/>
        <v>0</v>
      </c>
    </row>
    <row r="60" spans="1:24">
      <c r="A60" s="31">
        <v>59</v>
      </c>
      <c r="B60" s="32" t="str">
        <v>Zarkov</v>
      </c>
      <c r="D60" s="33">
        <f ca="1"/>
        <v>588.04347826086951</v>
      </c>
      <c r="E60" s="33">
        <f ca="1"/>
        <v>320</v>
      </c>
      <c r="F60" s="33">
        <f ca="1"/>
        <v>908.04347826086951</v>
      </c>
      <c r="H60" s="34">
        <v>766</v>
      </c>
      <c r="I60" s="34">
        <v>300</v>
      </c>
      <c r="J60" s="34">
        <v>1066</v>
      </c>
      <c r="L60" s="35">
        <v>633</v>
      </c>
      <c r="M60" s="35">
        <v>150</v>
      </c>
      <c r="N60" s="35">
        <v>783</v>
      </c>
      <c r="P60" s="36">
        <v>800</v>
      </c>
      <c r="Q60" s="36">
        <v>400</v>
      </c>
      <c r="R60" s="36">
        <v>1200</v>
      </c>
      <c r="T60" s="37">
        <f ca="1"/>
        <v>3957.0434782608695</v>
      </c>
      <c r="V60" s="31">
        <f ca="1"/>
        <v>59</v>
      </c>
      <c r="W60" s="32" t="str">
        <f ca="1"/>
        <v>Myu</v>
      </c>
      <c r="X60" s="39">
        <f ca="1"/>
        <v>0</v>
      </c>
    </row>
    <row r="61" spans="1:24">
      <c r="A61" s="31">
        <v>60</v>
      </c>
      <c r="B61" s="32" t="str">
        <v>Zip</v>
      </c>
      <c r="D61" s="33">
        <f ca="1"/>
        <v>379.3478260869565</v>
      </c>
      <c r="E61" s="33">
        <f ca="1"/>
        <v>0</v>
      </c>
      <c r="F61" s="33">
        <f ca="1"/>
        <v>379.3478260869565</v>
      </c>
      <c r="H61" s="34">
        <v>200</v>
      </c>
      <c r="I61" s="34">
        <v>0</v>
      </c>
      <c r="J61" s="34">
        <v>200</v>
      </c>
      <c r="L61" s="35">
        <v>333</v>
      </c>
      <c r="M61" s="35">
        <v>0</v>
      </c>
      <c r="N61" s="35">
        <v>333</v>
      </c>
      <c r="P61" s="36">
        <v>400</v>
      </c>
      <c r="Q61" s="36">
        <v>0</v>
      </c>
      <c r="R61" s="36">
        <v>400</v>
      </c>
      <c r="T61" s="37">
        <f ca="1"/>
        <v>1312.3478260869565</v>
      </c>
      <c r="V61" s="31">
        <f ca="1"/>
        <v>60</v>
      </c>
      <c r="W61" s="32" t="str">
        <f ca="1"/>
        <v>Neetsel</v>
      </c>
      <c r="X61" s="39">
        <f ca="1"/>
        <v>0</v>
      </c>
    </row>
    <row r="62" spans="1:24">
      <c r="A62" s="31"/>
      <c r="B62" s="32"/>
      <c r="D62" s="33"/>
      <c r="E62" s="33"/>
      <c r="F62" s="33"/>
      <c r="H62" s="34"/>
      <c r="I62" s="34"/>
      <c r="J62" s="34"/>
      <c r="L62" s="35"/>
      <c r="M62" s="35"/>
      <c r="N62" s="35"/>
      <c r="P62" s="36"/>
      <c r="Q62" s="36"/>
      <c r="R62" s="36"/>
      <c r="T62" s="37"/>
      <c r="V62" s="31"/>
      <c r="W62" s="32"/>
      <c r="X62" s="39"/>
    </row>
    <row r="63" spans="1:24">
      <c r="A63" s="31"/>
      <c r="B63" s="32"/>
      <c r="D63" s="33"/>
      <c r="E63" s="33"/>
      <c r="F63" s="33"/>
      <c r="H63" s="34"/>
      <c r="I63" s="34"/>
      <c r="J63" s="34"/>
      <c r="L63" s="35"/>
      <c r="M63" s="35"/>
      <c r="N63" s="35"/>
      <c r="P63" s="36"/>
      <c r="Q63" s="36"/>
      <c r="R63" s="36"/>
      <c r="T63" s="37"/>
      <c r="V63" s="31"/>
      <c r="W63" s="32"/>
      <c r="X63" s="39"/>
    </row>
    <row r="64" spans="1:24">
      <c r="A64" s="31"/>
      <c r="B64" s="32"/>
      <c r="D64" s="33"/>
      <c r="E64" s="33"/>
      <c r="F64" s="33"/>
      <c r="H64" s="34"/>
      <c r="I64" s="34"/>
      <c r="J64" s="34"/>
      <c r="L64" s="35"/>
      <c r="M64" s="35"/>
      <c r="N64" s="35"/>
      <c r="P64" s="36"/>
      <c r="Q64" s="36"/>
      <c r="R64" s="36"/>
      <c r="T64" s="37"/>
      <c r="V64" s="31"/>
      <c r="W64" s="32"/>
      <c r="X64" s="39"/>
    </row>
    <row r="65" spans="1:24">
      <c r="A65" s="31"/>
      <c r="B65" s="32"/>
      <c r="D65" s="33"/>
      <c r="E65" s="33"/>
      <c r="F65" s="33"/>
      <c r="H65" s="34"/>
      <c r="I65" s="34"/>
      <c r="J65" s="34"/>
      <c r="L65" s="35"/>
      <c r="M65" s="35"/>
      <c r="N65" s="35"/>
      <c r="P65" s="36"/>
      <c r="Q65" s="36"/>
      <c r="R65" s="36"/>
      <c r="T65" s="37"/>
      <c r="V65" s="31"/>
      <c r="W65" s="32"/>
      <c r="X65" s="39"/>
    </row>
  </sheetData>
  <conditionalFormatting sqref="D1:F1048576">
    <cfRule type="cellIs" dxfId="4" priority="4" operator="equal">
      <formula>0</formula>
    </cfRule>
  </conditionalFormatting>
  <conditionalFormatting sqref="H1:J1048576">
    <cfRule type="cellIs" dxfId="3" priority="3" operator="equal">
      <formula>0</formula>
    </cfRule>
  </conditionalFormatting>
  <conditionalFormatting sqref="L1:N1048576">
    <cfRule type="cellIs" dxfId="2" priority="5" operator="equal">
      <formula>0</formula>
    </cfRule>
  </conditionalFormatting>
  <conditionalFormatting sqref="P1:R1048576">
    <cfRule type="cellIs" dxfId="1" priority="2" operator="equal">
      <formula>0</formula>
    </cfRule>
  </conditionalFormatting>
  <conditionalFormatting sqref="T1:T1048576">
    <cfRule type="cellIs" dxfId="0" priority="1" operator="equal">
      <formula>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ECA805-BB8C-4BAA-8001-FF5964F06FD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Patrick Wessels</dc:creator>
  <cp:keywords/>
  <dc:description/>
  <cp:lastModifiedBy>Guest User</cp:lastModifiedBy>
  <cp:revision/>
  <dcterms:created xsi:type="dcterms:W3CDTF">2020-08-12T07:45:46Z</dcterms:created>
  <dcterms:modified xsi:type="dcterms:W3CDTF">2025-08-26T13:14:26Z</dcterms:modified>
  <cp:category/>
  <cp:contentStatus/>
</cp:coreProperties>
</file>